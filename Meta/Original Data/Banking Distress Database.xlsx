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quentinbrodecomeres/Desktop/Apps/The_EBA_Galaxy/Meta/Original Data/"/>
    </mc:Choice>
  </mc:AlternateContent>
  <xr:revisionPtr revIDLastSave="0" documentId="13_ncr:1_{F859F5FC-FC14-BA43-9563-CA43B68CD390}" xr6:coauthVersionLast="47" xr6:coauthVersionMax="47" xr10:uidLastSave="{00000000-0000-0000-0000-000000000000}"/>
  <bookViews>
    <workbookView xWindow="0" yWindow="0" windowWidth="28800" windowHeight="18000" activeTab="1" xr2:uid="{00000000-000D-0000-FFFF-FFFF00000000}"/>
  </bookViews>
  <sheets>
    <sheet name="Overview" sheetId="3" r:id="rId1"/>
    <sheet name="Main Table" sheetId="1" r:id="rId2"/>
    <sheet name="Sources" sheetId="2" r:id="rId3"/>
    <sheet name="Banking Crises" sheetId="4" r:id="rId4"/>
  </sheets>
  <definedNames>
    <definedName name="_xlnm._FilterDatabase" localSheetId="1" hidden="1">'Main Table'!$A$3:$Y$344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6" i="1" l="1"/>
  <c r="Q347" i="1"/>
  <c r="P347" i="1"/>
  <c r="O347" i="1"/>
  <c r="L348" i="1"/>
  <c r="E347" i="1" l="1"/>
  <c r="A347" i="1" s="1"/>
  <c r="M347" i="1"/>
  <c r="T75" i="1"/>
  <c r="V75" i="1"/>
  <c r="U75" i="1"/>
  <c r="J348" i="1" l="1"/>
  <c r="Q348" i="1"/>
  <c r="M348" i="1"/>
  <c r="K348" i="1"/>
  <c r="P348" i="1"/>
  <c r="O348" i="1"/>
  <c r="N348" i="1"/>
  <c r="I348" i="1"/>
  <c r="N347" i="1"/>
  <c r="L347" i="1"/>
  <c r="K347" i="1"/>
  <c r="J347" i="1"/>
  <c r="I347" i="1"/>
  <c r="J346" i="1"/>
  <c r="K346" i="1"/>
  <c r="L346" i="1"/>
  <c r="M346" i="1"/>
  <c r="N346" i="1"/>
  <c r="O346" i="1"/>
  <c r="P346" i="1"/>
  <c r="Q346" i="1"/>
  <c r="I346" i="1"/>
  <c r="T274" i="1"/>
  <c r="T282" i="1"/>
  <c r="T203" i="1"/>
  <c r="T128" i="1"/>
  <c r="T125" i="1"/>
  <c r="T99" i="1"/>
  <c r="U274" i="1"/>
  <c r="V274" i="1"/>
  <c r="U282" i="1"/>
  <c r="V282" i="1"/>
  <c r="U203" i="1"/>
  <c r="V203" i="1"/>
  <c r="U128" i="1"/>
  <c r="V128" i="1"/>
  <c r="U125" i="1"/>
  <c r="V125" i="1"/>
  <c r="U99" i="1"/>
  <c r="V99" i="1"/>
  <c r="A346" i="1" l="1"/>
  <c r="V288" i="1"/>
  <c r="U288" i="1"/>
  <c r="T288" i="1"/>
  <c r="U318" i="1"/>
  <c r="T5" i="1"/>
  <c r="T7" i="1"/>
  <c r="T8" i="1"/>
  <c r="T9" i="1"/>
  <c r="T10" i="1"/>
  <c r="T11" i="1"/>
  <c r="T12" i="1"/>
  <c r="T13" i="1"/>
  <c r="T14" i="1"/>
  <c r="T15" i="1"/>
  <c r="T16" i="1"/>
  <c r="T17" i="1"/>
  <c r="T18" i="1"/>
  <c r="T19" i="1"/>
  <c r="T20" i="1"/>
  <c r="T21" i="1"/>
  <c r="T22" i="1"/>
  <c r="T23" i="1"/>
  <c r="T24" i="1"/>
  <c r="T25" i="1"/>
  <c r="T26" i="1"/>
  <c r="T27" i="1"/>
  <c r="T28" i="1"/>
  <c r="T29" i="1"/>
  <c r="T30" i="1"/>
  <c r="T31" i="1"/>
  <c r="T147" i="1"/>
  <c r="T33" i="1"/>
  <c r="T35" i="1"/>
  <c r="T39" i="1"/>
  <c r="T40" i="1"/>
  <c r="T41" i="1"/>
  <c r="T42" i="1"/>
  <c r="T44" i="1"/>
  <c r="T45" i="1"/>
  <c r="T46" i="1"/>
  <c r="T47" i="1"/>
  <c r="T48" i="1"/>
  <c r="T49" i="1"/>
  <c r="T50" i="1"/>
  <c r="T51" i="1"/>
  <c r="T52" i="1"/>
  <c r="T53" i="1"/>
  <c r="T54" i="1"/>
  <c r="T55" i="1"/>
  <c r="T56" i="1"/>
  <c r="T57" i="1"/>
  <c r="T58" i="1"/>
  <c r="T59" i="1"/>
  <c r="T60" i="1"/>
  <c r="T61" i="1"/>
  <c r="T62" i="1"/>
  <c r="T64" i="1"/>
  <c r="T65" i="1"/>
  <c r="T66" i="1"/>
  <c r="T67" i="1"/>
  <c r="T68" i="1"/>
  <c r="T69" i="1"/>
  <c r="T70" i="1"/>
  <c r="T71" i="1"/>
  <c r="T72" i="1"/>
  <c r="T73" i="1"/>
  <c r="T74" i="1"/>
  <c r="T76" i="1"/>
  <c r="T77" i="1"/>
  <c r="T78" i="1"/>
  <c r="T79" i="1"/>
  <c r="T80" i="1"/>
  <c r="T81" i="1"/>
  <c r="T82" i="1"/>
  <c r="T83" i="1"/>
  <c r="T84" i="1"/>
  <c r="T85" i="1"/>
  <c r="T86" i="1"/>
  <c r="T87" i="1"/>
  <c r="T88" i="1"/>
  <c r="T89" i="1"/>
  <c r="T90" i="1"/>
  <c r="T91" i="1"/>
  <c r="T92" i="1"/>
  <c r="T93" i="1"/>
  <c r="T94" i="1"/>
  <c r="T95" i="1"/>
  <c r="T96" i="1"/>
  <c r="T97" i="1"/>
  <c r="T98" i="1"/>
  <c r="T100" i="1"/>
  <c r="T102" i="1"/>
  <c r="T103" i="1"/>
  <c r="T104" i="1"/>
  <c r="T105" i="1"/>
  <c r="T106" i="1"/>
  <c r="T107" i="1"/>
  <c r="T108" i="1"/>
  <c r="T109" i="1"/>
  <c r="T110" i="1"/>
  <c r="T111" i="1"/>
  <c r="T112" i="1"/>
  <c r="T101" i="1"/>
  <c r="T230" i="1"/>
  <c r="T231" i="1"/>
  <c r="T113" i="1"/>
  <c r="T115" i="1"/>
  <c r="T116" i="1"/>
  <c r="T117" i="1"/>
  <c r="T118" i="1"/>
  <c r="T119" i="1"/>
  <c r="T142" i="1"/>
  <c r="T120" i="1"/>
  <c r="T121" i="1"/>
  <c r="T122" i="1"/>
  <c r="T123" i="1"/>
  <c r="T124" i="1"/>
  <c r="T126" i="1"/>
  <c r="T127" i="1"/>
  <c r="T129" i="1"/>
  <c r="T130" i="1"/>
  <c r="T131" i="1"/>
  <c r="T132" i="1"/>
  <c r="T133" i="1"/>
  <c r="T134" i="1"/>
  <c r="T135" i="1"/>
  <c r="T136" i="1"/>
  <c r="T137" i="1"/>
  <c r="T138" i="1"/>
  <c r="T139" i="1"/>
  <c r="T140" i="1"/>
  <c r="T141" i="1"/>
  <c r="T143" i="1"/>
  <c r="T144" i="1"/>
  <c r="T145" i="1"/>
  <c r="T146" i="1"/>
  <c r="T148" i="1"/>
  <c r="T149" i="1"/>
  <c r="T152" i="1"/>
  <c r="T154" i="1"/>
  <c r="T155" i="1"/>
  <c r="T156" i="1"/>
  <c r="T157" i="1"/>
  <c r="T158" i="1"/>
  <c r="T159" i="1"/>
  <c r="T161" i="1"/>
  <c r="T163" i="1"/>
  <c r="T164" i="1"/>
  <c r="T167" i="1"/>
  <c r="T168" i="1"/>
  <c r="T169" i="1"/>
  <c r="T170" i="1"/>
  <c r="T171" i="1"/>
  <c r="T172" i="1"/>
  <c r="T173" i="1"/>
  <c r="T174" i="1"/>
  <c r="T175" i="1"/>
  <c r="T176" i="1"/>
  <c r="T177" i="1"/>
  <c r="T178" i="1"/>
  <c r="T179" i="1"/>
  <c r="T181" i="1"/>
  <c r="T182" i="1"/>
  <c r="T183" i="1"/>
  <c r="T184" i="1"/>
  <c r="T185" i="1"/>
  <c r="T187" i="1"/>
  <c r="T188" i="1"/>
  <c r="T189" i="1"/>
  <c r="T190" i="1"/>
  <c r="T191" i="1"/>
  <c r="T192" i="1"/>
  <c r="T193" i="1"/>
  <c r="T194" i="1"/>
  <c r="T195" i="1"/>
  <c r="T196" i="1"/>
  <c r="T201" i="1"/>
  <c r="T204" i="1"/>
  <c r="T205" i="1"/>
  <c r="T206" i="1"/>
  <c r="T208" i="1"/>
  <c r="T209" i="1"/>
  <c r="T207" i="1"/>
  <c r="T202" i="1"/>
  <c r="T210" i="1"/>
  <c r="T211" i="1"/>
  <c r="T197" i="1"/>
  <c r="T198" i="1"/>
  <c r="T212" i="1"/>
  <c r="T213" i="1"/>
  <c r="T214" i="1"/>
  <c r="T215" i="1"/>
  <c r="T216" i="1"/>
  <c r="T217" i="1"/>
  <c r="T218" i="1"/>
  <c r="T219" i="1"/>
  <c r="T220" i="1"/>
  <c r="T222" i="1"/>
  <c r="T279" i="1"/>
  <c r="T294" i="1"/>
  <c r="T223" i="1"/>
  <c r="T224" i="1"/>
  <c r="T225" i="1"/>
  <c r="T226" i="1"/>
  <c r="T228" i="1"/>
  <c r="T229"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5" i="1"/>
  <c r="T276" i="1"/>
  <c r="T277" i="1"/>
  <c r="T278" i="1"/>
  <c r="T280" i="1"/>
  <c r="T281" i="1"/>
  <c r="T283" i="1"/>
  <c r="T284" i="1"/>
  <c r="T285" i="1"/>
  <c r="T287" i="1"/>
  <c r="T289" i="1"/>
  <c r="T290" i="1"/>
  <c r="T291" i="1"/>
  <c r="T292" i="1"/>
  <c r="T293" i="1"/>
  <c r="T295" i="1"/>
  <c r="T296" i="1"/>
  <c r="T297" i="1"/>
  <c r="T298" i="1"/>
  <c r="T299" i="1"/>
  <c r="T300" i="1"/>
  <c r="T301" i="1"/>
  <c r="T302" i="1"/>
  <c r="T303" i="1"/>
  <c r="T304" i="1"/>
  <c r="T305" i="1"/>
  <c r="T306" i="1"/>
  <c r="T307" i="1"/>
  <c r="T308" i="1"/>
  <c r="T309" i="1"/>
  <c r="T310" i="1"/>
  <c r="T311" i="1"/>
  <c r="T313" i="1"/>
  <c r="T314" i="1"/>
  <c r="T315" i="1"/>
  <c r="T316" i="1"/>
  <c r="T319" i="1"/>
  <c r="T320" i="1"/>
  <c r="T321" i="1"/>
  <c r="T322" i="1"/>
  <c r="T323" i="1"/>
  <c r="T324" i="1"/>
  <c r="T325" i="1"/>
  <c r="T326" i="1"/>
  <c r="T327" i="1"/>
  <c r="T328" i="1"/>
  <c r="T330" i="1"/>
  <c r="T331" i="1"/>
  <c r="T334" i="1"/>
  <c r="T335" i="1"/>
  <c r="T336" i="1"/>
  <c r="T332" i="1"/>
  <c r="T337" i="1"/>
  <c r="T338" i="1"/>
  <c r="T339" i="1"/>
  <c r="T340" i="1"/>
  <c r="T341" i="1"/>
  <c r="T342" i="1"/>
  <c r="T343" i="1"/>
  <c r="T344" i="1"/>
  <c r="T6" i="1"/>
  <c r="U5" i="1"/>
  <c r="V5" i="1"/>
  <c r="U7" i="1"/>
  <c r="V7" i="1"/>
  <c r="U8" i="1"/>
  <c r="V8" i="1"/>
  <c r="U9" i="1"/>
  <c r="V9" i="1"/>
  <c r="U10" i="1"/>
  <c r="V10" i="1"/>
  <c r="U11" i="1"/>
  <c r="V11" i="1"/>
  <c r="U12" i="1"/>
  <c r="V12" i="1"/>
  <c r="U13" i="1"/>
  <c r="V13" i="1"/>
  <c r="U14" i="1"/>
  <c r="V14" i="1"/>
  <c r="U15" i="1"/>
  <c r="V15" i="1"/>
  <c r="U16" i="1"/>
  <c r="V16" i="1"/>
  <c r="U17" i="1"/>
  <c r="V17" i="1"/>
  <c r="U18" i="1"/>
  <c r="V18" i="1"/>
  <c r="U19" i="1"/>
  <c r="V19" i="1"/>
  <c r="U20" i="1"/>
  <c r="V20" i="1"/>
  <c r="U21" i="1"/>
  <c r="V21" i="1"/>
  <c r="U22" i="1"/>
  <c r="V22" i="1"/>
  <c r="U23" i="1"/>
  <c r="V23" i="1"/>
  <c r="U24" i="1"/>
  <c r="V24" i="1"/>
  <c r="U25" i="1"/>
  <c r="V25" i="1"/>
  <c r="U26" i="1"/>
  <c r="V26" i="1"/>
  <c r="U27" i="1"/>
  <c r="V27" i="1"/>
  <c r="U28" i="1"/>
  <c r="V28" i="1"/>
  <c r="U29" i="1"/>
  <c r="V29" i="1"/>
  <c r="U30" i="1"/>
  <c r="V30" i="1"/>
  <c r="U31" i="1"/>
  <c r="V31" i="1"/>
  <c r="U32" i="1"/>
  <c r="V32" i="1"/>
  <c r="U147" i="1"/>
  <c r="V147" i="1"/>
  <c r="U33" i="1"/>
  <c r="V33" i="1"/>
  <c r="U34" i="1"/>
  <c r="V34" i="1"/>
  <c r="U35" i="1"/>
  <c r="V35" i="1"/>
  <c r="U36" i="1"/>
  <c r="V36" i="1"/>
  <c r="U37" i="1"/>
  <c r="V37" i="1"/>
  <c r="U38" i="1"/>
  <c r="V38" i="1"/>
  <c r="U39" i="1"/>
  <c r="V39" i="1"/>
  <c r="U40" i="1"/>
  <c r="V40" i="1"/>
  <c r="U41" i="1"/>
  <c r="V41" i="1"/>
  <c r="U42" i="1"/>
  <c r="V42" i="1"/>
  <c r="U43" i="1"/>
  <c r="V43" i="1"/>
  <c r="U44" i="1"/>
  <c r="V44" i="1"/>
  <c r="U45" i="1"/>
  <c r="V45" i="1"/>
  <c r="U46" i="1"/>
  <c r="V46" i="1"/>
  <c r="U47" i="1"/>
  <c r="V47" i="1"/>
  <c r="U48" i="1"/>
  <c r="V48" i="1"/>
  <c r="U49" i="1"/>
  <c r="V49" i="1"/>
  <c r="U50" i="1"/>
  <c r="V50" i="1"/>
  <c r="U51" i="1"/>
  <c r="V51" i="1"/>
  <c r="U52" i="1"/>
  <c r="V52" i="1"/>
  <c r="U53" i="1"/>
  <c r="V53" i="1"/>
  <c r="U54" i="1"/>
  <c r="V54" i="1"/>
  <c r="U55" i="1"/>
  <c r="V55" i="1"/>
  <c r="U56" i="1"/>
  <c r="V56" i="1"/>
  <c r="U57" i="1"/>
  <c r="V57" i="1"/>
  <c r="U58" i="1"/>
  <c r="V58" i="1"/>
  <c r="U59" i="1"/>
  <c r="V59" i="1"/>
  <c r="U60" i="1"/>
  <c r="V60" i="1"/>
  <c r="U61" i="1"/>
  <c r="V61" i="1"/>
  <c r="U62" i="1"/>
  <c r="V62" i="1"/>
  <c r="U63" i="1"/>
  <c r="V63" i="1"/>
  <c r="U64" i="1"/>
  <c r="V64" i="1"/>
  <c r="U65" i="1"/>
  <c r="V65" i="1"/>
  <c r="U66" i="1"/>
  <c r="V66" i="1"/>
  <c r="U67" i="1"/>
  <c r="V67" i="1"/>
  <c r="U68" i="1"/>
  <c r="V68" i="1"/>
  <c r="U69" i="1"/>
  <c r="V69" i="1"/>
  <c r="U70" i="1"/>
  <c r="V70" i="1"/>
  <c r="U71" i="1"/>
  <c r="V71" i="1"/>
  <c r="U72" i="1"/>
  <c r="V72" i="1"/>
  <c r="U73" i="1"/>
  <c r="V73" i="1"/>
  <c r="U74" i="1"/>
  <c r="V74" i="1"/>
  <c r="U76" i="1"/>
  <c r="V76" i="1"/>
  <c r="U77" i="1"/>
  <c r="V77" i="1"/>
  <c r="U78" i="1"/>
  <c r="V78" i="1"/>
  <c r="U79" i="1"/>
  <c r="V79" i="1"/>
  <c r="U80" i="1"/>
  <c r="V80" i="1"/>
  <c r="U81" i="1"/>
  <c r="V81" i="1"/>
  <c r="U82" i="1"/>
  <c r="V82" i="1"/>
  <c r="U83" i="1"/>
  <c r="V83" i="1"/>
  <c r="U84" i="1"/>
  <c r="V84" i="1"/>
  <c r="U85" i="1"/>
  <c r="V85" i="1"/>
  <c r="U86" i="1"/>
  <c r="V86" i="1"/>
  <c r="U87" i="1"/>
  <c r="V87" i="1"/>
  <c r="U88" i="1"/>
  <c r="V88" i="1"/>
  <c r="U89" i="1"/>
  <c r="V89" i="1"/>
  <c r="U90" i="1"/>
  <c r="V90" i="1"/>
  <c r="U91" i="1"/>
  <c r="V91" i="1"/>
  <c r="U92" i="1"/>
  <c r="V92" i="1"/>
  <c r="U93" i="1"/>
  <c r="V93" i="1"/>
  <c r="U94" i="1"/>
  <c r="V94" i="1"/>
  <c r="U95" i="1"/>
  <c r="V95" i="1"/>
  <c r="U96" i="1"/>
  <c r="V96" i="1"/>
  <c r="U97" i="1"/>
  <c r="V97" i="1"/>
  <c r="U98" i="1"/>
  <c r="V98" i="1"/>
  <c r="U100" i="1"/>
  <c r="V100" i="1"/>
  <c r="U102" i="1"/>
  <c r="V102" i="1"/>
  <c r="U103" i="1"/>
  <c r="V103" i="1"/>
  <c r="U104" i="1"/>
  <c r="V104" i="1"/>
  <c r="U105" i="1"/>
  <c r="V105" i="1"/>
  <c r="U106" i="1"/>
  <c r="V106" i="1"/>
  <c r="U107" i="1"/>
  <c r="V107" i="1"/>
  <c r="U108" i="1"/>
  <c r="V108" i="1"/>
  <c r="U109" i="1"/>
  <c r="V109" i="1"/>
  <c r="U110" i="1"/>
  <c r="V110" i="1"/>
  <c r="U111" i="1"/>
  <c r="V111" i="1"/>
  <c r="U112" i="1"/>
  <c r="V112" i="1"/>
  <c r="U101" i="1"/>
  <c r="V101" i="1"/>
  <c r="U230" i="1"/>
  <c r="V230" i="1"/>
  <c r="U231" i="1"/>
  <c r="V231" i="1"/>
  <c r="U113" i="1"/>
  <c r="V113" i="1"/>
  <c r="U114" i="1"/>
  <c r="V114" i="1"/>
  <c r="U115" i="1"/>
  <c r="V115" i="1"/>
  <c r="U116" i="1"/>
  <c r="V116" i="1"/>
  <c r="U117" i="1"/>
  <c r="V117" i="1"/>
  <c r="U118" i="1"/>
  <c r="V118" i="1"/>
  <c r="U119" i="1"/>
  <c r="V119" i="1"/>
  <c r="U142" i="1"/>
  <c r="V142" i="1"/>
  <c r="U120" i="1"/>
  <c r="V120" i="1"/>
  <c r="U121" i="1"/>
  <c r="V121" i="1"/>
  <c r="U122" i="1"/>
  <c r="V122" i="1"/>
  <c r="U123" i="1"/>
  <c r="V123" i="1"/>
  <c r="U124" i="1"/>
  <c r="V124" i="1"/>
  <c r="U126" i="1"/>
  <c r="V126" i="1"/>
  <c r="U127" i="1"/>
  <c r="V127" i="1"/>
  <c r="U129" i="1"/>
  <c r="V129" i="1"/>
  <c r="U130" i="1"/>
  <c r="V130" i="1"/>
  <c r="U131" i="1"/>
  <c r="V131" i="1"/>
  <c r="U132" i="1"/>
  <c r="V132" i="1"/>
  <c r="U133" i="1"/>
  <c r="V133" i="1"/>
  <c r="U134" i="1"/>
  <c r="V134" i="1"/>
  <c r="U135" i="1"/>
  <c r="V135" i="1"/>
  <c r="U136" i="1"/>
  <c r="V136" i="1"/>
  <c r="U137" i="1"/>
  <c r="V137" i="1"/>
  <c r="U138" i="1"/>
  <c r="V138" i="1"/>
  <c r="U139" i="1"/>
  <c r="V139" i="1"/>
  <c r="U140" i="1"/>
  <c r="V140" i="1"/>
  <c r="U141" i="1"/>
  <c r="V141" i="1"/>
  <c r="U143" i="1"/>
  <c r="V143" i="1"/>
  <c r="U144" i="1"/>
  <c r="V144" i="1"/>
  <c r="U145" i="1"/>
  <c r="V145" i="1"/>
  <c r="U146" i="1"/>
  <c r="V146" i="1"/>
  <c r="U148" i="1"/>
  <c r="V148" i="1"/>
  <c r="U149" i="1"/>
  <c r="V149" i="1"/>
  <c r="U150" i="1"/>
  <c r="V150" i="1"/>
  <c r="U151" i="1"/>
  <c r="V151" i="1"/>
  <c r="U152" i="1"/>
  <c r="V152" i="1"/>
  <c r="U153" i="1"/>
  <c r="V153" i="1"/>
  <c r="U154" i="1"/>
  <c r="V154" i="1"/>
  <c r="U155" i="1"/>
  <c r="V155" i="1"/>
  <c r="U156" i="1"/>
  <c r="V156" i="1"/>
  <c r="U157" i="1"/>
  <c r="V157" i="1"/>
  <c r="U158" i="1"/>
  <c r="V158" i="1"/>
  <c r="U159" i="1"/>
  <c r="V159" i="1"/>
  <c r="U160" i="1"/>
  <c r="V160" i="1"/>
  <c r="U161" i="1"/>
  <c r="V161" i="1"/>
  <c r="U162" i="1"/>
  <c r="V162" i="1"/>
  <c r="U163" i="1"/>
  <c r="V163" i="1"/>
  <c r="U164" i="1"/>
  <c r="V164" i="1"/>
  <c r="U165" i="1"/>
  <c r="V165" i="1"/>
  <c r="U166" i="1"/>
  <c r="V166" i="1"/>
  <c r="U167" i="1"/>
  <c r="V167" i="1"/>
  <c r="U168" i="1"/>
  <c r="V168" i="1"/>
  <c r="U169" i="1"/>
  <c r="V169" i="1"/>
  <c r="U170" i="1"/>
  <c r="V170" i="1"/>
  <c r="U171" i="1"/>
  <c r="V171" i="1"/>
  <c r="U172" i="1"/>
  <c r="V172" i="1"/>
  <c r="U173" i="1"/>
  <c r="V173" i="1"/>
  <c r="U174" i="1"/>
  <c r="V174" i="1"/>
  <c r="U175" i="1"/>
  <c r="V175" i="1"/>
  <c r="U176" i="1"/>
  <c r="V176" i="1"/>
  <c r="U177" i="1"/>
  <c r="V177" i="1"/>
  <c r="U178" i="1"/>
  <c r="V178" i="1"/>
  <c r="U179" i="1"/>
  <c r="V179" i="1"/>
  <c r="U180" i="1"/>
  <c r="V180" i="1"/>
  <c r="U181" i="1"/>
  <c r="V181" i="1"/>
  <c r="U182" i="1"/>
  <c r="V182" i="1"/>
  <c r="U183" i="1"/>
  <c r="V183" i="1"/>
  <c r="U184" i="1"/>
  <c r="V184" i="1"/>
  <c r="U185" i="1"/>
  <c r="V185" i="1"/>
  <c r="U186" i="1"/>
  <c r="V186" i="1"/>
  <c r="U187" i="1"/>
  <c r="V187" i="1"/>
  <c r="U188" i="1"/>
  <c r="V188" i="1"/>
  <c r="U189" i="1"/>
  <c r="V189" i="1"/>
  <c r="U190" i="1"/>
  <c r="V190" i="1"/>
  <c r="U191" i="1"/>
  <c r="V191" i="1"/>
  <c r="U192" i="1"/>
  <c r="V192" i="1"/>
  <c r="U193" i="1"/>
  <c r="V193" i="1"/>
  <c r="U194" i="1"/>
  <c r="V194" i="1"/>
  <c r="U195" i="1"/>
  <c r="V195" i="1"/>
  <c r="U196" i="1"/>
  <c r="V196" i="1"/>
  <c r="U201" i="1"/>
  <c r="V201" i="1"/>
  <c r="U204" i="1"/>
  <c r="V204" i="1"/>
  <c r="U205" i="1"/>
  <c r="V205" i="1"/>
  <c r="U206" i="1"/>
  <c r="V206" i="1"/>
  <c r="U208" i="1"/>
  <c r="V208" i="1"/>
  <c r="U209" i="1"/>
  <c r="V209" i="1"/>
  <c r="U207" i="1"/>
  <c r="V207" i="1"/>
  <c r="U202" i="1"/>
  <c r="V202" i="1"/>
  <c r="U210" i="1"/>
  <c r="V210" i="1"/>
  <c r="U211" i="1"/>
  <c r="V211" i="1"/>
  <c r="U197" i="1"/>
  <c r="V197" i="1"/>
  <c r="U198" i="1"/>
  <c r="V198" i="1"/>
  <c r="U199" i="1"/>
  <c r="V199" i="1"/>
  <c r="U200" i="1"/>
  <c r="V200" i="1"/>
  <c r="U212" i="1"/>
  <c r="V212" i="1"/>
  <c r="U213" i="1"/>
  <c r="V213" i="1"/>
  <c r="U214" i="1"/>
  <c r="V214" i="1"/>
  <c r="U215" i="1"/>
  <c r="V215" i="1"/>
  <c r="U216" i="1"/>
  <c r="V216" i="1"/>
  <c r="U217" i="1"/>
  <c r="V217" i="1"/>
  <c r="U218" i="1"/>
  <c r="V218" i="1"/>
  <c r="U219" i="1"/>
  <c r="V219" i="1"/>
  <c r="U220" i="1"/>
  <c r="V220" i="1"/>
  <c r="U221" i="1"/>
  <c r="V221" i="1"/>
  <c r="U222" i="1"/>
  <c r="V222" i="1"/>
  <c r="U279" i="1"/>
  <c r="V279" i="1"/>
  <c r="U294" i="1"/>
  <c r="V294" i="1"/>
  <c r="U223" i="1"/>
  <c r="V223" i="1"/>
  <c r="U224" i="1"/>
  <c r="V224" i="1"/>
  <c r="U225" i="1"/>
  <c r="V225" i="1"/>
  <c r="U226" i="1"/>
  <c r="V226" i="1"/>
  <c r="U228" i="1"/>
  <c r="V228" i="1"/>
  <c r="U229" i="1"/>
  <c r="V229" i="1"/>
  <c r="U227" i="1"/>
  <c r="V227" i="1"/>
  <c r="U232" i="1"/>
  <c r="V232" i="1"/>
  <c r="U233" i="1"/>
  <c r="V233" i="1"/>
  <c r="U234" i="1"/>
  <c r="V234" i="1"/>
  <c r="U235" i="1"/>
  <c r="V235" i="1"/>
  <c r="U236" i="1"/>
  <c r="V236" i="1"/>
  <c r="U237" i="1"/>
  <c r="V237" i="1"/>
  <c r="U238" i="1"/>
  <c r="V238" i="1"/>
  <c r="U239" i="1"/>
  <c r="V239" i="1"/>
  <c r="U240" i="1"/>
  <c r="V240" i="1"/>
  <c r="U241" i="1"/>
  <c r="V241" i="1"/>
  <c r="U242" i="1"/>
  <c r="V242" i="1"/>
  <c r="U243" i="1"/>
  <c r="V243" i="1"/>
  <c r="U244" i="1"/>
  <c r="V244" i="1"/>
  <c r="U245" i="1"/>
  <c r="V245" i="1"/>
  <c r="U246" i="1"/>
  <c r="V246" i="1"/>
  <c r="U247" i="1"/>
  <c r="V247" i="1"/>
  <c r="U248" i="1"/>
  <c r="V248" i="1"/>
  <c r="U249" i="1"/>
  <c r="V249" i="1"/>
  <c r="U250" i="1"/>
  <c r="V250" i="1"/>
  <c r="U251" i="1"/>
  <c r="V251" i="1"/>
  <c r="U252" i="1"/>
  <c r="V252" i="1"/>
  <c r="U253" i="1"/>
  <c r="V253" i="1"/>
  <c r="U254" i="1"/>
  <c r="V254" i="1"/>
  <c r="U255" i="1"/>
  <c r="V255" i="1"/>
  <c r="U256" i="1"/>
  <c r="V256" i="1"/>
  <c r="U257" i="1"/>
  <c r="V257" i="1"/>
  <c r="U258" i="1"/>
  <c r="V258" i="1"/>
  <c r="U259" i="1"/>
  <c r="V259" i="1"/>
  <c r="U260" i="1"/>
  <c r="V260" i="1"/>
  <c r="U261" i="1"/>
  <c r="V261" i="1"/>
  <c r="U262" i="1"/>
  <c r="V262" i="1"/>
  <c r="U263" i="1"/>
  <c r="V263" i="1"/>
  <c r="U264" i="1"/>
  <c r="V264" i="1"/>
  <c r="U265" i="1"/>
  <c r="V265" i="1"/>
  <c r="U266" i="1"/>
  <c r="V266" i="1"/>
  <c r="U267" i="1"/>
  <c r="V267" i="1"/>
  <c r="U268" i="1"/>
  <c r="V268" i="1"/>
  <c r="U269" i="1"/>
  <c r="V269" i="1"/>
  <c r="U270" i="1"/>
  <c r="V270" i="1"/>
  <c r="U271" i="1"/>
  <c r="V271" i="1"/>
  <c r="U272" i="1"/>
  <c r="V272" i="1"/>
  <c r="U273" i="1"/>
  <c r="V273" i="1"/>
  <c r="U275" i="1"/>
  <c r="V275" i="1"/>
  <c r="U276" i="1"/>
  <c r="V276" i="1"/>
  <c r="U277" i="1"/>
  <c r="V277" i="1"/>
  <c r="U278" i="1"/>
  <c r="V278" i="1"/>
  <c r="U280" i="1"/>
  <c r="V280" i="1"/>
  <c r="U281" i="1"/>
  <c r="V281" i="1"/>
  <c r="U283" i="1"/>
  <c r="V283" i="1"/>
  <c r="U284" i="1"/>
  <c r="V284" i="1"/>
  <c r="U285" i="1"/>
  <c r="V285" i="1"/>
  <c r="U286" i="1"/>
  <c r="V286" i="1"/>
  <c r="U287" i="1"/>
  <c r="V287" i="1"/>
  <c r="U289" i="1"/>
  <c r="V289" i="1"/>
  <c r="U290" i="1"/>
  <c r="V290" i="1"/>
  <c r="U291" i="1"/>
  <c r="V291" i="1"/>
  <c r="U292" i="1"/>
  <c r="V292" i="1"/>
  <c r="U293" i="1"/>
  <c r="V293" i="1"/>
  <c r="U295" i="1"/>
  <c r="V295" i="1"/>
  <c r="U296" i="1"/>
  <c r="V296" i="1"/>
  <c r="U297" i="1"/>
  <c r="V297" i="1"/>
  <c r="U298" i="1"/>
  <c r="V298" i="1"/>
  <c r="U299" i="1"/>
  <c r="V299" i="1"/>
  <c r="U300" i="1"/>
  <c r="V300" i="1"/>
  <c r="U301" i="1"/>
  <c r="V301" i="1"/>
  <c r="U302" i="1"/>
  <c r="V302" i="1"/>
  <c r="U303" i="1"/>
  <c r="V303" i="1"/>
  <c r="U304" i="1"/>
  <c r="V304" i="1"/>
  <c r="U305" i="1"/>
  <c r="V305" i="1"/>
  <c r="U306" i="1"/>
  <c r="V306" i="1"/>
  <c r="U307" i="1"/>
  <c r="V307" i="1"/>
  <c r="U308" i="1"/>
  <c r="V308" i="1"/>
  <c r="U309" i="1"/>
  <c r="V309" i="1"/>
  <c r="U310" i="1"/>
  <c r="V310" i="1"/>
  <c r="U311" i="1"/>
  <c r="V311" i="1"/>
  <c r="U312" i="1"/>
  <c r="V312" i="1"/>
  <c r="U313" i="1"/>
  <c r="V313" i="1"/>
  <c r="U314" i="1"/>
  <c r="V314" i="1"/>
  <c r="U315" i="1"/>
  <c r="V315" i="1"/>
  <c r="U316" i="1"/>
  <c r="V316" i="1"/>
  <c r="U317" i="1"/>
  <c r="V317" i="1"/>
  <c r="V318" i="1"/>
  <c r="U319" i="1"/>
  <c r="V319" i="1"/>
  <c r="U320" i="1"/>
  <c r="V320" i="1"/>
  <c r="U321" i="1"/>
  <c r="V321" i="1"/>
  <c r="U322" i="1"/>
  <c r="V322" i="1"/>
  <c r="U323" i="1"/>
  <c r="V323" i="1"/>
  <c r="U324" i="1"/>
  <c r="V324" i="1"/>
  <c r="U325" i="1"/>
  <c r="V325" i="1"/>
  <c r="U326" i="1"/>
  <c r="V326" i="1"/>
  <c r="U327" i="1"/>
  <c r="V327" i="1"/>
  <c r="U328" i="1"/>
  <c r="V328" i="1"/>
  <c r="U329" i="1"/>
  <c r="V329" i="1"/>
  <c r="U330" i="1"/>
  <c r="V330" i="1"/>
  <c r="U331" i="1"/>
  <c r="V331" i="1"/>
  <c r="U333" i="1"/>
  <c r="V333" i="1"/>
  <c r="U334" i="1"/>
  <c r="V334" i="1"/>
  <c r="U335" i="1"/>
  <c r="V335" i="1"/>
  <c r="U336" i="1"/>
  <c r="V336" i="1"/>
  <c r="U332" i="1"/>
  <c r="V332" i="1"/>
  <c r="U337" i="1"/>
  <c r="V337" i="1"/>
  <c r="U338" i="1"/>
  <c r="V338" i="1"/>
  <c r="U339" i="1"/>
  <c r="V339" i="1"/>
  <c r="U340" i="1"/>
  <c r="V340" i="1"/>
  <c r="U341" i="1"/>
  <c r="V341" i="1"/>
  <c r="U342" i="1"/>
  <c r="V342" i="1"/>
  <c r="U343" i="1"/>
  <c r="V343" i="1"/>
  <c r="U344" i="1"/>
  <c r="V344" i="1"/>
  <c r="T348" i="1" l="1"/>
  <c r="T347" i="1"/>
  <c r="T346" i="1"/>
  <c r="V6" i="1" l="1"/>
  <c r="U6" i="1"/>
</calcChain>
</file>

<file path=xl/sharedStrings.xml><?xml version="1.0" encoding="utf-8"?>
<sst xmlns="http://schemas.openxmlformats.org/spreadsheetml/2006/main" count="2216" uniqueCount="1215">
  <si>
    <t>Nationalisation</t>
  </si>
  <si>
    <t>Liquidation</t>
  </si>
  <si>
    <t>Name of bank</t>
  </si>
  <si>
    <t>Country</t>
  </si>
  <si>
    <t>Bankruptcy</t>
  </si>
  <si>
    <t>Distress event</t>
  </si>
  <si>
    <t>Capital injection</t>
  </si>
  <si>
    <t>State support</t>
  </si>
  <si>
    <t>Asset relief program (asset protection/asset garantees)</t>
  </si>
  <si>
    <t>Private sector support</t>
  </si>
  <si>
    <t>Merger in distress (state aid to parent /merged entity's coverage ratio &lt;0 within 12 months before the merger</t>
  </si>
  <si>
    <t>Austria</t>
  </si>
  <si>
    <t>Belgium</t>
  </si>
  <si>
    <t>Dexia</t>
  </si>
  <si>
    <t>Czech Republic</t>
  </si>
  <si>
    <t>Sources:</t>
  </si>
  <si>
    <t>Beginning</t>
  </si>
  <si>
    <t>End</t>
  </si>
  <si>
    <t>Duration (quarters)</t>
  </si>
  <si>
    <t>Österreichische Volksbanken AG</t>
  </si>
  <si>
    <t>Austria:</t>
  </si>
  <si>
    <t>Year (beginning)</t>
  </si>
  <si>
    <t xml:space="preserve">https://www.bmf.gv.at/en/topics/financial-sector/austrian-financial-market-stability-package/measures-liquidity-interbank-market.html </t>
  </si>
  <si>
    <t>https://www.bmf.gv.at/en/topics/financial-sector/austrian-financial-market-stability-package/measures-stabilising-individual-institutions.html</t>
  </si>
  <si>
    <t>Erste Group Bank AG</t>
  </si>
  <si>
    <t>Notes</t>
  </si>
  <si>
    <t>Kommunalkredit Austria AG/KA Finanz AG</t>
  </si>
  <si>
    <t>Pfandbriefbank Österreich AG</t>
  </si>
  <si>
    <t>Other</t>
  </si>
  <si>
    <t>http://www.hypoverband.at/pdf-files/GB-Pfandbrief-2015.pdf</t>
  </si>
  <si>
    <t>https://www.forbes.com/sites/francescoppola/2015/04/30/the-traumatic-restructuring-of-austrias-cooperative-banking-system/</t>
  </si>
  <si>
    <t>KBC Group N.V.</t>
  </si>
  <si>
    <t>https://www.nbb.be/doc/ts/publications/fsr/fsr2009en.pdf</t>
  </si>
  <si>
    <t>https://www.nbb.be/doc/ts/publications/fsr/fsr_2010_en.pdf</t>
  </si>
  <si>
    <t>https://www.nbb.be/doc/ts/publications/fsr/fsr_2012_en.pdf</t>
  </si>
  <si>
    <t>https://www.nbb.be/doc/ts/publications/fsr/fsr2013.pdf</t>
  </si>
  <si>
    <t>Crédit mutuel</t>
  </si>
  <si>
    <t>BNP Paribas</t>
  </si>
  <si>
    <t>Société générale</t>
  </si>
  <si>
    <t xml:space="preserve">Crédit agricole </t>
  </si>
  <si>
    <t>France</t>
  </si>
  <si>
    <t>http://www.assemblee-nationale.fr/13/budget/plf2010/b1967-tIII-a17.asp</t>
  </si>
  <si>
    <t>https://ec.europa.eu/competition/state_aid/cases/231081/231081_979300_51_2.pdf</t>
  </si>
  <si>
    <t>https://ec.europa.eu/competition/state_aid/cases/231105/231105_954465_23_2.pdf</t>
  </si>
  <si>
    <t>https://www.economie.gouv.fr/files/finances/presse/dossiers_de_presse/090127com-suivi.pdf</t>
  </si>
  <si>
    <t>https://www.senat.fr/commission/fin/pjlf2010/articles/54/540.html</t>
  </si>
  <si>
    <t>https://ec.europa.eu/commission/presscorner/detail/en/IP_11_389</t>
  </si>
  <si>
    <t>https://www.reuters.com/article/financial-austria-constantia-idUSLH27432620081017</t>
  </si>
  <si>
    <t>https://ec.europa.eu/competition/state_aid/cases/228278/228278_1003834_60_1.pdf</t>
  </si>
  <si>
    <t>Adoption State guarantee scheme, enforcement (EUR 400m)/takeover by 5 banks</t>
  </si>
  <si>
    <t>Recapitalisation announcement/enforcement (EUR 3.5bn in October and 3.5bn in January)</t>
  </si>
  <si>
    <t>https://ec.europa.eu/competition/state_aid/cases/232156/232156_1079006_91_1.pdf</t>
  </si>
  <si>
    <t>Denmark</t>
  </si>
  <si>
    <t>bankTrelleborg</t>
  </si>
  <si>
    <t>Annoncement acquisition by Sydbank/enforcement</t>
  </si>
  <si>
    <t>Roskilde Bank</t>
  </si>
  <si>
    <t>Forstædernes Bank</t>
  </si>
  <si>
    <t xml:space="preserve">Lokalbanken i Nordsjælland </t>
  </si>
  <si>
    <t>Recommended tender offer by Nykredit/acquisition</t>
  </si>
  <si>
    <t>Recommended tender offer by Svenska Handelsbanken/acquisition</t>
  </si>
  <si>
    <t>EBH Bank</t>
  </si>
  <si>
    <t>Bonusbanken</t>
  </si>
  <si>
    <t>Announcement acquisition Bonusbanken by VestjyskBANK/enforcement</t>
  </si>
  <si>
    <t xml:space="preserve">Ringkjøbing Bank </t>
  </si>
  <si>
    <t>IPO/Purchase/Liquidity Providing</t>
  </si>
  <si>
    <t>Announcement merger with VestjyskBANK (Ringkjøbing Bank was experiencing financial difficulties)/enforcement</t>
  </si>
  <si>
    <t xml:space="preserve">Amagerbanken </t>
  </si>
  <si>
    <t>https://ec.europa.eu/commission/presscorner/detail/en/IP_11_676</t>
  </si>
  <si>
    <t>Announcement takeover by Morsø Bank/enforcement</t>
  </si>
  <si>
    <t>https://ec.europa.eu/competition/state_aid/cases/231113/231113_966383_27_1.pdf</t>
  </si>
  <si>
    <t>https://ec.europa.eu/competition/state_aid/cases/240879/240879_1252449_59_2.pdf</t>
  </si>
  <si>
    <t xml:space="preserve">Løkken Sparekasse </t>
  </si>
  <si>
    <t>Gudme Raaschou Bank</t>
  </si>
  <si>
    <t xml:space="preserve">Capinordic Bank </t>
  </si>
  <si>
    <t xml:space="preserve">Skælskør Bank </t>
  </si>
  <si>
    <t>Eik Banki/Eik Bank Danmark</t>
  </si>
  <si>
    <t>Sparekassen Spar Mors</t>
  </si>
  <si>
    <t>Morsø Bank</t>
  </si>
  <si>
    <t>Morsø Bank considered as the 6th most dangerous financial institution in Denmark/merger with Morsø Sparekasse (name: Fjordbank Mors)</t>
  </si>
  <si>
    <t xml:space="preserve">Fjordbank Mors </t>
  </si>
  <si>
    <t>Adoption State guarantee scheme (Bank package I)/activities transfer to Financial Stability Company for liquidation</t>
  </si>
  <si>
    <t>Max Bank</t>
  </si>
  <si>
    <t xml:space="preserve">Aarhus Lokalbank </t>
  </si>
  <si>
    <t>Adoption State guarantee scheme (Bank package IV)/merger with Vestjysk Bank, prolongation of individual governement guarantee</t>
  </si>
  <si>
    <t xml:space="preserve">Sparekassen Østjylland </t>
  </si>
  <si>
    <t xml:space="preserve">Spar Salling Sparekasse </t>
  </si>
  <si>
    <t>Financial Stability Company review of exposure/default, activity transferred to Den Jyske Sparekasse</t>
  </si>
  <si>
    <t xml:space="preserve">Tønder Bank </t>
  </si>
  <si>
    <t xml:space="preserve">Sparekassen Lolland </t>
  </si>
  <si>
    <t>Equity loss, bank filled for bankruptcy/activities transfer to Sydbank</t>
  </si>
  <si>
    <t>Bank failed to meet solvency requirement/acquisition by Jyske Bank</t>
  </si>
  <si>
    <t xml:space="preserve">Alm. Brand Bank A/S </t>
  </si>
  <si>
    <t xml:space="preserve">Den Jyske Sparekasse </t>
  </si>
  <si>
    <t xml:space="preserve">FIH Erhvervsbank A/S </t>
  </si>
  <si>
    <t xml:space="preserve">Spar Nord Bank A/S </t>
  </si>
  <si>
    <t xml:space="preserve">Sparekassen Vendsyssel </t>
  </si>
  <si>
    <t xml:space="preserve">Vestjysk Bank A/S </t>
  </si>
  <si>
    <t xml:space="preserve">Danske Bank </t>
  </si>
  <si>
    <t>https://www.danskebank.com/en-uk/ProdServ/Institutional/financial-institutions/FI-newsletter/Documents/Bank%20Package%20II.pdf</t>
  </si>
  <si>
    <t>https://www.fs.dk/media/1814/fs_uk_aar2012.pdf</t>
  </si>
  <si>
    <t>Adoption State guarantee and recapitalisation scheme (Bank package II)/execution by the end of the year</t>
  </si>
  <si>
    <t>https://www.nationalbanken.dk/da/publikationer/Documents/2015/11/DN_WP_99_2015.pdf</t>
  </si>
  <si>
    <t>Adoption State guarantee and recapitalisation scheme (Bank package II)/execution</t>
  </si>
  <si>
    <t>Adoption State guarantee and recapitalisation scheme (Bank package II)/execution by the end of the year (precise date unknown)</t>
  </si>
  <si>
    <t>Kaupthing Bank h.f.</t>
  </si>
  <si>
    <t>Finland</t>
  </si>
  <si>
    <t>https://ec.europa.eu/competition/state_aid/cases/229194/229194_1154013_14_2.pdf</t>
  </si>
  <si>
    <t>https://ypfsresourcelibrary.blob.core.windows.net/fcic/YPFS/Engbith%20Guarantee%20Scheme%20for%20Banks'%20Funding%20in%20Finland%20(FN%20GFC)%20200-03-17_Preliminary_Draft.pdf</t>
  </si>
  <si>
    <t xml:space="preserve">Banque Fédérale des Banques Populaires </t>
  </si>
  <si>
    <t xml:space="preserve">Caisse Nationale des Caisses d’épargne </t>
  </si>
  <si>
    <t>https://ec.europa.eu/competition/state_aid/cases/231081/231081_1014474_46_1.pdf</t>
  </si>
  <si>
    <t>Creation guarantee scheme (Société de financement de l'économie française (emergency loans) + société de prise de participation de l'État in December (recapitalisation))/Emergency loans granted by SFEF (recapitalisation : first tranche in December, second tranche in January)</t>
  </si>
  <si>
    <t>Banque PSA Finance</t>
  </si>
  <si>
    <t xml:space="preserve">Caisse centrale du Crédit Immobilier de France – 3CIF </t>
  </si>
  <si>
    <t>GE Capital SAS</t>
  </si>
  <si>
    <t>Groupe RCI Banque</t>
  </si>
  <si>
    <t>Laser Cofinoga</t>
  </si>
  <si>
    <t>S2P - Société des Paiements Pass</t>
  </si>
  <si>
    <t>VFS France</t>
  </si>
  <si>
    <t>Creation Société de financement de l'économie française (emergency loans)/Emergency loans granted by SFEF</t>
  </si>
  <si>
    <t>Aareal Bank AG</t>
  </si>
  <si>
    <t>Germany</t>
  </si>
  <si>
    <t>Commerzbank</t>
  </si>
  <si>
    <t>HSH Nordbank</t>
  </si>
  <si>
    <t>Creation guarantee scheme/enforcement</t>
  </si>
  <si>
    <t xml:space="preserve">Sicherungseinrichtungsgesellschaft deutscher Banken (SdB) </t>
  </si>
  <si>
    <t>https://ec.europa.eu/commission/presscorner/detail/en/MEMO_08_363</t>
  </si>
  <si>
    <t>https://ec.europa.eu/competition/state_aid/cases/228946/228946_987690_26_1.pdf</t>
  </si>
  <si>
    <t>https://ec.europa.eu/competition/state_aid/cases/224576/224576_851758_83_1.pdf</t>
  </si>
  <si>
    <t>Creation guarantee scheme/enforcement capitalisation decision</t>
  </si>
  <si>
    <t>https://www.aareal-bank.com/en/media-portal/newsroom/press-information/press-information/article/aareal-bank-aareal-holding-and-soffin-conclude-definite-agreements/</t>
  </si>
  <si>
    <t>https://ec.europa.eu/competition/publications/cpn/2009_2_18.pdf</t>
  </si>
  <si>
    <t>https://eur-lex.europa.eu/legal-content/EN/TXT/?uri=uriserv%3AOJ.L_.2013.148.01.0001.01.ENG&amp;toc=OJ%3AL%3A2013%3A148%3ATOC</t>
  </si>
  <si>
    <t>https://ec.europa.eu/commission/presscorner/detail/en/IP_09_1927</t>
  </si>
  <si>
    <t>https://ec.europa.eu/competition/state_aid/cases/230825/230825_1001149_3_1.pdf</t>
  </si>
  <si>
    <t>Bankgesellschaft Berlin</t>
  </si>
  <si>
    <t>https://ec.europa.eu/commission/presscorner/detail/en/IP_04_234</t>
  </si>
  <si>
    <t>Beginning economic difficulties/EUR 500m state guarantees granted</t>
  </si>
  <si>
    <t>https://ec.europa.eu/competition/publications/cpn/2007_3_106.pdf</t>
  </si>
  <si>
    <t>Agricultural Bank of Greece S.A.</t>
  </si>
  <si>
    <t>Attica Bank S.A.</t>
  </si>
  <si>
    <t>EFG Eurobank Ergasias S.A.</t>
  </si>
  <si>
    <t>National Bank of Greece S.A.</t>
  </si>
  <si>
    <t>Piraeus Bank S.A.</t>
  </si>
  <si>
    <t>Proton Bank S.A.</t>
  </si>
  <si>
    <t>Greece</t>
  </si>
  <si>
    <t>Adoption guarantee and recapitalisation schemes/capital injection</t>
  </si>
  <si>
    <t>https://ec.europa.eu/competition/state_aid/cases/252578/252578_1563411_5_2.pdf</t>
  </si>
  <si>
    <t>T bank S.A.</t>
  </si>
  <si>
    <t>https://ec.europa.eu/competition/state_aid/cases/244550/244550_1351424_68_1.pdf</t>
  </si>
  <si>
    <t>https://ec.europa.eu/competition/state_aid/cases/266301/266301_1846436_93_2.pdf</t>
  </si>
  <si>
    <t>General Bank of Greece S.A. (Geniki Bank)</t>
  </si>
  <si>
    <t>https://ec.europa.eu/competition/state_aid/cases/245546/245546_1587938_282_2.pdf</t>
  </si>
  <si>
    <t>Millenium Bank S.A. (MBG)</t>
  </si>
  <si>
    <t>Adoption guarantee and recapitalisation schemes/acquisition by Piraeus Bank S.A. (merger with Piraeus, hence disparition of MBG in December 2013)</t>
  </si>
  <si>
    <t>Creation group/parent receive state aid (announcement merger : October 2008)</t>
  </si>
  <si>
    <t>Alpha Bank A.E.</t>
  </si>
  <si>
    <t>Ireland</t>
  </si>
  <si>
    <t xml:space="preserve">Glitnir Bank </t>
  </si>
  <si>
    <t>Iceland</t>
  </si>
  <si>
    <t xml:space="preserve">Banco Popular </t>
  </si>
  <si>
    <t>Spain</t>
  </si>
  <si>
    <t>Novo Banco</t>
  </si>
  <si>
    <t>Portugal</t>
  </si>
  <si>
    <t>Banco Espirito Santo, S.A.</t>
  </si>
  <si>
    <t xml:space="preserve">Landsbanki Islands hf </t>
  </si>
  <si>
    <t xml:space="preserve">General </t>
  </si>
  <si>
    <t>Hungary</t>
  </si>
  <si>
    <t xml:space="preserve">Magyar Fejlesztési Bank Zrt. </t>
  </si>
  <si>
    <t xml:space="preserve">OTP Bank Nyrt. </t>
  </si>
  <si>
    <t>Adoption guarantee scheme/enforcement</t>
  </si>
  <si>
    <t>AIB Mortgage Bank</t>
  </si>
  <si>
    <t>AIB Bank (CI) Limited</t>
  </si>
  <si>
    <t>Allied Irish Bank North America Inc.</t>
  </si>
  <si>
    <t>Anglo Irish Bank Corporation plc</t>
  </si>
  <si>
    <t>Anglo Irish Bank Corporation (International) plc</t>
  </si>
  <si>
    <t>Bank of Ireland</t>
  </si>
  <si>
    <t>Bank of Ireland Mortgage Bank</t>
  </si>
  <si>
    <t>ICS Building Society</t>
  </si>
  <si>
    <t>Bank of Ireland (I.O.M.) Limited</t>
  </si>
  <si>
    <t>EBS Mortgage Finance</t>
  </si>
  <si>
    <t>Irish Permanent (IOM) Limited</t>
  </si>
  <si>
    <t xml:space="preserve">Irish Nationwide (I.O.M.) Limited </t>
  </si>
  <si>
    <t>Adoption guarantee, recapitalisation schemes/Nationalisation - subsidiary of AIB</t>
  </si>
  <si>
    <t>https://ec.europa.eu/competition/state_aid/cases/241261/241261_1242549_81_2.pdf</t>
  </si>
  <si>
    <t>Adoption guarantee, recapitalisation schemes/nationalisation (subsidiary of EBS)</t>
  </si>
  <si>
    <t>Adoption guarantee, recapitalisation schemes/recapitalisation (subsidiary of IL&amp;P)</t>
  </si>
  <si>
    <t>Adoption guarantee, recapitalisation schemes/recapitalisation (first in March 2009), subsidiary of BOI</t>
  </si>
  <si>
    <t>https://ec.europa.eu/competition/state_aid/cases/241287/241287_1243263_62_2.pdf</t>
  </si>
  <si>
    <t xml:space="preserve">Gruppo Banca Popolare Milano </t>
  </si>
  <si>
    <t>Banca di Credito Cooperativo San Vincenzo La Costa</t>
  </si>
  <si>
    <t>Mantovabanca</t>
  </si>
  <si>
    <t>Banca MB Milano</t>
  </si>
  <si>
    <t xml:space="preserve">Banca UBAE Roma </t>
  </si>
  <si>
    <t>Banca di Credito Cooperativo della Sibaritide</t>
  </si>
  <si>
    <t>Banca di Credito dei Farmacisti</t>
  </si>
  <si>
    <t>Banca di Cosenza</t>
  </si>
  <si>
    <t>Banca di Credito Cooperativo di Altavilla</t>
  </si>
  <si>
    <t>Banca Network Investimenti</t>
  </si>
  <si>
    <t>Banca di Credito Cooperativo Tarsia</t>
  </si>
  <si>
    <t>Italy</t>
  </si>
  <si>
    <t>https://www.files.ethz.ch/isn/125431/1425_RNAvefVidauki3Enska.pdf</t>
  </si>
  <si>
    <t>SPRON</t>
  </si>
  <si>
    <t>Nationalisation/liquidation</t>
  </si>
  <si>
    <t>https://ec.europa.eu/competition/state_aid/cases/237811/237811_1178921_51_3.pdf</t>
  </si>
  <si>
    <t>Beginning temporary administration by Governement/end (liquidation : June 2017)</t>
  </si>
  <si>
    <t>Beginning temporary administration by Governement/liquidation</t>
  </si>
  <si>
    <t>Beginning temporary administration by Governement/end</t>
  </si>
  <si>
    <t>MdP requests precautionary recapitalisation/application restructuration plan</t>
  </si>
  <si>
    <t>https://ec.europa.eu/competition/state_aid/cases/270037/270037_1951496_149_2.pdf</t>
  </si>
  <si>
    <t>Veneto Banca</t>
  </si>
  <si>
    <t>Banca Popolare di Vicenza</t>
  </si>
  <si>
    <t>Precautionary recapitalisation requested/liquidation (failed ECB stress test in 2014, recapitalisation, distress in 2016)</t>
  </si>
  <si>
    <t>Banca Carige</t>
  </si>
  <si>
    <t>Banca Romagna Cooperativa</t>
  </si>
  <si>
    <t>https://ec.europa.eu/commission/presscorner/detail/en/STATEMENT_15_5409</t>
  </si>
  <si>
    <t>https://www.tuttitalia.it/banche/27-banca-carige-cassa-di-risparmio-di-genova-imperia/</t>
  </si>
  <si>
    <t>Latvia</t>
  </si>
  <si>
    <t>https://internationalbanker.com/banking/latvia-a-banking-industry-in-crisis/</t>
  </si>
  <si>
    <t>JSC Parex Banka</t>
  </si>
  <si>
    <t>https://ec.europa.eu/commission/presscorner/detail/en/IP_08_1766</t>
  </si>
  <si>
    <t>https://www.brookings.edu/wp-content/uploads/2016/07/2013b_blanchard_latvia_crisis.pdf</t>
  </si>
  <si>
    <t>Finance and Capital Market Commission halted all payments/volontary liquidation</t>
  </si>
  <si>
    <t>Lithuania</t>
  </si>
  <si>
    <t>https://openknowledge.worldbank.org/bitstream/handle/10986/12822/700780ESW0P1160tal0Combined0Report.pdf?sequence=1&amp;isAllowed=y</t>
  </si>
  <si>
    <t>AB bankas SNORAS</t>
  </si>
  <si>
    <t>https://www.lb.lt/en/news/the-bank-of-lithuania-revoked-the-licence-of-ab-bankas-snoras-and-will-apply-to-court-regarding-bankruptcy-1</t>
  </si>
  <si>
    <t>Ūkio bankas</t>
  </si>
  <si>
    <t>https://www.lb.lt/en/news/the-operation-of-ukio-bankas-is-temporarily-suspended-a-temporary-administrator-is-appointed</t>
  </si>
  <si>
    <t>https://ec.europa.eu/competition/state_aid/cases/248857/248857_1515004_149_2.pdf</t>
  </si>
  <si>
    <t>https://bnn-news.com/european-central-bank-revokes-the-licence-of-trasta-komercbanka-139898</t>
  </si>
  <si>
    <t>Trasta Komercbanka AS</t>
  </si>
  <si>
    <t>De facto insolvency following Central Bank inquiry/liquidation</t>
  </si>
  <si>
    <t>Ethias Group</t>
  </si>
  <si>
    <t>Announcement recapitalisation/enforcement</t>
  </si>
  <si>
    <t>https://ec.europa.eu/competition/state_aid/cases/228044/228044_977964_77_2.pdf</t>
  </si>
  <si>
    <t>https://ec.europa.eu/competition/state_aid/cases/228379/228379_1153973_34_2.pdf</t>
  </si>
  <si>
    <t>https://ec.europa.eu/competition/state_aid/cases/227663/227663_917224_180_2.pdf</t>
  </si>
  <si>
    <t>https://ec.europa.eu/competition/state_aid/cases/231121/231121_978954_78_2.pdf</t>
  </si>
  <si>
    <t>Fortis Banque Luxembourg S.A.</t>
  </si>
  <si>
    <t>Luxembourg</t>
  </si>
  <si>
    <t>The Netherlands</t>
  </si>
  <si>
    <t>Netherlands</t>
  </si>
  <si>
    <t xml:space="preserve">LeasePlan Corp. N.V. </t>
  </si>
  <si>
    <t>Adoption guarantee scheme/enforcement (first: December 2008, second: January 2009, third: April 2009)</t>
  </si>
  <si>
    <r>
      <t>NIBC Bank N.V</t>
    </r>
    <r>
      <rPr>
        <sz val="11"/>
        <color theme="1"/>
        <rFont val="TimesNewRomanPSMT"/>
      </rPr>
      <t xml:space="preserve">. </t>
    </r>
  </si>
  <si>
    <t xml:space="preserve">SNS REAAL N.V. </t>
  </si>
  <si>
    <t>https://ec.europa.eu/commission/presscorner/detail/en/IP_08_1822</t>
  </si>
  <si>
    <t>https://ec.europa.eu/competition/state_aid/cases/249726/249726_1544400_217_2.pdf</t>
  </si>
  <si>
    <t>https://ec.europa.eu/competition/state_aid/cases/247614/247614_1415897_100_2.pdf</t>
  </si>
  <si>
    <t>https://ec.europa.eu/competition/state_aid/cases/230806/230806_1235915_338_2.pdf</t>
  </si>
  <si>
    <t>ING Groep N.V.</t>
  </si>
  <si>
    <t>DSB Bank</t>
  </si>
  <si>
    <t>Massive withdrawals/Bankruptcy</t>
  </si>
  <si>
    <t>https://www.wsj.com/articles/SB122020041890686409</t>
  </si>
  <si>
    <t xml:space="preserve">Norway </t>
  </si>
  <si>
    <t>https://www.finanstilsynet.no/en/news-archive/press-releases/2010/norwegian-banks-have-emerged-well-from-the-financial-crisis/</t>
  </si>
  <si>
    <t>https://www.finanstilsynet.no/contentassets/fde20f9700064849a413c09700dbcf2a/risk_outlook_2009.pdf</t>
  </si>
  <si>
    <t>Poland</t>
  </si>
  <si>
    <t>https://ec.europa.eu/competition/state_aid/cases/242996/242996_1329445_61_2.pdf</t>
  </si>
  <si>
    <t>https://ec.europa.eu/competition/state_aid/cases/238365/238365_1170676_36_3.pdf</t>
  </si>
  <si>
    <t>https://ypfsresourcelibrary.blob.core.windows.net/fcic/YPFS/Leon%20Hoyos%20Poland%20Guarantee%20Scheme%20(PL%20GFC)%202020-03-17%20PRELIMINARY_DRAFT.pdf</t>
  </si>
  <si>
    <t xml:space="preserve">Millennium/Banco Comercial Português S.A. </t>
  </si>
  <si>
    <t>Caixa Geral de Depósitos S.A.</t>
  </si>
  <si>
    <t>Banco Banif Mais, S.A</t>
  </si>
  <si>
    <t xml:space="preserve">Banco Português de Negócios S.A. </t>
  </si>
  <si>
    <t xml:space="preserve">Adoption guarantee scheme (nationalisation in November 2010, restructuring plan in September 2010, sale to Banco BIC Portugues July 2011)/reprivatisation </t>
  </si>
  <si>
    <t>https://ec.europa.eu/competition/state_aid/cases/242398/242398_1379555_239_4.pdf</t>
  </si>
  <si>
    <t>https://ec.europa.eu/commission/presscorner/detail/en/IP_10_972</t>
  </si>
  <si>
    <t>https://ec.europa.eu/competition/state_aid/cases/271354/271354_1965800_138_2.pdf</t>
  </si>
  <si>
    <t>https://ec.europa.eu/competition/state_aid/cases/247111/247111_1420908_83_2.pdf</t>
  </si>
  <si>
    <t>https://ec.europa.eu/competition/state_aid/cases/247499/247499_1604204_135_2.pdf</t>
  </si>
  <si>
    <t>Banco Português de Investimento (Banco BPI)</t>
  </si>
  <si>
    <t>https://www.reuters.com/article/bcp-capitalraising-idUSL6N0P461220140624</t>
  </si>
  <si>
    <t>https://ec.europa.eu/competition/state_aid/cases/247497/247497_1600000_491_2.pdf</t>
  </si>
  <si>
    <t>Banco Finantia S.A.</t>
  </si>
  <si>
    <t>Banco International do Funchal S.A. (BANIF)</t>
  </si>
  <si>
    <t>https://www.wsj.com/articles/santander-to-buy-assets-of-portugals-banif-1450662038</t>
  </si>
  <si>
    <t>https://ec.europa.eu/competition/state_aid/cases/261943/261943_1745459_428_2.pdf</t>
  </si>
  <si>
    <t>Adoption guarantee scheme/enforcement (subsidiary of BANIF)</t>
  </si>
  <si>
    <t>Announcement sale to Cofidis Participations, S.A./Sale completed</t>
  </si>
  <si>
    <t>Arnous, Julia A. (2020) "The Portuguese Guarantee Scheme (Portugal GFC)," Journal of Financial Crises: Vol. 2 : Iss. 3, 859-891. Available at: https://elischolar.library.yale.edu/journal-of-financial-crises/vol2/iss3/45</t>
  </si>
  <si>
    <t xml:space="preserve">Nova Ljubljanska banka d.d., Ljubljana (NLB) </t>
  </si>
  <si>
    <t>Slovenia</t>
  </si>
  <si>
    <t>Nova Kreditna Banka Maribor d. d. (NKBM)</t>
  </si>
  <si>
    <t>Factor Banka d.d.</t>
  </si>
  <si>
    <t>Probanka d.d.</t>
  </si>
  <si>
    <t>Abanka Vipa d.d.</t>
  </si>
  <si>
    <t>Reopening sale process (laid down in 2017)/sale process completed (state aid granted in August 2018)</t>
  </si>
  <si>
    <t>https://www.nlb.si/press-release-19-6-2019</t>
  </si>
  <si>
    <t>https://ec.europa.eu/competition/state_aid/cases/239115/239115_1222764_116_2.pdf</t>
  </si>
  <si>
    <t>https://ec.europa.eu/competition/state_aid/cases/275547/275547_2028145_64_2.pdf</t>
  </si>
  <si>
    <t>https://ec.europa.eu/commission/presscorner/detail/en/IP_11_264</t>
  </si>
  <si>
    <t>https://ec.europa.eu/competition/state_aid/cases/246951/246951_1428899_128_2.pdf</t>
  </si>
  <si>
    <t>https://ec.europa.eu/competition/state_aid/cases/249857/249857_1473280_92_3.pdf</t>
  </si>
  <si>
    <t>https://ec.europa.eu/competition/state_aid/cases/249858/249858_1473283_118_2.pdf</t>
  </si>
  <si>
    <t>https://ec.europa.eu/commission/presscorner/detail/en/IP_13_822</t>
  </si>
  <si>
    <t>Announcement recapitalisation (enforcement in December 2013)/liquidation</t>
  </si>
  <si>
    <t>https://insurancenewsnet.com/oarticle/State-Aid-Commission-Approves-Abankas-Restructuring-Plan-a-543503</t>
  </si>
  <si>
    <t>https://seenews.com/news/slovenias-nova-kbm-abanka-complete-merger-711916</t>
  </si>
  <si>
    <t>https://www.reuters.com/article/us-abanka-privatisation-idUSKCN1TK26C</t>
  </si>
  <si>
    <t>https://ec.europa.eu/competition/state_aid/cases/250616/250616_1505106_102_2.pdf</t>
  </si>
  <si>
    <t>Banka Celje d.d</t>
  </si>
  <si>
    <t>https://ec.europa.eu/commission/presscorner/detail/en/IP_14_2700</t>
  </si>
  <si>
    <t>State aid granted/merger completed</t>
  </si>
  <si>
    <t>https://ec.europa.eu/competition/state_aid/cases/252220/252220_1625594_223_2.pdf</t>
  </si>
  <si>
    <t xml:space="preserve">Caja Castilla-La Mancha (CCM) </t>
  </si>
  <si>
    <t>Liberbank</t>
  </si>
  <si>
    <t>Banco Gallego</t>
  </si>
  <si>
    <t>Catalunya Banc</t>
  </si>
  <si>
    <t>Banco de Valencia</t>
  </si>
  <si>
    <t>Adoption State guarantee scheme/recapitalisation and guarantee enforcement (November 2009), guarantees withdrawn (June 2010)</t>
  </si>
  <si>
    <t>Hypo Alpe-Adria Bank International AG</t>
  </si>
  <si>
    <t>Adoption State guarantee scheme/recapitalisation</t>
  </si>
  <si>
    <t>Hypo Tirol Bank AG</t>
  </si>
  <si>
    <t>Adoption State guarantee scheme/Separation of SPV Kommulnalkredit Finanz (KA Finanz, bad bank), nationalisation (November 2008), recapitalisation and guarantees (June 2009)</t>
  </si>
  <si>
    <t>Raiffeisen Bank International AG</t>
  </si>
  <si>
    <t>Dexia Holding</t>
  </si>
  <si>
    <t>New restructuring plan following losses (Dexia's bad bank)/European Commission puts the group for sale</t>
  </si>
  <si>
    <t>Announcement of rescue plan (recapitalisation + guarantee scheme)/Application restructuring plan</t>
  </si>
  <si>
    <t>Cyprus</t>
  </si>
  <si>
    <t>Cyprus Popular Bank (Laiki Bank)</t>
  </si>
  <si>
    <t>Fionia Bank/Nova Bank Fyn</t>
  </si>
  <si>
    <t>Adoption State guarantee scheme (Bank package III)/activities transfer to Financial Stability Company for liquidation, renarmed FS Finans IV in March 2013</t>
  </si>
  <si>
    <t>Adoption State guarantee scheme (Bank package IV)/activities transfer to Financial Stability Company for liquidation and to Sparekassen Sjælland for the sound parts, renamed FS Finans II in autumn 2012</t>
  </si>
  <si>
    <t>Adoption State guarantee scheme (Bank package IV)/activities transfer to Sparekassen Kronjylland, renamed FS Finans I in autumn 2012</t>
  </si>
  <si>
    <t>Liquidity crunch, preliminary guarantee scheme adopted in February/enfocement and application of liquidation plan (to end in 2020/2021), bank equity to be equally distributed between the State Treasury and the shareholders</t>
  </si>
  <si>
    <t>Creation guarantee scheme (Société de financement de l'économie française (emergency loans) + société de prise de participation de l'État in December (recapitalisation))/Emergency loans granted by SFEF (recapitalisation : first tranche in December, second tranche in January). Turmoil since January 2008 (Kerviel affair)</t>
  </si>
  <si>
    <t>Guarantee against legal risks notified by the governement/bank ceased activities in Finland - Finnish Branch</t>
  </si>
  <si>
    <t>Creation guarantee scheme/recapitalisation from the Land of Bavaria (January 2009), protection for liquidity loans from SoFFin and recapitalisation from Hypo Group Alpe Adria (December 2008), capital increase (June 2009)</t>
  </si>
  <si>
    <t>Creation guarantee + recapitalisation schemes/enforcement (capital increase in December 2008, part nationalisation in January, dormant equity holding in May), adoption restructuring plan</t>
  </si>
  <si>
    <t>Creation guarantee + recapitalisation schemes/recapitalisation (end April)</t>
  </si>
  <si>
    <t>HypoReal Estate Holding AG</t>
  </si>
  <si>
    <t>Creation guarantee scheme/enforcement (first guarantees in October 2008), nationalisation, recapitalisation through SoFFin in October 2009</t>
  </si>
  <si>
    <t>IKB Deutsche Industriebank AG</t>
  </si>
  <si>
    <t>LBBW (Landesbank Baden Württemberg)</t>
  </si>
  <si>
    <t>NordLB (Norddeutsche Landesbank)</t>
  </si>
  <si>
    <t>Adoption guarantee scheme/Application second guarantees, recapitalisations in May 2011 and June 2012, guarantees for the portfolio of assets until December 2014</t>
  </si>
  <si>
    <t>Purchase of illiquid securities from bank's fund by a groupe of regional German banks (until February 2008)/application restructuring plan (approval European Commission), sold to LBBW in August 2007</t>
  </si>
  <si>
    <t>WestLB AG (Westdeutsche Landesbank)</t>
  </si>
  <si>
    <t>https://ec.europa.eu/competition/state_aid/cases/229209/229209_1016043_31_1.pdf</t>
  </si>
  <si>
    <t>Düsseldorfer Hypothekenbank AG (DüssHyp)</t>
  </si>
  <si>
    <t>CorealCredit</t>
  </si>
  <si>
    <t>Recapitalisation through SoFFin/Second recapitalisation (guarantees in September 2010, part of HRE assets manager by bad bank Financial Market Stabilisation Fund, FMS-WM)</t>
  </si>
  <si>
    <t>Reminders</t>
  </si>
  <si>
    <t>Fortis = Fortis Banque SA/NV (Belgium), Fortis Banque Luxembourg (now Banque Générale du Luxembourg) and Fortis Bank Nederland</t>
  </si>
  <si>
    <t>Parent company of SNS Bank (which received loan guarantees)</t>
  </si>
  <si>
    <t>https://www.deutsche-finanzagentur.de/fileadmin/user_upload/finanzmarktstabilisierung/FMS-Massnahmen_en.pdf</t>
  </si>
  <si>
    <t>https://ypfsresourcelibrary.blob.core.windows.net/fcic/YPFS/Simon%20SoFFin%20Guarantee%20Scheme%20(DE%20GFC)%2019-01-16_PRELIMINARY_DRAFT.pdf</t>
  </si>
  <si>
    <t>Nea Proton Bank</t>
  </si>
  <si>
    <t>Received financial support from HDGF (October 2011) and HFSF (May 2012)/liquidation (November 2013), absorbed into Eurobank Ergasias S.A. (April 2013)</t>
  </si>
  <si>
    <t>TT Hellenic Postbank S.A.</t>
  </si>
  <si>
    <t>New TT Hellenic Postbank S.A.</t>
  </si>
  <si>
    <t>Creation New TT/Absorbed into Eurobank Ergasias S.A.</t>
  </si>
  <si>
    <t>Adoption guarantee, recapitalisation schemes, nationalisation (January 2009)/last recapitalisation - subsidiary of Anglo-Irish Bank</t>
  </si>
  <si>
    <t>Irish Bank Resolution Corporation Limited (IBRC)</t>
  </si>
  <si>
    <t>Irish Nationwide Building Society (INBS)</t>
  </si>
  <si>
    <t>Merger with Anglo Irish Bank to form Irish Bank Resolution Corporate (IBRC, liquidation February 2013), assets transferred to Allied Irish Bank early 2011</t>
  </si>
  <si>
    <t>Educational Building Society (EBS)</t>
  </si>
  <si>
    <t>Adoption guarantee, recapitalisation schemes/nationalisation (recapitalisation : March 2010, December 2010)</t>
  </si>
  <si>
    <t>Irish Life &amp; Permanent Group Holding</t>
  </si>
  <si>
    <t>Adoption guarantee, recapitalisation schemes/takeover by Irish Life and Permanent Group Holding (subsidiary of INBS)</t>
  </si>
  <si>
    <t xml:space="preserve">Mortgage and Land Bank (LHZB) </t>
  </si>
  <si>
    <t>Recapitalisation plans/last capital injection, bank surrendered its credit institution licence in January 2014</t>
  </si>
  <si>
    <t>De facto insolvency following Central Bank inquiry/liquidation (capital injection in February 2013)</t>
  </si>
  <si>
    <t xml:space="preserve">End </t>
  </si>
  <si>
    <t>Date (Months)</t>
  </si>
  <si>
    <t>Date (Quarters)</t>
  </si>
  <si>
    <t>Banco Santander Totta</t>
  </si>
  <si>
    <t xml:space="preserve">Caixa Central de Crédito Agrícola Mútuo </t>
  </si>
  <si>
    <t>Adoption guarantee scheme/recapitalisation (June 2012), restructuring plan adopted (July 2013)</t>
  </si>
  <si>
    <t xml:space="preserve">Recapitalisation recommandation (EBA)/nationalisation </t>
  </si>
  <si>
    <t>Banco Caja3</t>
  </si>
  <si>
    <t>Banco CAM</t>
  </si>
  <si>
    <t>Banco CEISS</t>
  </si>
  <si>
    <t>Creation of the bank from a combination of four cooperatives/Acquisition by Banco Sadabell (taken over by resolution agency (July 2011), recapitalisations (July 2011))</t>
  </si>
  <si>
    <t>Announcement State aid grant/bail-in by shareholders (recapitalisations in 2012-2013 and guarantees), bank taken over by Banco Sabadell in April 2013</t>
  </si>
  <si>
    <t>Creation of the bank from merger of cooperatives/last recapitalisation, resolution fund takeover (state guarantees in 2010, transfer of bad assets to SAREB (asset management company) in December 2012</t>
  </si>
  <si>
    <t>Bankia-BFA</t>
  </si>
  <si>
    <t>Adoption guarantee scheme, bank under receivership/recapitalisation (April 2009), state guarantees (June 2009), takeover by LiberBank</t>
  </si>
  <si>
    <t>Aborted takeover (bank already in ill condition was searching an investor)/Takeover by BBK Bank (Bilbao Bizkaia Kutxa, May 2010 : receivership introduced, recapitalisation in 2010, resolution fund guarantee on bad assets in May 2010)</t>
  </si>
  <si>
    <t>CajaSur (Banco Cajasur)</t>
  </si>
  <si>
    <t>https://thebanks.eu/search</t>
  </si>
  <si>
    <t>Banco Mare Nostrum (BMN)</t>
  </si>
  <si>
    <t>UNNIM Banc</t>
  </si>
  <si>
    <t>Creation of the bank (merger of three cajas), recapitalisation by the resolution agency (FROB), nationalisation/takeover by BBVA (recapitalisations in March 2010, March 2011), state guarantee (March 2012), disparition (May 2013)</t>
  </si>
  <si>
    <t>https://ec.europa.eu/commission/presscorner/detail/en/IP_12_1432</t>
  </si>
  <si>
    <t>https://ypfsresourcelibrary.blob.core.windows.net/fcic/YPFS/Engbith%20Spanish%20Guarantee%20Scheme%20for%20Credit%20Institutions%20(ES%20GFC)%2019-01-16)_PRELIMINARY_DRAFT_0.pdf</t>
  </si>
  <si>
    <t>https://www.frob.es/en/Lists/Contenidos/Attachments/582/20190610%20MactividadesFROB2018_EN.pdf</t>
  </si>
  <si>
    <t>https://ec.europa.eu/commission/presscorner/detail/en/IP_17_2421</t>
  </si>
  <si>
    <t>https://srb.europa.eu/sites/srbsite/files/srb_ees_2020_52_final_decision_en.pdf</t>
  </si>
  <si>
    <t>https://www.economiadigital.es/directivos-y-empresas/fin-del-banco-popular-santander-extingue-la-marca_638186_102.html</t>
  </si>
  <si>
    <t>Single Resolution Board announces default announced, default actually occurs (Moody's compendium)/merger with Santander (september 2018), bank ceased to exist (September 2019)</t>
  </si>
  <si>
    <t>https://ec.europa.eu/commission/presscorner/detail/en/IP_14_704</t>
  </si>
  <si>
    <t>https://www.mayerbrown.com/public_docs/0263fin_Summary_Government_Interventions_Spain.pdf</t>
  </si>
  <si>
    <t>Sweden</t>
  </si>
  <si>
    <t>Swedbank AB</t>
  </si>
  <si>
    <t xml:space="preserve">Swedbank Hypotek AB </t>
  </si>
  <si>
    <t xml:space="preserve">Volvofinans Bank AB </t>
  </si>
  <si>
    <t>Max Matthiessen Holding AB</t>
  </si>
  <si>
    <t>https://ypfsresourcelibrary.blob.core.windows.net/fcic/YPFS/Engbith%20Swedish%20Guarantee%20Scheme%20for%20Credit%20Institutions%20(SE%20GFC)%202020-03-20_PRELIMINARY_DRAFT.pdf</t>
  </si>
  <si>
    <t>Banking distress database</t>
  </si>
  <si>
    <t>Quentin Bro de Comères</t>
  </si>
  <si>
    <t>Author:</t>
  </si>
  <si>
    <t>Version:</t>
  </si>
  <si>
    <t xml:space="preserve">Date: </t>
  </si>
  <si>
    <t>Overview</t>
  </si>
  <si>
    <t xml:space="preserve">Countries considered: </t>
  </si>
  <si>
    <t>Country considered but without any distress event reported over the period:</t>
  </si>
  <si>
    <t xml:space="preserve">Definition: </t>
  </si>
  <si>
    <t>Caja Rural Mota del Cuervo</t>
  </si>
  <si>
    <t>Distress revealed by the resolution fund/beginning resolution process (sale to Globalcaja decided in January, approval by the Central Bank in March)</t>
  </si>
  <si>
    <t>https://www.teinteresa.es/finanzas/FROB-Caja-Rural-Mota-Cuervo_0_1112889312.html</t>
  </si>
  <si>
    <t>https://www.frob.es/en/Resoluciones-del-FROB/Paginas/Resoluciones.aspx?k=2011</t>
  </si>
  <si>
    <t>https://www.mayerbrown.com/public_docs/0358fin-Summary_of_Government_Interventions_Spain_2col.pdf</t>
  </si>
  <si>
    <t xml:space="preserve">Caixabank </t>
  </si>
  <si>
    <t>Convertible preference shares injection of EUR 0.977m in April 2010 by Resolution Fund, probably to facilitate acquisition of Banco de Valencia/injection</t>
  </si>
  <si>
    <t>Caja de Ahorros del Mediterráneo (CAM)</t>
  </si>
  <si>
    <t xml:space="preserve">Banco Sabadell </t>
  </si>
  <si>
    <t>EUR 5,249m capital injection from the Deposit Guarantee Fund, probably to facilitate aquisition of CAM/injection</t>
  </si>
  <si>
    <t>https://ec.europa.eu/competition/state_aid/cases/243405/243405_1344573_85_1.pdf</t>
  </si>
  <si>
    <t>HQ Bank</t>
  </si>
  <si>
    <t xml:space="preserve">Adoption guarantee scheme/shares transferred to Altor Fund III and Bure Equity AB (liquidity support in October 2008, nationalisation in November 2008, takeover agreement in February 2009). Member of Carnegie Group with Max Matthiessen Holding AB. </t>
  </si>
  <si>
    <t xml:space="preserve">Adoption guarantee scheme/shares transferred to Altor Fund III and Bure Equity AB (liquidity support in October 2008, nationalisation in November 2008, takeover agreement in February 2009). Member of Carnegie Group with Carnegie Investment Bank. </t>
  </si>
  <si>
    <t>Kaupthing Bank Sverige AB</t>
  </si>
  <si>
    <t>https://www.mayerbrown.com/public_docs/0285fin-Interventions_Sweden.pdf</t>
  </si>
  <si>
    <t>https://www.riksgalden.se/globalassets/dokument_eng/press-and-publications/reports/annual-reports/annual-report-2008.pdf?_t_id=1B2M2Y8AsgTpgAmY7PhCfg%3d%3d&amp;_t_q=volvofinans&amp;_t_tags=language%3aen%2csiteid%3a5214eb5f-a1b7-444b-83f5-850db03cf352&amp;_t_ip=91.161.105.28&amp;_t_hit.id=Riksgalden_Models_Media_SitePdfFile/_0bc61482-87bb-482e-ad35-fc6eb715865e&amp;_t_hit.pos=26</t>
  </si>
  <si>
    <t>Evaluation by Swedish  Financial Supervisory Authority, significant losses/acquisition by Carnegie Investment Bank (revocation banking licence in August 2010)</t>
  </si>
  <si>
    <t>https://gupea.ub.gu.se/bitstream/2077/29323/1/gupea_2077_29323_1.pdf</t>
  </si>
  <si>
    <t>https://www.riksgalden.se/globalassets/dokument_sve/press-och-publicerat/rapporter/arsredovisning/arsredovisning_2010.pdf</t>
  </si>
  <si>
    <t>Skandinaviska Enskilda Banken AB (SEB)</t>
  </si>
  <si>
    <t xml:space="preserve">Sveriges Bostadsfinansieringsaktiebolag (SBAB) </t>
  </si>
  <si>
    <t>Sparbanken Gripen</t>
  </si>
  <si>
    <t>First extension of guarantee scheme (no participation before)/second extension (bank did not renew participation), precise enforcement date unknown</t>
  </si>
  <si>
    <t>First extension of guarantee scheme (no participation before)/second extension (bank did not renew participation), precise enforcement date unknown. Merger with Sparbanken Finn in November 2010 to form Sparbanken Öresund, bought by Swedbank in May 2014, but merger was not in distress</t>
  </si>
  <si>
    <t>https://www.riksgalden.se/globalassets/dokument_sve/press-och-publicerat/rapporter/arsredovisning/arsredovisning_2009.pdf</t>
  </si>
  <si>
    <t>ABN Amro Group</t>
  </si>
  <si>
    <t>Bradford &amp; Bingley</t>
  </si>
  <si>
    <t>United Kingdom</t>
  </si>
  <si>
    <t>HBOS</t>
  </si>
  <si>
    <t>Lloyd's</t>
  </si>
  <si>
    <t>Adoption guarantee scheme and enforcement/takeover by Lloyd's</t>
  </si>
  <si>
    <t>Adoption guarantee scheme and enforcement/Capital injection in ordinary and preference shares in January 2009, issue of ordinary shares by the bank to redeem the preference shares in June 2009 (rebranded Lloyds Banking Group in January 2009, part nationalisation in February)</t>
  </si>
  <si>
    <t>Lloyd's Bank Group</t>
  </si>
  <si>
    <t>The United Kingdom</t>
  </si>
  <si>
    <t>https://ec.europa.eu/competition/state_aid/cases/252285/252285_1558448_89_2.pdf</t>
  </si>
  <si>
    <t>Beginning disvestment plan (as per approved restructuration plan) with TSB (part of LBG) sale process launched/Division of the bank into Lloyd's Bank Group and TSB Group, acquired by Banco Sabadell in 2015 and delisted. LBG in bad condition since 2008 with recorded loss in 2011-2013 but with high solvency ratio)</t>
  </si>
  <si>
    <t>Northern Rock</t>
  </si>
  <si>
    <t xml:space="preserve">Adoption guarantee scheme, liquidity support/capital injection (non-voting B shares), nationalisation and recapitalisation in October 2008 and January 2009, five-year contingent commitment of HM Treasury to inject capital in case Core Tier 1 ratio falls below 5% in December 2009. </t>
  </si>
  <si>
    <t xml:space="preserve">UK Asset Resolution </t>
  </si>
  <si>
    <t xml:space="preserve">Creation/governement mortgage guarantee program launched (beginning of operations of UKAR in September 2008), bad bank consisting of bad assets from Nothern Rock (2010, NRAM), and Bradford &amp; Bingley. </t>
  </si>
  <si>
    <t>https://www.mayerbrown.com/public_docs/0288fin-Interventions_UK.pdf</t>
  </si>
  <si>
    <t>https://www.mayerbrown.com/public_docs/0354fin-Summary_of_Government_Interventions_Germany_2col.pdf</t>
  </si>
  <si>
    <t>Baron, M.; Verner, E.; Xiong, W. - Banking Crises Without Panics (2020)_Appendix.pdf</t>
  </si>
  <si>
    <t>Banking crisis episodes 2000-2020</t>
  </si>
  <si>
    <t>Beginning year</t>
  </si>
  <si>
    <t>Widespread Bank failures</t>
  </si>
  <si>
    <t>Bank equity cumulative decline by 30%</t>
  </si>
  <si>
    <t xml:space="preserve">Belgium </t>
  </si>
  <si>
    <t>Panic month in 2000</t>
  </si>
  <si>
    <t>Norway</t>
  </si>
  <si>
    <t>Switzerland</t>
  </si>
  <si>
    <t>See Appendix p73 for Bank Equity Index Coverage sources</t>
  </si>
  <si>
    <t>Beginning year: first year in which the bank equity index cumulatively falls by more than 30% from its previous peak</t>
  </si>
  <si>
    <t>Baudino, P.; Murphy, D.; Svoronos, J.-P. - The banking crisis in Ireland, FSI Crisis Management Series, No 2, BIS, October 2020 (https://www.bis.org/fsi/fsicms2.pdf)</t>
  </si>
  <si>
    <t>https://ypfsresourcelibrary.blob.core.windows.net/fcic/YPFS/Simon%20OeCAG%20(AT%20GFC)%2020-03-17%20PD.pdf</t>
  </si>
  <si>
    <t>https://ypfsresourcelibrary.blob.core.windows.net/fcic/YPFS/Lawson%20UK%20Asset%20Resolution%20(UK%20GFC)%202020-03-17%20PRELIMINARY_DRAFT.pdf</t>
  </si>
  <si>
    <t>https://www.mirror.co.uk/news/uk-news/how-toxic-is-your-bank-372029</t>
  </si>
  <si>
    <t>https://www.dmo.gov.uk/media/1946/pr20100419.pdf</t>
  </si>
  <si>
    <t xml:space="preserve">Barclays Bank plc </t>
  </si>
  <si>
    <t>Clydesdale Bank plc</t>
  </si>
  <si>
    <t>Coventry Building Society</t>
  </si>
  <si>
    <t>Investec Bank plc</t>
  </si>
  <si>
    <t>Nationwide Building Society</t>
  </si>
  <si>
    <t>Skipton Building Society</t>
  </si>
  <si>
    <t>Standard Life Bank plc</t>
  </si>
  <si>
    <t>Tesco Personal Finance plc</t>
  </si>
  <si>
    <t xml:space="preserve">Bank of Scotland plc </t>
  </si>
  <si>
    <t xml:space="preserve">West Bromwich Building Society </t>
  </si>
  <si>
    <t xml:space="preserve">Yorkshire Building Society </t>
  </si>
  <si>
    <t>https://secure.cbonline.co.uk/media/results-and-financial-information/clydesdale-bank-utilises-government-backed-credit-guarantee-scheme</t>
  </si>
  <si>
    <t>Adoption guarantee scheme/enforcement - precise date unknown</t>
  </si>
  <si>
    <t>Not to be confused with the Royal Bank of Scotland (RBS)</t>
  </si>
  <si>
    <t>UBS</t>
  </si>
  <si>
    <t>https://www.swissinfo.ch/eng/business/2008-crisis_the-day-ubs--the-biggest-swiss-bank--was-saved/44474630</t>
  </si>
  <si>
    <t>Beginning of difficulties (SFr 19bn write-down)/recapitalisation, transfer of illiquid assets into a bad bank. April 2008 maintained as beginning date as the bank suffered major losses along 2008</t>
  </si>
  <si>
    <t>https://www.mayerbrown.com/public_docs/0297fin-Interventions_Switzerland.pdf</t>
  </si>
  <si>
    <t>Crédit Suisse</t>
  </si>
  <si>
    <t>Bank raised capital through sales of assets, job cuts by the end of the year but it was one of the least affected banks by the crisis, hence the short period of time considered.</t>
  </si>
  <si>
    <r>
      <t xml:space="preserve">Baron, M.; Dieckelmann, D.; Li, L. – </t>
    </r>
    <r>
      <rPr>
        <sz val="12"/>
        <color rgb="FF000000"/>
        <rFont val="Calibri"/>
        <family val="2"/>
        <scheme val="minor"/>
      </rPr>
      <t>The Historical Banking Crisis Database (2020)</t>
    </r>
  </si>
  <si>
    <t>Baron, M.; Verner, E.; Xiong, W. - Banking Crises Without Panics (2020), BIS Working Paper 26908</t>
  </si>
  <si>
    <t>Homar, T. - Bank recapitalizations and lending: A little is not enough, ECB Working Papers Series, no 16, June 2016</t>
  </si>
  <si>
    <t>Abildgren, K.; Albrechtsen, N.; Kristoffersen, M. S.; Nielsen, S. T.; Tommerup, R. - The Short-Term Danish Interbank Market Before, During and After The Financial Crisis, Danmarks National Bank Working Paper no 99, November 2015.pdf</t>
  </si>
  <si>
    <t>Baudino, P.; Murphy, D.; Svoronos, J.-P. - The banking crisis in Ireland, FSI Crisis Management Series, No 2, BIS, October 2020</t>
  </si>
  <si>
    <t>Lo Duca, M. et al. - A new database for financial crises in European countries, Occasional Paper Series No 194, April 2017, ECB/ESRB EU crises database.pdf</t>
  </si>
  <si>
    <t>Dubská, D. - The Czech Banking Sector: Two Decades with the Shuttle Changes (2013).pdf</t>
  </si>
  <si>
    <t>Peltonen, T. A.; Piloiu, A.; Sarlin, P. - Network linkages to predict bank distress, ECB Working Paper Series No 1828, July 2015</t>
  </si>
  <si>
    <t>Petrovic, Ana, Tutsch, Ralf, 2009. National Rescue Measures in Response to the Current Financial Crisis. ECB Legal Working Paper Series, No. 8, Frankfurt.</t>
  </si>
  <si>
    <t>Conlon, T.; Cotter, J. - Anatomy of a bail-in (2014)</t>
  </si>
  <si>
    <t>Goddard, J.; Molyneux, P.; Wilson, J. O. S. - The financial crisis in Europe: evolution, policy responses and lessons for the future (2009)</t>
  </si>
  <si>
    <t>Oesterreichische Clearingbank AG</t>
  </si>
  <si>
    <t>Clearing bank = not really in distress</t>
  </si>
  <si>
    <t>Still high stress in the Italian banking sector as of 2016</t>
  </si>
  <si>
    <t>Investiční a Poštovní banka (IPB)</t>
  </si>
  <si>
    <t>Czech national bank identifies deficiencies/bank taken over by Československá obchodní banka, a.s. (ČSOB) (in June 2000, massive withdrawals and collapse). Many banks failed during the Czech crisis (1997-2000) but only one systemic bank, which is reported here.</t>
  </si>
  <si>
    <t>Announcement rescue plan/application risk guarantees.</t>
  </si>
  <si>
    <t>MKB Bank</t>
  </si>
  <si>
    <t>https://ec.europa.eu/competition/state_aid/cases/261437/261437_1721348_166_2.pdf</t>
  </si>
  <si>
    <t>No events found:</t>
  </si>
  <si>
    <t>Sedicibanca</t>
  </si>
  <si>
    <t>Banca CARIM - Cassa di Risparmio di Rimini</t>
  </si>
  <si>
    <t>Beginning temporary administration by Governement/end, merged with Credit Agricole Italia in September 2018</t>
  </si>
  <si>
    <t>Sparisjóðabanki Islands hf. (SPB)</t>
  </si>
  <si>
    <t>Banco Privado Português (BPP)</t>
  </si>
  <si>
    <t>https://www.fktk.lv/en/media-room/other-publications/jsc-latvijas-krajbanka/jsc-latvijas-krajbanka-chronology-of-events-from-15-11-2011/</t>
  </si>
  <si>
    <t>https://eng.lsm.lv/article/economy/banks/former-krajbanka-board-faces-prospect-of-paying-15-million-euros.a357713/</t>
  </si>
  <si>
    <t>Financial services suspended/bankruptcy filling (banking licence revoqued, bank taken over by governement in December 2011)</t>
  </si>
  <si>
    <t>Latvijas Krajbanka</t>
  </si>
  <si>
    <t>Tercas-Cassa di Risparmio della Provincia di Teramo</t>
  </si>
  <si>
    <t>Beginning temporary administration by Governement/end, acquisition by Banca Popolare di Bari in July 2016</t>
  </si>
  <si>
    <t>Banca di Credito Cooperativo Luigi Sturzo di Caltagirone</t>
  </si>
  <si>
    <t>Beginning temporary administration by Governement/liquidation, activities transfered to Banca Sicana</t>
  </si>
  <si>
    <t>Banca di Monastier e del Sile</t>
  </si>
  <si>
    <t>Beginning temporary administration by Governement/end, liquidation in January 2020, activities transfered to BCC Pordenonese e Monsile</t>
  </si>
  <si>
    <t>Byr sparisjóður</t>
  </si>
  <si>
    <t xml:space="preserve">Sparisjóðurinn í Keflavík </t>
  </si>
  <si>
    <t>Recapitalisation needed/assets transferred to Byr hf.</t>
  </si>
  <si>
    <t>Sparisjóður = savings bank</t>
  </si>
  <si>
    <t>https://en.fme.is/published-material/news--announcements/decisions/</t>
  </si>
  <si>
    <t>Recapitalisation needed/assets transferred to Spkef Savings Bank</t>
  </si>
  <si>
    <t>Spkef sparisjóður</t>
  </si>
  <si>
    <t>Takeover by Landsbankinn hf./Landsbankinn receives state aid</t>
  </si>
  <si>
    <t>https://www.icelandreview.com/news/keflavik-savings-bank-heavy-load-icelandic-state/</t>
  </si>
  <si>
    <t>Banco Emiliano-Romagnolo</t>
  </si>
  <si>
    <t>Beginning temporary administration by Governement/liquidation, incorporated into Intesa SanPaolo S.P.A.</t>
  </si>
  <si>
    <t>Sofia Bank Finland</t>
  </si>
  <si>
    <t>Banking licence revoked by Financial Supervisory Authority/enforcement</t>
  </si>
  <si>
    <t>Kaupthing Singer &amp; Friedlander</t>
  </si>
  <si>
    <t>Company put under administration/transfer to ING Direct. Subsidiary of Kaupthing Bank, Kaupthing Edge was a division of that bank, also transferred to ING</t>
  </si>
  <si>
    <t>Icesave and Heritable Bank were subsidiaries of that bank operating in other countries (same as Kaupthing Edge), placed under administration and liquidated but not reported here</t>
  </si>
  <si>
    <t>Banca de Investitii si Dezvoltare</t>
  </si>
  <si>
    <t>Romania</t>
  </si>
  <si>
    <t>Banca Internationala a Religiilor (BIR)</t>
  </si>
  <si>
    <t>Liquidation decided by shareholders/liquidation</t>
  </si>
  <si>
    <t>Banca Romana de Scont (former Astra)</t>
  </si>
  <si>
    <t>http://www.bizcity.ro/stiri/banca-romana-de-scont-a-intrat-in-faliment.html?id=2405</t>
  </si>
  <si>
    <t>Banca Turco-Romana</t>
  </si>
  <si>
    <t>Central bank decides not to cover the bank's debt/liquidation</t>
  </si>
  <si>
    <t>Credit Bank</t>
  </si>
  <si>
    <t>Nova Bank</t>
  </si>
  <si>
    <t>Columna Bank</t>
  </si>
  <si>
    <t>Banking licence revoked/filed for bankruptcy</t>
  </si>
  <si>
    <t>Bankcoop</t>
  </si>
  <si>
    <t>Banking licence revoked/filed for bankruptcy (following massive fraud)</t>
  </si>
  <si>
    <t>Bank filed for bankruptcy (apparently owing to corruption practices)/filed for bankruptcy</t>
  </si>
  <si>
    <t>Filed for bankruptcy in November 2000, banking licence removed in April 1997 (set January 2000 as lower bound of the database)</t>
  </si>
  <si>
    <t>https://bnr.ro/2000---Regulations-issued-by-the-NBR-2689.aspx</t>
  </si>
  <si>
    <t>https://www.manager.ro/articole/financiar-bancar-94/11-prabusiri-istorice-ale-bancilor-romanesti-7823.html</t>
  </si>
  <si>
    <t>Banking licence revoked/enforcement</t>
  </si>
  <si>
    <t>Banca Dacia Felix</t>
  </si>
  <si>
    <t>Bank declared insolvent/liquidation</t>
  </si>
  <si>
    <t>https://bnr.ro/apage.aspx?pid=404&amp;actId=205690</t>
  </si>
  <si>
    <t xml:space="preserve">Chelsea Building Society </t>
  </si>
  <si>
    <t>http://news.bbc.co.uk/2/hi/business/8390203.stm</t>
  </si>
  <si>
    <t>Building societies with total assets below £1bn disregarded</t>
  </si>
  <si>
    <t>Scarborough Building Society</t>
  </si>
  <si>
    <t>https://www.thetimes.co.uk/article/qanda-skipton-and-scarborough-merger-z7qqkgzqnfd</t>
  </si>
  <si>
    <t>http://news.bbc.co.uk/2/hi/business/7706876.stm</t>
  </si>
  <si>
    <t>Losses recorded/merger with Skipton Building Society</t>
  </si>
  <si>
    <t>Barnsley Building Society</t>
  </si>
  <si>
    <t>First losses recorded (following involvement in Icelandic banks)/merger with the Yorkshire Building Society completed, rebranded in July 2016</t>
  </si>
  <si>
    <t>Derbyshire Building Society</t>
  </si>
  <si>
    <t>Cheshire Building Society</t>
  </si>
  <si>
    <t>Dunfermline Building Society</t>
  </si>
  <si>
    <t>Losses recorded, merger agreement/merger with Nationwide Building Society, rebranded November 2014</t>
  </si>
  <si>
    <t>http://news.bbc.co.uk/2/hi/uk_news/scotland/7971244.stm</t>
  </si>
  <si>
    <t>Norwich and Peterborough Building Society</t>
  </si>
  <si>
    <t>Capital injection by Financial Services Compensation Scheme/merger with Yorkshire Building Society</t>
  </si>
  <si>
    <t>http://news.bbc.co.uk/2/hi/business/8583054.stm</t>
  </si>
  <si>
    <t>Stroud and Swindon Building Society</t>
  </si>
  <si>
    <t>Loss recorded, merger agreement/merger with Coventry Building Society</t>
  </si>
  <si>
    <t>Alliance &amp; Leicester</t>
  </si>
  <si>
    <t>https://www.telegraph.co.uk/news/politics/labour/11329049/Labour-plans-were-ill-conceived-and-misguided-during-financial-crisis.html</t>
  </si>
  <si>
    <t>London Scottish Bank</t>
  </si>
  <si>
    <t>Banks stops all lending/enters into administration (losses already in 2007)</t>
  </si>
  <si>
    <t>Failed Banks Tracker : http://openeconomics.net/failed-bank-tracker/</t>
  </si>
  <si>
    <t>OECD Monitoring investment and trade measures: http://www.oecd.org/investment/g20.htm (2009-2019)</t>
  </si>
  <si>
    <t>Widespread bank failure: failure of a top five (by assets) bank or more than five total banks failures above the normal rate of bank failures. A “bank failure” is defined broadly to include liquidations, bankruptcies, forced mergers, substantial restructurings, nationalisations, suspensions of payment, etc.</t>
  </si>
  <si>
    <t>Corpbank AD</t>
  </si>
  <si>
    <t>Bulgaria</t>
  </si>
  <si>
    <t>Bank asks for central bank supervision/banking licence removed</t>
  </si>
  <si>
    <t>https://sofiaglobe.com/2018/06/21/factfile-bulgaria-corporate-commercial-bank-insolvency-four-years-on/</t>
  </si>
  <si>
    <t>Andorra, Estonia, Liechtenstein, Malta, Monaco, Norway, Poland, San Marino, Slovak Republic, Vatican City.</t>
  </si>
  <si>
    <t>Aegon Bank N.V.</t>
  </si>
  <si>
    <t>BAWAG Group AG</t>
  </si>
  <si>
    <t>RBIV.VI</t>
  </si>
  <si>
    <t>ERST.VI</t>
  </si>
  <si>
    <t>BAWG.VI</t>
  </si>
  <si>
    <t>Aviso Zeta AG (formerly Semper Constantia Privatbank)</t>
  </si>
  <si>
    <t>KBC.BR</t>
  </si>
  <si>
    <t>Bank of Cyprus PLC</t>
  </si>
  <si>
    <t>Hellenic Bank PLC</t>
  </si>
  <si>
    <t>HBNK.CY</t>
  </si>
  <si>
    <t>PBBG.VI</t>
  </si>
  <si>
    <t>DANSKE.CO</t>
  </si>
  <si>
    <t>ALMB.CO</t>
  </si>
  <si>
    <t>SPNO.CO</t>
  </si>
  <si>
    <t>Natixis</t>
  </si>
  <si>
    <t>CNAT.PA</t>
  </si>
  <si>
    <t>BNPP.PA</t>
  </si>
  <si>
    <t>CAGR.PA</t>
  </si>
  <si>
    <t>SOGN.PA</t>
  </si>
  <si>
    <t>ARLG.DE</t>
  </si>
  <si>
    <t>CBKG.DE</t>
  </si>
  <si>
    <t>EURBr.AT</t>
  </si>
  <si>
    <t>NBGr.AT</t>
  </si>
  <si>
    <t>BOPr.AT</t>
  </si>
  <si>
    <t>TAKA.BU</t>
  </si>
  <si>
    <t>OTPB.BU</t>
  </si>
  <si>
    <t>AIB Group (UK) plc</t>
  </si>
  <si>
    <t>AIBG.I</t>
  </si>
  <si>
    <t>BIRG.I</t>
  </si>
  <si>
    <t>CRGI.MI</t>
  </si>
  <si>
    <t>BBNS.UNL</t>
  </si>
  <si>
    <t>PCVI.MI</t>
  </si>
  <si>
    <t>BMPS.MI</t>
  </si>
  <si>
    <t>ABNd.AS</t>
  </si>
  <si>
    <t>INGA.AS</t>
  </si>
  <si>
    <t>Banco Invest (ex-Banco Alves Ribeiro)</t>
  </si>
  <si>
    <t>BCP.LS</t>
  </si>
  <si>
    <t>Banif – Banco de Investimento, S.A (BISON Bank)</t>
  </si>
  <si>
    <t>NLBR.LJ</t>
  </si>
  <si>
    <t>SABE.MC</t>
  </si>
  <si>
    <t>BKIA.MC</t>
  </si>
  <si>
    <t>CABK.MC</t>
  </si>
  <si>
    <t>LBK.MC</t>
  </si>
  <si>
    <t>SEBa.ST</t>
  </si>
  <si>
    <t>SWEDa.ST</t>
  </si>
  <si>
    <t>CSGN.S</t>
  </si>
  <si>
    <t>UBSG.S</t>
  </si>
  <si>
    <t>BARC.L</t>
  </si>
  <si>
    <t>LLOY.L</t>
  </si>
  <si>
    <t>RCHA.L</t>
  </si>
  <si>
    <t>SLA.L</t>
  </si>
  <si>
    <t>Creation of the entity/capital injection (measure announced and adopted in May 2009)</t>
  </si>
  <si>
    <t>Beck, T.H.L.; Todorov, R.I.; Wagner, W.B. - Supervising Cross-Border Banks (2012)</t>
  </si>
  <si>
    <r>
      <t xml:space="preserve">Kerlin, J., Malinowska-Misiąg, E., Smaga, P., Witkowski, B., Nowak, A. K., Kozłowska, A., &amp; Wiśniewski, P. (2016). </t>
    </r>
    <r>
      <rPr>
        <i/>
        <sz val="12"/>
        <color theme="1"/>
        <rFont val="Calibri"/>
        <family val="2"/>
        <scheme val="minor"/>
      </rPr>
      <t>European bank restructuring during the global financial crisis</t>
    </r>
    <r>
      <rPr>
        <sz val="12"/>
        <color theme="1"/>
        <rFont val="Calibri"/>
        <family val="2"/>
        <scheme val="minor"/>
      </rPr>
      <t>. Springer.</t>
    </r>
  </si>
  <si>
    <t>Iceland only, but considered as most important bank in Finland before its failure</t>
  </si>
  <si>
    <t>RIC code for Immigon Portfolioabbau AG</t>
  </si>
  <si>
    <t>DK:ROS</t>
  </si>
  <si>
    <t>NIBC.AS</t>
  </si>
  <si>
    <t>NBS.L</t>
  </si>
  <si>
    <t>78II.L</t>
  </si>
  <si>
    <t>CAHM.MC</t>
  </si>
  <si>
    <t>Fortis Bank S.A./N.V./BNP Paribas Fortis</t>
  </si>
  <si>
    <t>Takarek Jelzalogbank Nyrt</t>
  </si>
  <si>
    <t>BayernLB (Bayerische Landesbank)</t>
  </si>
  <si>
    <t>Oesterreichische Volksbanken AG</t>
  </si>
  <si>
    <t>Pfandbriefbank Oesterreich AG</t>
  </si>
  <si>
    <t>Investicni a Postovni banka (IPB)</t>
  </si>
  <si>
    <t>Forstaedernes Bank</t>
  </si>
  <si>
    <t xml:space="preserve">Lokalbanken i Nordsjaelland </t>
  </si>
  <si>
    <t xml:space="preserve">Loekken Sparekasse </t>
  </si>
  <si>
    <t>Morsoe Bank</t>
  </si>
  <si>
    <t xml:space="preserve">Ringkjoebing Bank </t>
  </si>
  <si>
    <t>O:AAI</t>
  </si>
  <si>
    <t>O:OVAG</t>
  </si>
  <si>
    <t>B:DEXB</t>
  </si>
  <si>
    <t>BL:CBO</t>
  </si>
  <si>
    <t>CP:CPB</t>
  </si>
  <si>
    <t>DK:AAR</t>
  </si>
  <si>
    <t>DK:AMA</t>
  </si>
  <si>
    <t>DK:BAN</t>
  </si>
  <si>
    <t>DK:BNK</t>
  </si>
  <si>
    <t>DK:EHH</t>
  </si>
  <si>
    <t>DK:EIK</t>
  </si>
  <si>
    <t>DK:FIO</t>
  </si>
  <si>
    <t>DK:FJO</t>
  </si>
  <si>
    <t>DK:LOK</t>
  </si>
  <si>
    <t>DK:FOB</t>
  </si>
  <si>
    <t>DK:HVB</t>
  </si>
  <si>
    <t>DK:MOR</t>
  </si>
  <si>
    <t>DK:RIL</t>
  </si>
  <si>
    <t>DK:SKA</t>
  </si>
  <si>
    <t xml:space="preserve">Skaelskoer Bank </t>
  </si>
  <si>
    <t>DK:SPL</t>
  </si>
  <si>
    <t xml:space="preserve">Sparekassen Oestjylland </t>
  </si>
  <si>
    <t xml:space="preserve">Toender Bank </t>
  </si>
  <si>
    <t>DK:TON</t>
  </si>
  <si>
    <t>DK:VJK</t>
  </si>
  <si>
    <t>D:BLG8</t>
  </si>
  <si>
    <t>D:AHY2</t>
  </si>
  <si>
    <t>D:DUO1</t>
  </si>
  <si>
    <t>D:HRX</t>
  </si>
  <si>
    <t>D:IKBG</t>
  </si>
  <si>
    <t>D:LBF1</t>
  </si>
  <si>
    <t>D:LSA5</t>
  </si>
  <si>
    <t>D:WLDH</t>
  </si>
  <si>
    <t>G:ATEG</t>
  </si>
  <si>
    <t>G:TBNK</t>
  </si>
  <si>
    <t>G:TGEN</t>
  </si>
  <si>
    <t>G:PRO</t>
  </si>
  <si>
    <t>G:POST</t>
  </si>
  <si>
    <t xml:space="preserve">Magyar Fejlesztesi Bank Zrt. </t>
  </si>
  <si>
    <t>Byr sparisjodur</t>
  </si>
  <si>
    <t>IC:ISB</t>
  </si>
  <si>
    <t>IC:KAP</t>
  </si>
  <si>
    <t>IC:LAN</t>
  </si>
  <si>
    <t>Sparisjodabanki Islands hf. (SPB)</t>
  </si>
  <si>
    <t xml:space="preserve">Sparisjodurinn i Keflavík </t>
  </si>
  <si>
    <t>Spkef sparisjodur</t>
  </si>
  <si>
    <t>IC:SPA</t>
  </si>
  <si>
    <t>IC:STF</t>
  </si>
  <si>
    <t>ANGL</t>
  </si>
  <si>
    <t>I:PMI</t>
  </si>
  <si>
    <t>LV:LKB</t>
  </si>
  <si>
    <t>LT:BAS</t>
  </si>
  <si>
    <t>LT:UKI</t>
  </si>
  <si>
    <t>Ukio bankas</t>
  </si>
  <si>
    <t>LX:AMV</t>
  </si>
  <si>
    <t>BAMI.MI</t>
  </si>
  <si>
    <t>ABLV Bank AS</t>
  </si>
  <si>
    <t>H:SRL</t>
  </si>
  <si>
    <t>P:BES</t>
  </si>
  <si>
    <t>P:BNF</t>
  </si>
  <si>
    <t>P:BPI</t>
  </si>
  <si>
    <t>RM:BTR</t>
  </si>
  <si>
    <t>SV:NOE</t>
  </si>
  <si>
    <t>SV:ABV</t>
  </si>
  <si>
    <t>SV:PPI</t>
  </si>
  <si>
    <t>E:BVA</t>
  </si>
  <si>
    <t>E:POP</t>
  </si>
  <si>
    <t>W:CAR</t>
  </si>
  <si>
    <t>W:KBH</t>
  </si>
  <si>
    <t>W:HQ</t>
  </si>
  <si>
    <t>AL.</t>
  </si>
  <si>
    <t>BSCT</t>
  </si>
  <si>
    <t>BB.</t>
  </si>
  <si>
    <t>LSB</t>
  </si>
  <si>
    <t>NRK</t>
  </si>
  <si>
    <t>INVP.L</t>
  </si>
  <si>
    <t>NWG.L</t>
  </si>
  <si>
    <t>DATASTREAM SYMBOL</t>
  </si>
  <si>
    <t>RIC CODE</t>
  </si>
  <si>
    <t>IC:BNO</t>
  </si>
  <si>
    <t>BankNordik P/F (ICE)</t>
  </si>
  <si>
    <t>Faroe Islands</t>
  </si>
  <si>
    <t>HN:IEB</t>
  </si>
  <si>
    <t>Inter-Europa Bank</t>
  </si>
  <si>
    <t>O:ERS</t>
  </si>
  <si>
    <t>O:BWGP</t>
  </si>
  <si>
    <t>O:DTP</t>
  </si>
  <si>
    <t>O:RAI</t>
  </si>
  <si>
    <t>B:BNP/27959H</t>
  </si>
  <si>
    <t>B:KB</t>
  </si>
  <si>
    <t>CP:HEL</t>
  </si>
  <si>
    <t>DK:ABF</t>
  </si>
  <si>
    <t>CAPI.CO</t>
  </si>
  <si>
    <t>DK:DAB</t>
  </si>
  <si>
    <t>DK:DJS</t>
  </si>
  <si>
    <t>RILBA.CO</t>
  </si>
  <si>
    <t>DK:SNB</t>
  </si>
  <si>
    <t>VJBA.CO</t>
  </si>
  <si>
    <t>Kaupthing Bank h.f. Finnish</t>
  </si>
  <si>
    <t>F:BNP</t>
  </si>
  <si>
    <t>F:CRDA</t>
  </si>
  <si>
    <t>F:KN@F</t>
  </si>
  <si>
    <t>F:SGE</t>
  </si>
  <si>
    <t>D:ARLX</t>
  </si>
  <si>
    <t>D:CBKX</t>
  </si>
  <si>
    <t>ACBr.AT</t>
  </si>
  <si>
    <t>G:PIST</t>
  </si>
  <si>
    <t>BOAr.AT</t>
  </si>
  <si>
    <t>G:ATT</t>
  </si>
  <si>
    <t>G:EFG</t>
  </si>
  <si>
    <t>G:ETE</t>
  </si>
  <si>
    <t>G:PEIR</t>
  </si>
  <si>
    <t>HN:FHB</t>
  </si>
  <si>
    <t>HN:OTP</t>
  </si>
  <si>
    <t>IE:A5G</t>
  </si>
  <si>
    <t>ANGL.I</t>
  </si>
  <si>
    <t>IE:BIRG</t>
  </si>
  <si>
    <t>IL0A.I</t>
  </si>
  <si>
    <t>IE:IL0A</t>
  </si>
  <si>
    <t>I:CRG</t>
  </si>
  <si>
    <t>I:BP</t>
  </si>
  <si>
    <t>I:CVAL</t>
  </si>
  <si>
    <t>I:MB</t>
  </si>
  <si>
    <t>H:ABN</t>
  </si>
  <si>
    <t>Not a bank (until 2012)</t>
  </si>
  <si>
    <t>H:INGA</t>
  </si>
  <si>
    <t>H:NIBC</t>
  </si>
  <si>
    <t>P:BCP</t>
  </si>
  <si>
    <t>SV:NVB</t>
  </si>
  <si>
    <t>E:BSAB</t>
  </si>
  <si>
    <t>E:BKIA</t>
  </si>
  <si>
    <t>E:CABK</t>
  </si>
  <si>
    <t>E:CAM</t>
  </si>
  <si>
    <t>E:LBK</t>
  </si>
  <si>
    <t>W:SEA</t>
  </si>
  <si>
    <t>W:SWED</t>
  </si>
  <si>
    <t>S:CSGN</t>
  </si>
  <si>
    <t>S:UBSG</t>
  </si>
  <si>
    <t>BARC</t>
  </si>
  <si>
    <t>INVP</t>
  </si>
  <si>
    <t>WBROM.LU</t>
  </si>
  <si>
    <t>LLOY</t>
  </si>
  <si>
    <t>SLA</t>
  </si>
  <si>
    <t>MKBB.BU</t>
  </si>
  <si>
    <t>EBSBS.UL</t>
  </si>
  <si>
    <t>IPO-BMAR.MC</t>
  </si>
  <si>
    <t>5753QK</t>
  </si>
  <si>
    <t>787T2Z</t>
  </si>
  <si>
    <t>NWG</t>
  </si>
  <si>
    <t>New financial aid/nationalisation and beginning dismantling plan</t>
  </si>
  <si>
    <t>Dexia Bank rebranded Belfius Bank, additional support granted to Dexia Holding (bad bank)/Dexia Group put for sale by European Commission</t>
  </si>
  <si>
    <t>Adoption State guarantee scheme/bank recapitalisation</t>
  </si>
  <si>
    <t>Adoption second State guarantee scheme/second bank recapitalisation</t>
  </si>
  <si>
    <t>Adoption State guarantee scheme/First recapitalisation</t>
  </si>
  <si>
    <t>Second recapitalisation/new guarantees, nationalisation</t>
  </si>
  <si>
    <t>New government guarantees, withdrawn June 2013</t>
  </si>
  <si>
    <t>Third recapitalisation</t>
  </si>
  <si>
    <t>Second recapitalisation/new guarantees</t>
  </si>
  <si>
    <t>Agreement restructuring plan/liquidation (end of mergers of independant Volksbanks in March 2015) and demerger (Immigon Portfolioabbau AG, liquidated in June 2019)</t>
  </si>
  <si>
    <t>Recapitalisation announcement (30/09/2008)/liquidity support (asset guarantee EUR 150bn October 2008 and 2009). Adoption restructuring plan (Belgium, France, Luxembourg) in February 2010</t>
  </si>
  <si>
    <t>Adoption state guarantee scheme/state guarantees (February, March, September 2009), recapitalisation (April 2009)</t>
  </si>
  <si>
    <t>Adoption state guarantees scheme/Enforcement (January, March, April 2009), recapitalisation in January</t>
  </si>
  <si>
    <t>Announcement merger/merger with CIB Bank ZRT</t>
  </si>
  <si>
    <t>Recapitalisation recommandation (EBA)/First recapitalisation</t>
  </si>
  <si>
    <t>Second recapitalisation (aquisition of shares by EBRD)</t>
  </si>
  <si>
    <t>Adoption capitalisation scheme/capital injection</t>
  </si>
  <si>
    <t>Adoption State guarantee scheme (Bank package I)/recapitalisation</t>
  </si>
  <si>
    <t>Activities transfer to Financial Stability Company for liquidation/request for withdrawal of shares from public trading, liquidation</t>
  </si>
  <si>
    <t>Recapitalisation, state guarantees (December 2010)/under Financial Stability Company management. Renamed FS Finans III in March 2013</t>
  </si>
  <si>
    <t>Nationalisation (transfer to Finansiel Stabilited for winding up), sales of remaining parts to Arbejdernes Landbank (January 2011)/liquidation, became part of FS Finans</t>
  </si>
  <si>
    <t>Liquidity providing by private banks and Danmarks Nationalbank/activities transfer to Financial Stability Company to liquidation (effective March 2009)</t>
  </si>
  <si>
    <t>Announcement restructuring plan/winding up of the bank by BankNordik Group</t>
  </si>
  <si>
    <t>Adoption guarantee scheme/enforcement, delisted, subsidiary of Aareal Bank in May 2015, rebranded Aareal Beteiligungen AG in June 2015</t>
  </si>
  <si>
    <t>First rescue package/enforcement guarantee scheme (restructuring plan in October), sale to Lone Star. Liquidity issues until 2014: liquidity support requested December 2009, December 2012, December 2014, no ratings since June 2011, delisted April 2016</t>
  </si>
  <si>
    <t>Loan from main owners annoucement/recapitalisation and guarantees (June 2009)</t>
  </si>
  <si>
    <t>Company delisted/liquidation, Portigon Financial Services AG became legal successor, bad bank part to Bundesanstalt für Finanzmarktstabilisierung, the rest merged with German bank Helaba</t>
  </si>
  <si>
    <t>Adoption guarantee and recapitalisation schemes/Recapitalisation and participation to the Bond Loan Scheme</t>
  </si>
  <si>
    <t>Adoption guarantee and recapitalisation schemes/state guarantees</t>
  </si>
  <si>
    <t>Bank sold to Piraeus Bank/delisted</t>
  </si>
  <si>
    <t>Bridge recapitalisation implemented/Second recapitalisation</t>
  </si>
  <si>
    <t>Fourth recapitalisation/funds granted by HFSF</t>
  </si>
  <si>
    <t>Adoption guarantee and recapitalisation schemes/first recapitalisation</t>
  </si>
  <si>
    <t>Additional capital requirements covered by HFSF. Bank absorbed New Proton Bank (recapitalised) (April 2013) and New TT (recapitalised) (August 2013)</t>
  </si>
  <si>
    <t>Adoption guarantee and recapitalisation schemes/recapitalisation</t>
  </si>
  <si>
    <t>Second recapitalisation/bridge recapitalisation implemented (May 2012), third recapitalisation</t>
  </si>
  <si>
    <t>Additional funds granted, absorbed First Business Bank (June 2013) and Probank (July 2013)</t>
  </si>
  <si>
    <t>Capital injection by private banks/liquidation (October 2011), rebranded Nea Proton Bank</t>
  </si>
  <si>
    <t xml:space="preserve">Adoption guarantee and recapitalisation schemes/capital injection </t>
  </si>
  <si>
    <t>Recapitalisation</t>
  </si>
  <si>
    <t>Additional funds granted, bank rebranded New TT (January 2013)</t>
  </si>
  <si>
    <t>Adoption guarantee, recapitalisation schemes, nationalisation (January 2009)/recapitalisation, delisted January 2009</t>
  </si>
  <si>
    <t>Adoption guarantee, recapitalisation schemes/recapitalisation</t>
  </si>
  <si>
    <t>Group rebranded Permanent TSB in July 2013, profitable part (Life Groupe) sold to Great-West Lifeco</t>
  </si>
  <si>
    <t>New guarantees granted</t>
  </si>
  <si>
    <t>Central bank liquidity support/state guarantees (March 2008)</t>
  </si>
  <si>
    <t>New guarantees from SoFFin/recapitalisation, creation of bad bank : Erste Abwicklungsanstalt (EAA)</t>
  </si>
  <si>
    <t>New recapitalisation (Monti Bonds)</t>
  </si>
  <si>
    <t>Adoption guarantee scheme/recapitalisation (Tremonti Bonds)</t>
  </si>
  <si>
    <t>Announcement recapitalisation agreement/nationalisation</t>
  </si>
  <si>
    <t>Incorporation into BGL BNPP (rebranded Banque générale du Luxembourg)</t>
  </si>
  <si>
    <t>Acquisition and dismantling by Fortis Holding, Royal Bank of Scotland, Banco Santander (ABN Amro, ABN Amro S, ABN Amro S and N)/Integration of Fortis into its ABN Amro parts by the governement.</t>
  </si>
  <si>
    <t>First recapitalisation/failure of Fortis and integration into ABN Amro, restructuring plan adopted in January 2010, transfer of governement shares to a foundation in September 2011, IPO beginning in November 2015 and ended in November 2016, state still major owner</t>
  </si>
  <si>
    <t>Adoption guarantee scheme/capital injection</t>
  </si>
  <si>
    <t>State guarantees granted/recapitalisation (new private recapitalisation in June-October 2013)</t>
  </si>
  <si>
    <t>EBA stress test (urgent recapitalisation)/capital injection</t>
  </si>
  <si>
    <t>Second recapitalisation, asset transfer agreement with BAMC, october 2014, enforcement restructuration plan. Merger with NKBM announced in June 2019, completed September 2020</t>
  </si>
  <si>
    <t>Bank ordered to increase capital by Central Bank of Slovenia/Capital injection, bank delisted in Novermber</t>
  </si>
  <si>
    <t>Adoption state guarantee program/First recapitalisation</t>
  </si>
  <si>
    <t>Adoption resolution plan, liquidation and state liquidity support/capital injection, delisted August 2013</t>
  </si>
  <si>
    <t>First recapitalisation/Creation of the bank (merger of seven financial institutions in December 2010)</t>
  </si>
  <si>
    <t>Second and third recapitalisations/nationalisation</t>
  </si>
  <si>
    <t>Adoption guarantee scheme/enforcement, scheme enforced until 2010</t>
  </si>
  <si>
    <t>Liquidity support required and granted by the Bank of England/nationalisation</t>
  </si>
  <si>
    <t>Merger with Banco Santander</t>
  </si>
  <si>
    <t>Capital injection by State Treasury (secret)/bank intervened and liquidated</t>
  </si>
  <si>
    <t>Adoption State guarantee scheme (Bank package I)/activities transferred to Financial Stability Company for liquidation</t>
  </si>
  <si>
    <r>
      <t xml:space="preserve">In other markets (Finland, Norway, Sweden, Belgium, UK, Germany, Luxembourg, Switzerland, Austria), also </t>
    </r>
    <r>
      <rPr>
        <i/>
        <sz val="12"/>
        <color theme="1"/>
        <rFont val="Calibri"/>
        <family val="2"/>
        <scheme val="minor"/>
      </rPr>
      <t>via</t>
    </r>
    <r>
      <rPr>
        <sz val="12"/>
        <color theme="1"/>
        <rFont val="Calibri"/>
        <family val="2"/>
        <scheme val="minor"/>
      </rPr>
      <t xml:space="preserve"> internet bank Kaupthing Edge, available until beginning/end 2008 (not reported, except for Finland and Sweden). In the UK, accounts transferred to ING in October 2008</t>
    </r>
  </si>
  <si>
    <t>Dresdner bank takeover by Commerzbank (May 2009) = distress merger ? But unlisted</t>
  </si>
  <si>
    <t>Source : Baron, M.; Verner, E.; Xiong, W. - Banking Crises Without Panics (2020)_Appendix</t>
  </si>
  <si>
    <t>Reuters Refinitiv</t>
  </si>
  <si>
    <t>Coverage ratio falls below 0 (whiting 12 months, technically negative since January 2008)/Acquisition by Piraeus Bank S.A. (merger with Piraeus),disparition of Geniki in November 2014</t>
  </si>
  <si>
    <t>Coverage ratio falls below 0/merger with INBS to form Irish Bank Resolution Corporate (IBRC, liquidation February 2013), assets transferred to Allied Irish Bank early 2011</t>
  </si>
  <si>
    <t>Coverage ratio falls below 0 (announcement liquidity support in November 2011)/acquisition by CaixaBank (introduction of the asset protection program in November 2012, recapitalisations in November 2011 and 2012). Rebranded CaixaBank in June 2014 and 2016</t>
  </si>
  <si>
    <t>Coverage ratio falls below 0 (Downgrade to non-investment grade by Moody's and Fitch in April 2010)/merger with Banco Sabadell (credit activities transferred to Banco CAM and nationalisation in July 2011, adjudication to Banco Sabadell in December 2011)</t>
  </si>
  <si>
    <t>Duesseldorfer Hypothekenbank AG (DüssHyp)</t>
  </si>
  <si>
    <t xml:space="preserve">A bank is counted once if more than one distress events happen within the same year, else more than one time. Only dates for listed banks have been updated accordingly. Thus, despite few exceptions, distress events are shorter than or equal to one year (4 quarters) for these banks. </t>
  </si>
  <si>
    <r>
      <t xml:space="preserve">Frank Betz, Silviu Oprică, Tuomas A. Peltonen, and Peter Sarlin. Predicting distress in European banks. </t>
    </r>
    <r>
      <rPr>
        <i/>
        <sz val="12"/>
        <color theme="1"/>
        <rFont val="Calibri"/>
        <family val="2"/>
        <scheme val="minor"/>
      </rPr>
      <t>Journal of Banking &amp; Finance,</t>
    </r>
    <r>
      <rPr>
        <sz val="12"/>
        <color theme="1"/>
        <rFont val="Calibri"/>
        <family val="2"/>
        <scheme val="minor"/>
      </rPr>
      <t xml:space="preserve"> 45 :225–241, 2014.</t>
    </r>
  </si>
  <si>
    <t>Rationale:</t>
  </si>
  <si>
    <t>Target variable:</t>
  </si>
  <si>
    <r>
      <t>To "</t>
    </r>
    <r>
      <rPr>
        <b/>
        <sz val="12"/>
        <color theme="1"/>
        <rFont val="Calibri"/>
        <family val="2"/>
        <scheme val="minor"/>
      </rPr>
      <t>account for post-crisis and crisis bias</t>
    </r>
    <r>
      <rPr>
        <sz val="12"/>
        <color theme="1"/>
        <rFont val="Calibri"/>
        <family val="2"/>
        <scheme val="minor"/>
      </rPr>
      <t xml:space="preserve">, as proposed by Bussiere and Fratzscher (2006), by not including periods when a bank distress event occurs or the 4 quarters thereafter. However, post-distress periods are included in the sample if they are also pre-distress periods. The excluded observations are not informative regarding the transition from tranquil times to distress events, as they can neither be considered “normal” periods nor vulnerabilities prior to distress." (Betz et al. (2014)) </t>
    </r>
  </si>
  <si>
    <t>Coverage ratio is computed following González-Hermosillo (1999) as (capital equity + loan reserve - nonperforming loans)/total assets. In Datastream : (preferred stock + common equity + loan-losses provisions - nonperforming loans)/total assets i.e. (WC03451+WC03501+WC02275-WC02285)/WC02999.</t>
  </si>
  <si>
    <t>AAIMG.VI^H10</t>
  </si>
  <si>
    <t>OTVVp.VI^L15</t>
  </si>
  <si>
    <t>DEXI.BR^L19</t>
  </si>
  <si>
    <t>6C9.BB^E16</t>
  </si>
  <si>
    <t>IEBK.BU^E07</t>
  </si>
  <si>
    <t>CPBC.CY^G13</t>
  </si>
  <si>
    <t>AARHUS.CO^D12</t>
  </si>
  <si>
    <t>AMBA.CO^C11</t>
  </si>
  <si>
    <t>BANKTR.CO^A08</t>
  </si>
  <si>
    <t>EBH.CO^E09</t>
  </si>
  <si>
    <t>FO-EIK.CO^L10</t>
  </si>
  <si>
    <t>FIONIA.CO^L09</t>
  </si>
  <si>
    <t>FJORD.CO^H11</t>
  </si>
  <si>
    <t>FORST.CO^K08</t>
  </si>
  <si>
    <t>LOKA.CO^J08</t>
  </si>
  <si>
    <t>MAX.CO^J11</t>
  </si>
  <si>
    <t>MORS.CO^K10</t>
  </si>
  <si>
    <t>ROSKBEBGN.DEp^K09</t>
  </si>
  <si>
    <t>SKLS.CO^I10</t>
  </si>
  <si>
    <t>SPALOL.CO^A13</t>
  </si>
  <si>
    <t>TNDR.CO^K12</t>
  </si>
  <si>
    <t>BNORDIK.IC^B17</t>
  </si>
  <si>
    <t>BLGGgi.F^D20</t>
  </si>
  <si>
    <t>AHYGga.F^D10</t>
  </si>
  <si>
    <t>DUOGg.D^F10</t>
  </si>
  <si>
    <t>HRXG.DE^J09</t>
  </si>
  <si>
    <t>IKBGga.F^G17</t>
  </si>
  <si>
    <t>LKBFg.F^I15</t>
  </si>
  <si>
    <t>LSAGgc.F^F15</t>
  </si>
  <si>
    <t>WDLGgi.SG^I12</t>
  </si>
  <si>
    <t>AGBr.AT^B16</t>
  </si>
  <si>
    <t>GHBr.AT^K14</t>
  </si>
  <si>
    <t>PRBr.AT^B16</t>
  </si>
  <si>
    <t>AMBr.AT^L18</t>
  </si>
  <si>
    <t>GPSr.AT^L18</t>
  </si>
  <si>
    <t>GLB.IC^J08</t>
  </si>
  <si>
    <t>KAUP.IC^A09</t>
  </si>
  <si>
    <t>LAIS.IC^J08</t>
  </si>
  <si>
    <t>SPRON.IC^C09</t>
  </si>
  <si>
    <t>STRB.IC^C09</t>
  </si>
  <si>
    <t>ANGL.I^A09</t>
  </si>
  <si>
    <t>PMII.MI^A17</t>
  </si>
  <si>
    <t>LKB1R.RI^C11</t>
  </si>
  <si>
    <t>SRS1L.VL^A12</t>
  </si>
  <si>
    <t>UKB1L.VL^F13</t>
  </si>
  <si>
    <t>GENBj.LU^I98</t>
  </si>
  <si>
    <t>SR.AS^C13</t>
  </si>
  <si>
    <t>BES.LS^B16</t>
  </si>
  <si>
    <t>BNF.LS^L12</t>
  </si>
  <si>
    <t>BBPI.LS^L18</t>
  </si>
  <si>
    <t>ABKN.LJ^L13</t>
  </si>
  <si>
    <t>NKBM.LJ^L13</t>
  </si>
  <si>
    <t>PRBP_p.LJ^L13</t>
  </si>
  <si>
    <t>BVA.MC^G13</t>
  </si>
  <si>
    <t>POP.MC^F17</t>
  </si>
  <si>
    <t>CAR.ST^L08</t>
  </si>
  <si>
    <t>HQ.TE^L17</t>
  </si>
  <si>
    <t>KAUP.ST^L08</t>
  </si>
  <si>
    <t>ALLL.L^J08</t>
  </si>
  <si>
    <t>BSCT.L^I01</t>
  </si>
  <si>
    <t>BB.L^I08</t>
  </si>
  <si>
    <t>HBOS.L^A09</t>
  </si>
  <si>
    <t>LSB.L^L08</t>
  </si>
  <si>
    <t>NRK.L^C08</t>
  </si>
  <si>
    <t>Technically, the bank is still in serious financial difficulties/RIC code for Natwest Group (original RIC: RBS.AS^D15, datastream mnemonics: 74190U or H:RBS)</t>
  </si>
  <si>
    <t>BE0172505399.BR</t>
  </si>
  <si>
    <t>BONUn.CO^J06</t>
  </si>
  <si>
    <t>FIHC.CO^A00</t>
  </si>
  <si>
    <t>Nationalisation of the bank (state purchase of shares previously detained by Bayern LB)/Placed under resolution</t>
  </si>
  <si>
    <t>TERCAS.HT^I14</t>
  </si>
  <si>
    <t>BPRAV.HT^K14</t>
  </si>
  <si>
    <t>Liquidation/state aid considered illegal by European Commission</t>
  </si>
  <si>
    <t>BTRB.NL^G07</t>
  </si>
  <si>
    <t>YBS_p.L^D19</t>
  </si>
  <si>
    <t>Beginning temporary administration by Governement, default (Fitch)/liquidation</t>
  </si>
  <si>
    <t>Announcement nationalisation, default/nationalisation (revamped as ALMC hf. In 2010), default (Fitch). Distress may have begun in October 2008</t>
  </si>
  <si>
    <t>Straumur Investment Bank hf. (ALMC hf)</t>
  </si>
  <si>
    <t>Announcement public intervention, default (Fitch)/placed under resolution (rebranded NBI hf. In October 2008 and Landsbankinn hf.  in April 2011)</t>
  </si>
  <si>
    <t>Announcement public intervention, default (Fitch)/placed under resolution, New Kaupthing established in October 2008, rebranded Arion banki in November 2009</t>
  </si>
  <si>
    <t>Default announced/placed under resolution (S&amp;P, Fitch)</t>
  </si>
  <si>
    <t>Announcement nationalisation plan, default (Fitch)/liquidity support in November 2008, December 2008, April 2009, October 2009, nationalisation in December 2008, restructuring plan : August 2010, bank split into Reverta (bad bank) and Citadele (good bank), banking licence revoked</t>
  </si>
  <si>
    <t>Bailout from private banks/ECB takes control of the bank (January 2019), default (Moody's)</t>
  </si>
  <si>
    <t>Greek governement imposes extended bank holidays and capital controls/default actually occurs (S&amp;P, Fitch, Moody's)</t>
  </si>
  <si>
    <t>Liquidation (bank sold to Banco Santander Totta), default (Moody's)/delisted</t>
  </si>
  <si>
    <t>Default - Seized by regulators (Moody's), announcement sale process to Lone Star/default - distressed exchange (Moody's)</t>
  </si>
  <si>
    <t>Greek governement imposes extended bank holidays and capital controls/default actually occurs (S&amp;P, Moody's, Fitch)</t>
  </si>
  <si>
    <t>Announcement public intervention/placed under resolution (good assets transferred to Novo Banco), recapitalisation in August 2014, default (Moody's)</t>
  </si>
  <si>
    <t>Hypo Alpe-Adria Bank International AG (Heta Asset Resolution AG)</t>
  </si>
  <si>
    <t>Fourth recapitalisation/liquidation (rebranding as Heta Asset Resolution AG without banking licence, end of liquidation in December 2014 (Balkans unit)), default (Moody's)</t>
  </si>
  <si>
    <t>Recapitalisation from resolution agency, states guarantees/takeover by Bank Unicaja (recapitalisation in March 2010, December 2012, state guarantees in March 2013). Bank created in 2010 by merger of Caja Espana and Caja Duero. Bad loan portfolio transferred to SAREB, default in 2013 (Moody's)</t>
  </si>
  <si>
    <t>Bail in of the bank and government administrations (4 month after end March), default (Fitch, Moody's)</t>
  </si>
  <si>
    <t>Adoption guarantee scheme/takeover by BBVA (Banco Bilbao Vizcaya Argentaria), state guarantees (December 2008), recapitalisation (March 2010, September 2011, November 2012, June 2013), closed in 2016. Bank created in 2010 by merger of three savings banks (notably Caixa Catalunya, Caixa Tarragona), default in 2013 (Moody's)</t>
  </si>
  <si>
    <t>Resolution Act adopted/default actually occurs (S&amp;P, Moody's)</t>
  </si>
  <si>
    <t>Creation of the bank as Effibank (merger of Cajasur-CCM, Caja Cantabria, Caja Extremadura)/recapitalisation, state guarantees adoption, bank did not require state aid until 2012, default (April 2012, Moody's)</t>
  </si>
  <si>
    <t>NCGOF.PK^L16</t>
  </si>
  <si>
    <t>NCG Banco (Abanca Corporacion Bancaria SA)</t>
  </si>
  <si>
    <t>Announcement state guarantees, creation of the bank (September 2011) by merger of Caja Gallicia and Caixabova under name Novacaixagalicia, changed to NCG in 2010/first recapitalisation and enforcement state guarantees</t>
  </si>
  <si>
    <t>Second recapitalisation/default in March 2013 (Moody's)</t>
  </si>
  <si>
    <t>Takeover by Etcheverria Banco S.A.rebranded ABANCA/merged with Etcheverria in December 2014, ABANCA surviving firm</t>
  </si>
  <si>
    <t>8681W1</t>
  </si>
  <si>
    <t>Second recapitalisation/nationalisation, default (Moody's). Adoption restructuration plan in 2017 with transfer of bad assets to Slovenian Bank Asset Management Company (BAMC), laid down in June 2017</t>
  </si>
  <si>
    <t>Adoption guarantee scheme/recapitalisation (enforcement for SNS Bank in January 2010)</t>
  </si>
  <si>
    <t>Urgent recapitalisation need warned by supervisor/Recapitalisation and separation into a good and bad bank (February 2013), default September 2013 (Moody's). SNS Bank rebranded De Volksbank in January 2017, disparition of SNS REAAL in September 2015</t>
  </si>
  <si>
    <t>Recapitalisation recommandation (EBA)/recapitalisation, first default (Moody's)</t>
  </si>
  <si>
    <t>Second recapitalisation/recapitalisation implemented (May 2012), third recapitalisation, default (Moody's, distressed exchange)</t>
  </si>
  <si>
    <t>Merger with Allied Irish Bank/state aid granted (incorporation to Allied Irish Bank in 2012), default (Moody's, distressed exchange)</t>
  </si>
  <si>
    <t>Adoption guarantee, recapitalisation schemes/recapitalisation, group rebranded Permanent TSB in July 2013, profitable part (Life Groupe) sold to Great-West Lifeco, default (Moody's)</t>
  </si>
  <si>
    <t>Adoption guarantee, recapitalisation schemes/takeover by Irish Life and Permanent Group Holding (capital injection in March and September 2010, nationalisation in March 2010), default in 2011 (Moody's)</t>
  </si>
  <si>
    <t>Liquidation, bank divided into two parts in January 2010, one part being acquired by the Virgin Money Fund (January 2012) and rebranded. Sale of large part of the assets in June 2013. Default in 2011 (distressed exchange, Moody's)</t>
  </si>
  <si>
    <t>Recapitalisations/liquidation (NAMA acquires bad debt until 2011), split into Asset Recovery Bank (liquidated) and Funding Banks (deposits guaranted by the state), default (Moody's, distressed exchange)</t>
  </si>
  <si>
    <t>Second recapitalisation/last recapitalisation, defaults (Moody's, distressed exchange, 2010, 2011)</t>
  </si>
  <si>
    <t>First losses recorded (following involvement in Icelandic banks)/merger with the Yorkshire Building Society completed, default (Moody's, distressed exchange)</t>
  </si>
  <si>
    <t>Company considered insolvent/takeover by Nationwide Building Society, merger in October 2013, company rebranded, default in 2009 (Moody's)</t>
  </si>
  <si>
    <t>A distress event is any event entering at least one of the following categories (mainly following Betz et al. (2014)):</t>
  </si>
  <si>
    <t>Adoption State guarantee scheme (Bank package I)/sale of branches (activities transfer to Financial Stability Company for liquidation in May 2009, application liquidation plan in October 2010), default in 2010 (Moody's)</t>
  </si>
  <si>
    <t>Adoption guarantee scheme/enforcement - precise date unknown, default (Moody's, 2009, distressed exchange)</t>
  </si>
  <si>
    <t>Announcement capitalisation scheme to the bank/Bank taken over on August 2008 and divided into good and bad banks, default in October 2008 (Moody's)</t>
  </si>
  <si>
    <t>Espirito Santo Financial Group SA (ESFG)</t>
  </si>
  <si>
    <t>ESTL.LU^B16</t>
  </si>
  <si>
    <t>LX:ESP</t>
  </si>
  <si>
    <t>CTT.L^C11</t>
  </si>
  <si>
    <t>CTLS</t>
  </si>
  <si>
    <t>Banca Privada d'Andorra</t>
  </si>
  <si>
    <t>Andorra</t>
  </si>
  <si>
    <t>Default (Fitch)</t>
  </si>
  <si>
    <t>GMAC international finance B.V.</t>
  </si>
  <si>
    <t>GMAC Bank GmbH (Opel Bank S.A.)</t>
  </si>
  <si>
    <t>Default (Fitch, distressed exchange)</t>
  </si>
  <si>
    <t>Default (Fitch, Moody's, distressed exchange)</t>
  </si>
  <si>
    <t>Indover Bank</t>
  </si>
  <si>
    <t>Default (Fitch)/bankruptcy</t>
  </si>
  <si>
    <t>Default (S&amp;P)/Default (Moody's), diparition of Espirito Santo Group</t>
  </si>
  <si>
    <t>Banco Financiero y de Ahorros</t>
  </si>
  <si>
    <t>Estonia, Liechtenstein, Malta, Monaco, Norway, Poland, San Marino, Slovak Republic, Vatican City</t>
  </si>
  <si>
    <t>Andorra, Austria, Belgium, Bulgaria, Cyprus, Czech Republic, Denmark, Faroe Islands, Finland, France, Germany, Greece, Hungary, Iceland, Ireland, Italy, Latvia, Lithuania, Luxembourg, the Netherlands, Portugal, Slovenia, Spain, Sweden, Switzerland, the United Kingdom</t>
  </si>
  <si>
    <t>Default (Moody's, distressed exchange)</t>
  </si>
  <si>
    <t>Ibercaja Banco SA</t>
  </si>
  <si>
    <t>Creation of the bank from a merger of three cooperatives/merger with Ibercaja Banco (state guarantees since 2010, recapitalisation in December 2012)</t>
  </si>
  <si>
    <t>Moody’s Annual Default Study: Corporate Default and Recovery Rates (2000-2019)</t>
  </si>
  <si>
    <t>S&amp;P Annual Global Corporate Default And Rating (2000-2020)</t>
  </si>
  <si>
    <t>Fitch Ratings Global Corporate Finance: Transition and Default Study (2000-2019)</t>
  </si>
  <si>
    <t>SachsenLB (Landesbank Sachsen AG)</t>
  </si>
  <si>
    <t>Carnegie Investment Bank AB (HEMBLA AB)</t>
  </si>
  <si>
    <t>Capital injections (December 2010, July 2011), Merger with EBS/state aid granted - surviving company, default (Moody's, distressed exchange), renamed AIB Group plc</t>
  </si>
  <si>
    <t>Rothschild &amp; Co Continuation Finance PLC</t>
  </si>
  <si>
    <t>Adoption guarantee scheme/enforcement - precise date unknown, named Rothschilds Continuation Finance PLC until 2018, was eligible to UK scheme but is a Non-bank FI Financing Vehicles/Special Purpose Entities (Fitch). Parent Rothschilds &amp; Co Continuation Limited is a Bank Holding Company</t>
  </si>
  <si>
    <t>DJSPAR.CO^A21</t>
  </si>
  <si>
    <t>Rated - Analysts recommendations</t>
  </si>
  <si>
    <t>February 2020</t>
  </si>
  <si>
    <t>• State support captures recapitalisation and asset relief (asset protection or asset guarantees) programs. The event is defined to begin when the program is announced or adopted (almost always the same quarter)  and to end when it is implemented to the bank. When a bank benefits from more than one program or intervention within one year, the duration is extended to capture the period of actual distress. When the period is longer, the bank is counted more than one time - one for each event. When the enforcement of the program happens a long time after its announcement or adoption, another more relevant date is considered.</t>
  </si>
  <si>
    <r>
      <t xml:space="preserve">• Private sector solutions are taken into account </t>
    </r>
    <r>
      <rPr>
        <sz val="12"/>
        <color theme="1"/>
        <rFont val="Calibri"/>
        <family val="2"/>
        <scheme val="minor"/>
      </rPr>
      <t xml:space="preserve">via </t>
    </r>
    <r>
      <rPr>
        <i/>
        <sz val="12"/>
        <color theme="1"/>
        <rFont val="Calibri"/>
        <family val="2"/>
        <scheme val="minor"/>
      </rPr>
      <t xml:space="preserve">mergers in distress (a parent receives state aid within 12 months after the merger or a merged entity has a coverage ratio below than 0 within 12 months before the merger) and IPO, purchase or liquidity providing (recapitalisation) by private investors. The event is defined to begin when the merger occurs and to end when the parent receives state aid, </t>
    </r>
    <r>
      <rPr>
        <i/>
        <sz val="12"/>
        <color theme="1"/>
        <rFont val="Calibri (Body)"/>
      </rPr>
      <t>or to start when the coverage ratio falls below 0 (within 12 months before the merger) and end when the merger occurs.</t>
    </r>
  </si>
  <si>
    <r>
      <t xml:space="preserve">Data was mainly extracted from S&amp;P, Moody's and Fitch annual compendiums of corporate defaults, Eikon Refinitiv, the financial (Reuters, the Financial Times, Bloomberg) and general press, the European Commission, the Bank for International Settlements, the OECD, the World Bank, the European Central Bank and national Central Banks and resolution funds, the Yale Program on Financial Stability, law firms (e.g. MayerBrown) and various academical papers, see worksheet "Sources'' for more details. 
• </t>
    </r>
    <r>
      <rPr>
        <sz val="12"/>
        <color theme="1"/>
        <rFont val="Calibri"/>
        <family val="2"/>
        <scheme val="minor"/>
      </rPr>
      <t xml:space="preserve">Frank Betz, Silviu Oprică, Tuomas A. Peltonen, and Peter Sarlin. Predicting distress in European banks. </t>
    </r>
    <r>
      <rPr>
        <i/>
        <sz val="12"/>
        <color theme="1"/>
        <rFont val="Calibri"/>
        <family val="2"/>
        <scheme val="minor"/>
      </rPr>
      <t>Journal of Banking &amp; Finance</t>
    </r>
    <r>
      <rPr>
        <sz val="12"/>
        <color theme="1"/>
        <rFont val="Calibri"/>
        <family val="2"/>
        <scheme val="minor"/>
      </rPr>
      <t>, 45 :225–241, 2014.</t>
    </r>
    <r>
      <rPr>
        <i/>
        <sz val="12"/>
        <color theme="1"/>
        <rFont val="Calibri"/>
        <family val="2"/>
        <scheme val="minor"/>
      </rPr>
      <t xml:space="preserve">
• </t>
    </r>
    <r>
      <rPr>
        <sz val="12"/>
        <color theme="1"/>
        <rFont val="Calibri"/>
        <family val="2"/>
        <scheme val="minor"/>
      </rPr>
      <t>Brenda González-Hermosillo. Determinants of ex-ante banking system distress : A macro-micro empirical exploration of some recent episodes. Working Paper No. 99/33, International Monetary Fund, New York, 1999.</t>
    </r>
  </si>
  <si>
    <t>DATASTREAM MNEMONICS</t>
  </si>
  <si>
    <t>This database lists major distress events of European banks since Q1-2000 to Q4-2020, frequency is quarterly</t>
  </si>
  <si>
    <t>Pre-distress event variable (1 4 quarters before the distress event, else 0)</t>
  </si>
  <si>
    <t>BOC.CY^A17</t>
  </si>
  <si>
    <t>CP:BCH</t>
  </si>
  <si>
    <t>Default (Fitch)/liquidation, actually coverage ratio below 0 since January 2009</t>
  </si>
  <si>
    <t>Ex-Aspis Bank S.A. Adoption guarantee and recapitalisation schemes/Acquisition by Hellenic Postbank and rebranded T-Bank (coverage ratio below 0 from January 2009)</t>
  </si>
  <si>
    <t>Banca Monte dei Paschi di Siena SpA</t>
  </si>
  <si>
    <t>Allied Irish Banks plc/AIB Group (UK) plc</t>
  </si>
  <si>
    <t>Adoption guarantee, recapitalisation schemes/Nationalisation, original RIC/Datastream : ALBK.L^A11/ALBKL, AIB Group subsidiary of AIB</t>
  </si>
  <si>
    <t>Banca Piccolo Credito Valtellinese SpA</t>
  </si>
  <si>
    <t>Banco BPM SpA</t>
  </si>
  <si>
    <t>Fortis Bank Nederland (Holding) N.V. : Announcement recapitalisation agreement/nationalisation, integration into ABN Amro in July 2010</t>
  </si>
  <si>
    <t>Natwest/Royal Bank of Scotland (RBS)</t>
  </si>
  <si>
    <t>Cattles LTD</t>
  </si>
  <si>
    <t>Default (Fitch), acquisition by Bovess Ltd/delisted (liquidation in September 2016)</t>
  </si>
  <si>
    <t>Istituto per il Credito sportivo</t>
  </si>
  <si>
    <t>Adoption guarantee scheme/enforcement, merger with Banco Popolare SC (Banco BPM) to form Banco BPM in 2016</t>
  </si>
  <si>
    <t>Convertible preference shares injection in February 2011 by Resolution Fund (FROB) to facilitate aquisition of Banca Civica SA in 2012</t>
  </si>
  <si>
    <t>Announcement recapitalisation agreement Belgium, the Netherlands, Luxembourg (asset guarantees in November, nationalisation)/conclution of deal with BNP, European commission agreement</t>
  </si>
  <si>
    <t>Creation bank/banking licence set aside, clearing bank capitalised by Austrian Banks to provide liquidity and create confidence, conducted 310 auctions, no government guarantees used.</t>
  </si>
  <si>
    <t>Coverage ratio falls around 1, very difficult 2008 year/merger with Max Bank</t>
  </si>
  <si>
    <t>Announcement guarantee scheme/enforcement</t>
  </si>
  <si>
    <t>https://ec.europa.eu/competition/state_aid/cases/247539/247539_1578187_24_2.pdf</t>
  </si>
  <si>
    <t>https://ricerca.gelocal.it/tribunatreviso/archivio/tribunatreviso/2007/01/10/TCKPO_TCK05.html</t>
  </si>
  <si>
    <t>https://www.borsaitaliana.it/azioni/profilisocietari/46.en.htm</t>
  </si>
  <si>
    <t>https://www.20minutos.es/noticia/1780669/0/caixabanc/banca-civica/frob/</t>
  </si>
  <si>
    <t>https://www.20minutos.es/noticia/1780669/0/caixabanc/banca-civica/frob/?autoref=true</t>
  </si>
  <si>
    <t>Banca Civica SA</t>
  </si>
  <si>
    <t>BCIV.MC^H12</t>
  </si>
  <si>
    <t>Banco Pastor SA</t>
  </si>
  <si>
    <t>PAS.MC^C12</t>
  </si>
  <si>
    <t>Banca Popolare di Intra SpA</t>
  </si>
  <si>
    <t>PINI.MI^L08</t>
  </si>
  <si>
    <t>Marfin Egnatia Bank SA</t>
  </si>
  <si>
    <t>EGNr.AT^C11</t>
  </si>
  <si>
    <t>Emporiki Bank of Greece SA</t>
  </si>
  <si>
    <t>CBGr.AT^J11</t>
  </si>
  <si>
    <t>Dresdner Bank AG</t>
  </si>
  <si>
    <t>DRSDgd.F^F08</t>
  </si>
  <si>
    <t>E:BCIV</t>
  </si>
  <si>
    <t>E:PAS</t>
  </si>
  <si>
    <t>G:EGNC</t>
  </si>
  <si>
    <t>G:EMP</t>
  </si>
  <si>
    <t>Merger with Commerbank, announced 31/08/2008, effective 11/05/2009</t>
  </si>
  <si>
    <t>Merger with CPB (Laiki), announced 15/05/2009, effective end-2010 (CPB recapitalised in 2011), delisted March 2011</t>
  </si>
  <si>
    <t>Bank delisted (August 2011), coverage ratio falls below 0 (technically since 2006), recapitalisation by parent Credit Agricole (January 2012)/Merger with Alpha Bank, announced 01/10/2012 (Credit Agricole), effective in February 2013.</t>
  </si>
  <si>
    <t>Bank near collapse owing to Finpart bankruptcy (money laundering), the bank being strongly exposed/merger with Veneto Banca (April 2007), bank ceased to exist in November 2010</t>
  </si>
  <si>
    <t>Merger with Banco Popular announced (October 2011)/enforcement (November 2012)</t>
  </si>
  <si>
    <t>La Caixa (Caixabank) receive aid from the FROB (February 2011), merger announced (March 2012) with la Caixa/Enforcement (03/08/2012)</t>
  </si>
  <si>
    <t>Distress event slightly put forward (delisting in 2011 unstead of merger announcement) as no data following that date</t>
  </si>
  <si>
    <t>Nordea Bank Abp</t>
  </si>
  <si>
    <t>NDASE.ST</t>
  </si>
  <si>
    <t>W:NDAS</t>
  </si>
  <si>
    <t>Enforcement recapitalisation by the government</t>
  </si>
  <si>
    <t>Sale of the company in Greece (renamed CPB Bank) to Piraeus Bank in March 2013)/division into a good and a bad bank (Legacy Laiki), second default (Moody's)</t>
  </si>
  <si>
    <t>Sale of the company's branches in Greece to Piraeus Bank, default/successful private recapitalisation (announced in October)</t>
  </si>
  <si>
    <t>Additional funds granted, absorbed Agricultural Bank of Greece and Bank of Cyprus, Cyprus Popular Bank, Hellenic Bank  (Cyprus) (March 2013), funded by the EFSF (recapitalisation)</t>
  </si>
  <si>
    <t>Forced rescue by regional bank owners following moratorium on Heta liabilities/end of 2015 year</t>
  </si>
  <si>
    <t>Implementation bridge recapitalisation/new recapitalisation, bank renamed Eurobank Ergasias S.A. (June 2012)</t>
  </si>
  <si>
    <t>Default (0 if agency (obligation payment failure, distressed exchange); 1 if placed under administration, regulatory intervention)</t>
  </si>
  <si>
    <t>Unsuccessful attempt to raise capital in the financial markets/acquisition by Santander and disparition of the bank (full nationalisation in September 2008, sale to Santander in 2008, division and liquididation in March 2009), defaults (Moody's, distressed exchange, 2009 and 2010)</t>
  </si>
  <si>
    <t xml:space="preserve">• Actual bankruptcies (net worth of a bank falls below country-specific guidelines), liquidations (bank is sold as per the guidelines of the liquidator in which case the shareholders may not receive full payment for their ownership), defaults (obligation payment failure - bank has failed to pay interest or principal on at least one financial obligation beyond any grace period specified by the terms -, distressed exchange - at least one financial obligation is repurchased or replaced by other instruments with a diminished total value -, placed under administration or regulatory intervention, as per rating agencies categories). The event is defined to begin when the failure is announced and to end when it occurs. Default from agencies are coded 0 and removed from the final sample owing to endogeneity bias. </t>
  </si>
  <si>
    <t>name</t>
  </si>
  <si>
    <t>datastream</t>
  </si>
  <si>
    <t>rated</t>
  </si>
  <si>
    <t>start_year</t>
  </si>
  <si>
    <t>country</t>
  </si>
  <si>
    <t>default</t>
  </si>
  <si>
    <t>state_support_capital_injection</t>
  </si>
  <si>
    <t>state_support_nationalisation</t>
  </si>
  <si>
    <t>state_support_asset_relief</t>
  </si>
  <si>
    <t>private_support_ipo</t>
  </si>
  <si>
    <t>private_support_merger</t>
  </si>
  <si>
    <t>other</t>
  </si>
  <si>
    <t>month_start</t>
  </si>
  <si>
    <t>month_end</t>
  </si>
  <si>
    <t>duration_q</t>
  </si>
  <si>
    <t>quarter_start</t>
  </si>
  <si>
    <t>quarter_end</t>
  </si>
  <si>
    <t>notes</t>
  </si>
  <si>
    <t>reminders</t>
  </si>
  <si>
    <t>original_spelling</t>
  </si>
  <si>
    <t>RIC</t>
  </si>
  <si>
    <t>LEI</t>
  </si>
  <si>
    <t>529900S9YO2JHTIIDG38</t>
  </si>
  <si>
    <t>PQOH26KWDF7CG10L6792</t>
  </si>
  <si>
    <t>FJDBAXYL0TCMGLPQ4563</t>
  </si>
  <si>
    <t>9ZHRYM6F437SQJ6OUG95</t>
  </si>
  <si>
    <t>D3K6HXMBBB6SK9OXH394</t>
  </si>
  <si>
    <t>213800X3Q9LSAKRUWY91</t>
  </si>
  <si>
    <t>635400L14KNHZXPUZM19</t>
  </si>
  <si>
    <t>CXUHEGU3MADZ2CEV7C11</t>
  </si>
  <si>
    <t>EZKODONU5TYHW4PP1R34</t>
  </si>
  <si>
    <t>VDYMYTQGZZ6DU0912C88</t>
  </si>
  <si>
    <t>851WYGNLUQLFZBSYGB56</t>
  </si>
  <si>
    <t>52990082YOVOZIC8QX60</t>
  </si>
  <si>
    <t>PWEFG14QWWESISQ84C69</t>
  </si>
  <si>
    <t>B81CK4ESI35472RHJ606</t>
  </si>
  <si>
    <t>549300W1QYDI0OYR2P73</t>
  </si>
  <si>
    <t>MAES062Z21O4RZ2U7M96</t>
  </si>
  <si>
    <t>54930056IRBXK0Q1FP96</t>
  </si>
  <si>
    <t>SI5RG2M0WQQLZCXKRM20</t>
  </si>
  <si>
    <t>549300UFE7EDE4N17L58</t>
  </si>
  <si>
    <t>80H66LPTVDLM0P28XF25</t>
  </si>
  <si>
    <t>7CUNS533WID6K7DGFI87</t>
  </si>
  <si>
    <t>959800CSLVYK0MVXJU75</t>
  </si>
  <si>
    <t>529900ODI3047E2LIV03</t>
  </si>
  <si>
    <t>R0MUWSFPU8MPRO8K5P83</t>
  </si>
  <si>
    <t>FR969500TJ5KRTCJQWXH</t>
  </si>
  <si>
    <t>O2RNE8IBXP4R0TD8PU41</t>
  </si>
  <si>
    <t>G5GSEF7VJP5I7OUK5573</t>
  </si>
  <si>
    <t>549300PPXHEU2JF0AM85</t>
  </si>
  <si>
    <t>2138005O9XJIJN4JPN90</t>
  </si>
  <si>
    <t>5299009N55YRQC69CN08</t>
  </si>
  <si>
    <t>JEUVK5RWVJEN8W0C9M24</t>
  </si>
  <si>
    <t>5UMCZOEYKCVFAW8ZLO05</t>
  </si>
  <si>
    <t>M6AD1Y1KW32H8THQ6F76</t>
  </si>
  <si>
    <t>529900W3MOO00A18X956</t>
  </si>
  <si>
    <t>635400AKJBGNS5WNQL34</t>
  </si>
  <si>
    <t>635400C8EK6DRI12LJ39</t>
  </si>
  <si>
    <t>635400DTNHVYGZODKQ93</t>
  </si>
  <si>
    <t>J4CP7MHCXR8DAQMKIL78</t>
  </si>
  <si>
    <t>8156009BC82130E7FC43</t>
  </si>
  <si>
    <t>815600E4E6DCD2D25E30</t>
  </si>
  <si>
    <t>BFXS5XCH7N0Y05NIXW11</t>
  </si>
  <si>
    <t>724500A1FNICHSDF2I11</t>
  </si>
  <si>
    <t>549300NYKK9MWM7GGW15</t>
  </si>
  <si>
    <t>3DM5DPGI3W6OU6GJ4N92</t>
  </si>
  <si>
    <t>JU1U6S0DG9YLT7N8ZV32</t>
  </si>
  <si>
    <t>635400JV7IJL16OWIT96</t>
  </si>
  <si>
    <t>F3JS33DEI6XQ4ZBPTN86</t>
  </si>
  <si>
    <t>M312WZV08Y7LYUC71685</t>
  </si>
  <si>
    <t>549300J0GSZ83GTKBZ89</t>
  </si>
  <si>
    <t>5493001BABFV7P27OW30</t>
  </si>
  <si>
    <t>549300DC1CW6CCHTBC22</t>
  </si>
  <si>
    <t>0W5QHUNYV4W7GJO62R27</t>
  </si>
  <si>
    <t>549300IEVCBWVV97WC81</t>
  </si>
  <si>
    <t>KGCEPHLVVKVRZYO1T647</t>
  </si>
  <si>
    <t>ISO2</t>
  </si>
  <si>
    <t>AT</t>
  </si>
  <si>
    <t>BE</t>
  </si>
  <si>
    <t>BG</t>
  </si>
  <si>
    <t>AD</t>
  </si>
  <si>
    <t>CY</t>
  </si>
  <si>
    <t>CZ</t>
  </si>
  <si>
    <t>DK</t>
  </si>
  <si>
    <t>FO</t>
  </si>
  <si>
    <t>FI</t>
  </si>
  <si>
    <t>FR</t>
  </si>
  <si>
    <t>DE</t>
  </si>
  <si>
    <t>GR</t>
  </si>
  <si>
    <t>HU</t>
  </si>
  <si>
    <t>IS</t>
  </si>
  <si>
    <t>IE</t>
  </si>
  <si>
    <t>IT</t>
  </si>
  <si>
    <t>LV</t>
  </si>
  <si>
    <t>LT</t>
  </si>
  <si>
    <t>LU</t>
  </si>
  <si>
    <t>NL</t>
  </si>
  <si>
    <t>PT</t>
  </si>
  <si>
    <t>RO</t>
  </si>
  <si>
    <t>SI</t>
  </si>
  <si>
    <t>ES</t>
  </si>
  <si>
    <t>SE</t>
  </si>
  <si>
    <t>CH</t>
  </si>
  <si>
    <t>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</si>
</sst>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18">
    <font>
      <sz val="12"/>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sz val="10"/>
      <color theme="1"/>
      <name val="TT19Ft00"/>
    </font>
    <font>
      <sz val="12"/>
      <color rgb="FFFF0000"/>
      <name val="Calibri"/>
      <family val="2"/>
      <scheme val="minor"/>
    </font>
    <font>
      <sz val="12"/>
      <color rgb="FF000000"/>
      <name val="Calibri"/>
      <family val="2"/>
      <scheme val="minor"/>
    </font>
    <font>
      <sz val="11"/>
      <color theme="1"/>
      <name val="TimesNewRomanPSMT"/>
    </font>
    <font>
      <i/>
      <sz val="12"/>
      <color theme="1"/>
      <name val="Calibri"/>
      <family val="2"/>
      <scheme val="minor"/>
    </font>
    <font>
      <i/>
      <sz val="12"/>
      <color rgb="FF000000"/>
      <name val="Calibri"/>
      <family val="2"/>
      <scheme val="minor"/>
    </font>
    <font>
      <sz val="12"/>
      <color theme="1"/>
      <name val="Times New Roman"/>
      <family val="1"/>
    </font>
    <font>
      <sz val="10"/>
      <color rgb="FFFF0000"/>
      <name val="TT19Ft00"/>
    </font>
    <font>
      <i/>
      <sz val="12"/>
      <color theme="1"/>
      <name val="Calibri (Body)"/>
    </font>
    <font>
      <b/>
      <sz val="12"/>
      <color theme="1"/>
      <name val="Calibri (Body)"/>
    </font>
    <font>
      <sz val="12"/>
      <color theme="1"/>
      <name val="Calibri (Body)"/>
    </font>
    <font>
      <sz val="11"/>
      <color theme="1"/>
      <name val="Calibri"/>
      <family val="2"/>
      <scheme val="minor"/>
    </font>
    <font>
      <u/>
      <sz val="12"/>
      <color theme="10"/>
      <name val="Calibri"/>
      <family val="2"/>
      <scheme val="minor"/>
    </font>
    <font>
      <sz val="12"/>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6" fillId="0" borderId="0" applyNumberFormat="0" applyFill="0" applyBorder="0" applyAlignment="0" applyProtection="0"/>
  </cellStyleXfs>
  <cellXfs count="82">
    <xf numFmtId="0" fontId="0" fillId="0" borderId="0" xfId="0"/>
    <xf numFmtId="0" fontId="0" fillId="0" borderId="0" xfId="0" applyAlignment="1">
      <alignment horizontal="right"/>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0" xfId="0" applyFont="1"/>
    <xf numFmtId="17" fontId="0" fillId="0" borderId="0" xfId="0" applyNumberFormat="1"/>
    <xf numFmtId="0" fontId="4" fillId="0" borderId="0" xfId="0" applyFont="1"/>
    <xf numFmtId="0" fontId="5" fillId="0" borderId="0" xfId="0" applyFont="1"/>
    <xf numFmtId="0" fontId="6" fillId="0" borderId="0" xfId="0" applyFont="1"/>
    <xf numFmtId="0" fontId="9" fillId="0" borderId="0" xfId="0" applyFont="1"/>
    <xf numFmtId="0" fontId="8" fillId="0" borderId="0" xfId="0" applyFont="1"/>
    <xf numFmtId="164" fontId="8" fillId="0" borderId="0" xfId="0" applyNumberFormat="1" applyFont="1"/>
    <xf numFmtId="0" fontId="0" fillId="0" borderId="13" xfId="0" applyBorder="1"/>
    <xf numFmtId="0" fontId="0" fillId="3" borderId="10" xfId="0" applyFill="1" applyBorder="1"/>
    <xf numFmtId="0" fontId="0" fillId="3" borderId="0" xfId="0" applyFill="1"/>
    <xf numFmtId="0" fontId="0" fillId="3" borderId="11" xfId="0" applyFill="1" applyBorder="1"/>
    <xf numFmtId="0" fontId="8" fillId="3" borderId="11" xfId="0" applyFont="1" applyFill="1" applyBorder="1"/>
    <xf numFmtId="164" fontId="8" fillId="3" borderId="0" xfId="0" quotePrefix="1" applyNumberFormat="1" applyFont="1" applyFill="1"/>
    <xf numFmtId="164" fontId="8" fillId="3" borderId="11" xfId="0" applyNumberFormat="1" applyFont="1" applyFill="1" applyBorder="1"/>
    <xf numFmtId="0" fontId="9" fillId="3" borderId="0" xfId="0" applyFont="1" applyFill="1"/>
    <xf numFmtId="0" fontId="9" fillId="3" borderId="11" xfId="0" applyFont="1" applyFill="1" applyBorder="1"/>
    <xf numFmtId="0" fontId="2" fillId="3" borderId="10" xfId="0" applyFont="1" applyFill="1" applyBorder="1"/>
    <xf numFmtId="0" fontId="2" fillId="3" borderId="0" xfId="0" applyFont="1" applyFill="1"/>
    <xf numFmtId="0" fontId="2" fillId="3" borderId="11" xfId="0" applyFont="1" applyFill="1" applyBorder="1"/>
    <xf numFmtId="0" fontId="8" fillId="3" borderId="11" xfId="0" applyFont="1" applyFill="1" applyBorder="1" applyAlignment="1">
      <alignment wrapText="1"/>
    </xf>
    <xf numFmtId="0" fontId="8" fillId="3" borderId="0" xfId="0" applyFont="1" applyFill="1" applyAlignment="1">
      <alignment horizontal="left"/>
    </xf>
    <xf numFmtId="0" fontId="8" fillId="3" borderId="11" xfId="0" applyFont="1" applyFill="1" applyBorder="1" applyAlignment="1">
      <alignment vertical="center" wrapText="1"/>
    </xf>
    <xf numFmtId="0" fontId="0" fillId="3" borderId="12" xfId="0" applyFill="1" applyBorder="1" applyAlignment="1">
      <alignment vertical="top"/>
    </xf>
    <xf numFmtId="0" fontId="10" fillId="0" borderId="0" xfId="0" applyFont="1"/>
    <xf numFmtId="0" fontId="0" fillId="2" borderId="1" xfId="0" applyFill="1" applyBorder="1" applyAlignment="1">
      <alignment horizontal="center"/>
    </xf>
    <xf numFmtId="0" fontId="0" fillId="2" borderId="1" xfId="0" applyFill="1" applyBorder="1" applyAlignment="1">
      <alignment horizontal="center" wrapText="1"/>
    </xf>
    <xf numFmtId="0" fontId="0" fillId="0" borderId="8" xfId="0" applyBorder="1"/>
    <xf numFmtId="0" fontId="0" fillId="0" borderId="6" xfId="0" applyBorder="1" applyAlignment="1">
      <alignment horizontal="center" vertical="center"/>
    </xf>
    <xf numFmtId="0" fontId="0" fillId="0" borderId="6" xfId="0" applyBorder="1"/>
    <xf numFmtId="0" fontId="11" fillId="0" borderId="0" xfId="0" applyFont="1"/>
    <xf numFmtId="0" fontId="6" fillId="0" borderId="0" xfId="0" applyFont="1" applyAlignment="1">
      <alignment vertical="center"/>
    </xf>
    <xf numFmtId="0" fontId="0" fillId="0" borderId="0" xfId="0" applyAlignment="1">
      <alignment vertical="center"/>
    </xf>
    <xf numFmtId="0" fontId="0" fillId="2" borderId="1" xfId="0" applyFill="1" applyBorder="1"/>
    <xf numFmtId="0" fontId="2" fillId="2" borderId="1" xfId="0" applyFont="1" applyFill="1" applyBorder="1"/>
    <xf numFmtId="0" fontId="5" fillId="0" borderId="0" xfId="0" applyFont="1" applyAlignment="1">
      <alignment horizontal="right"/>
    </xf>
    <xf numFmtId="0" fontId="0" fillId="0" borderId="0" xfId="0" applyAlignment="1">
      <alignment horizontal="left"/>
    </xf>
    <xf numFmtId="0" fontId="0" fillId="0" borderId="0" xfId="0" applyAlignment="1">
      <alignment wrapText="1"/>
    </xf>
    <xf numFmtId="0" fontId="0" fillId="0" borderId="0" xfId="0" applyAlignment="1">
      <alignment horizontal="left" vertical="center" wrapText="1"/>
    </xf>
    <xf numFmtId="0" fontId="13" fillId="3" borderId="11" xfId="0" applyFont="1" applyFill="1" applyBorder="1" applyAlignment="1">
      <alignment vertical="center" wrapText="1"/>
    </xf>
    <xf numFmtId="0" fontId="0" fillId="3" borderId="13" xfId="0" applyFill="1" applyBorder="1" applyAlignment="1">
      <alignment vertical="top"/>
    </xf>
    <xf numFmtId="0" fontId="0" fillId="3" borderId="14" xfId="0" applyFill="1" applyBorder="1" applyAlignment="1">
      <alignment vertical="top" wrapText="1"/>
    </xf>
    <xf numFmtId="0" fontId="14" fillId="3" borderId="11" xfId="0" applyFont="1" applyFill="1" applyBorder="1" applyAlignment="1">
      <alignment vertical="center" wrapText="1"/>
    </xf>
    <xf numFmtId="0" fontId="2" fillId="3" borderId="10" xfId="0" applyFont="1" applyFill="1" applyBorder="1" applyAlignment="1">
      <alignment vertical="center"/>
    </xf>
    <xf numFmtId="0" fontId="2" fillId="3" borderId="0" xfId="0" applyFont="1" applyFill="1" applyAlignment="1">
      <alignment vertical="center"/>
    </xf>
    <xf numFmtId="0" fontId="2" fillId="3" borderId="11" xfId="0" applyFont="1" applyFill="1" applyBorder="1" applyAlignment="1">
      <alignment vertical="center"/>
    </xf>
    <xf numFmtId="0" fontId="15" fillId="0" borderId="0" xfId="0" applyFont="1"/>
    <xf numFmtId="0" fontId="16" fillId="0" borderId="0" xfId="1"/>
    <xf numFmtId="0" fontId="16" fillId="3" borderId="10" xfId="1" applyFill="1" applyBorder="1" applyAlignment="1">
      <alignment vertical="top"/>
    </xf>
    <xf numFmtId="0" fontId="16" fillId="3" borderId="10" xfId="1" applyFill="1" applyBorder="1"/>
    <xf numFmtId="0" fontId="1" fillId="0" borderId="0" xfId="0" applyFont="1"/>
    <xf numFmtId="0" fontId="17" fillId="0" borderId="0" xfId="0" applyFont="1"/>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3" borderId="10" xfId="0" applyFill="1" applyBorder="1" applyAlignment="1">
      <alignment horizontal="left" vertical="top"/>
    </xf>
    <xf numFmtId="0" fontId="0" fillId="3" borderId="0" xfId="0" applyFill="1" applyAlignment="1">
      <alignment horizontal="left" vertical="top"/>
    </xf>
    <xf numFmtId="0" fontId="0" fillId="3" borderId="10" xfId="0" applyFill="1" applyBorder="1" applyAlignment="1">
      <alignment horizontal="left" vertical="top" wrapText="1"/>
    </xf>
    <xf numFmtId="0" fontId="0" fillId="3" borderId="0" xfId="0" applyFill="1" applyAlignment="1">
      <alignment horizontal="left" vertical="top" wrapText="1"/>
    </xf>
    <xf numFmtId="0" fontId="2" fillId="3" borderId="7" xfId="0" applyFont="1" applyFill="1" applyBorder="1" applyAlignment="1">
      <alignment horizontal="left"/>
    </xf>
    <xf numFmtId="0" fontId="2" fillId="3" borderId="8" xfId="0" applyFont="1" applyFill="1" applyBorder="1" applyAlignment="1">
      <alignment horizontal="left"/>
    </xf>
    <xf numFmtId="0" fontId="2" fillId="3" borderId="9" xfId="0" applyFont="1" applyFill="1" applyBorder="1" applyAlignment="1">
      <alignment horizontal="left"/>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2" borderId="1" xfId="0" applyFill="1" applyBorder="1" applyAlignment="1">
      <alignment horizontal="center"/>
    </xf>
    <xf numFmtId="0" fontId="0" fillId="0" borderId="0" xfId="0" applyAlignment="1">
      <alignment horizontal="center"/>
    </xf>
    <xf numFmtId="0" fontId="2" fillId="2" borderId="15" xfId="0" applyFont="1" applyFill="1" applyBorder="1" applyAlignment="1">
      <alignment horizontal="center" vertical="center"/>
    </xf>
    <xf numFmtId="0" fontId="1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I25"/>
  <sheetViews>
    <sheetView topLeftCell="A16" zoomScale="88" workbookViewId="0">
      <selection activeCell="D19" sqref="D19"/>
    </sheetView>
  </sheetViews>
  <sheetFormatPr baseColWidth="10" defaultRowHeight="16"/>
  <cols>
    <col min="2" max="2" width="10.83203125" customWidth="1"/>
    <col min="3" max="3" width="15" customWidth="1"/>
    <col min="4" max="4" width="98.83203125" customWidth="1"/>
    <col min="6" max="6" width="61.6640625" customWidth="1"/>
  </cols>
  <sheetData>
    <row r="2" spans="2:9">
      <c r="B2" s="62" t="s">
        <v>401</v>
      </c>
      <c r="C2" s="63"/>
      <c r="D2" s="64"/>
      <c r="E2" s="4"/>
      <c r="F2" s="4"/>
      <c r="G2" s="4"/>
      <c r="H2" s="4"/>
    </row>
    <row r="3" spans="2:9">
      <c r="B3" s="13"/>
      <c r="C3" s="14"/>
      <c r="D3" s="15"/>
    </row>
    <row r="4" spans="2:9">
      <c r="B4" s="13" t="s">
        <v>404</v>
      </c>
      <c r="C4" s="25">
        <v>1</v>
      </c>
      <c r="D4" s="16"/>
      <c r="E4" s="10"/>
      <c r="F4" s="10"/>
      <c r="G4" s="10"/>
      <c r="H4" s="10"/>
    </row>
    <row r="5" spans="2:9">
      <c r="B5" s="13" t="s">
        <v>405</v>
      </c>
      <c r="C5" s="17" t="s">
        <v>1044</v>
      </c>
      <c r="D5" s="18"/>
      <c r="E5" s="11"/>
      <c r="F5" s="11"/>
      <c r="G5" s="11"/>
      <c r="H5" s="11"/>
    </row>
    <row r="6" spans="2:9">
      <c r="B6" s="13"/>
      <c r="C6" s="14"/>
      <c r="D6" s="15"/>
    </row>
    <row r="7" spans="2:9">
      <c r="B7" s="13" t="s">
        <v>403</v>
      </c>
      <c r="C7" s="19" t="s">
        <v>402</v>
      </c>
      <c r="D7" s="20"/>
      <c r="E7" s="9"/>
      <c r="F7" s="9"/>
      <c r="G7" s="9"/>
      <c r="H7" s="9"/>
      <c r="I7" s="9"/>
    </row>
    <row r="8" spans="2:9">
      <c r="B8" s="13"/>
      <c r="C8" s="14"/>
      <c r="D8" s="15"/>
    </row>
    <row r="9" spans="2:9">
      <c r="B9" s="21" t="s">
        <v>406</v>
      </c>
      <c r="C9" s="22"/>
      <c r="D9" s="23"/>
      <c r="E9" s="4"/>
      <c r="F9" s="4"/>
      <c r="G9" s="4"/>
      <c r="H9" s="4"/>
    </row>
    <row r="10" spans="2:9">
      <c r="B10" s="13" t="s">
        <v>1049</v>
      </c>
      <c r="C10" s="14"/>
      <c r="D10" s="15"/>
    </row>
    <row r="11" spans="2:9">
      <c r="B11" s="13"/>
      <c r="C11" s="14"/>
      <c r="D11" s="15"/>
    </row>
    <row r="12" spans="2:9" ht="52" customHeight="1">
      <c r="B12" s="58" t="s">
        <v>407</v>
      </c>
      <c r="C12" s="59"/>
      <c r="D12" s="24" t="s">
        <v>1030</v>
      </c>
    </row>
    <row r="13" spans="2:9" ht="63" customHeight="1">
      <c r="B13" s="60" t="s">
        <v>408</v>
      </c>
      <c r="C13" s="61"/>
      <c r="D13" s="26" t="s">
        <v>1029</v>
      </c>
    </row>
    <row r="14" spans="2:9">
      <c r="B14" s="13"/>
      <c r="C14" s="14"/>
      <c r="D14" s="16"/>
    </row>
    <row r="15" spans="2:9">
      <c r="B15" s="53" t="s">
        <v>409</v>
      </c>
      <c r="C15" s="14"/>
      <c r="D15" s="16" t="s">
        <v>1009</v>
      </c>
    </row>
    <row r="16" spans="2:9" ht="136">
      <c r="B16" s="13"/>
      <c r="C16" s="14"/>
      <c r="D16" s="24" t="s">
        <v>1110</v>
      </c>
    </row>
    <row r="17" spans="2:6" ht="98" customHeight="1">
      <c r="B17" s="13"/>
      <c r="C17" s="14"/>
      <c r="D17" s="24" t="s">
        <v>1045</v>
      </c>
    </row>
    <row r="18" spans="2:6" ht="81" customHeight="1">
      <c r="B18" s="13"/>
      <c r="C18" s="14"/>
      <c r="D18" s="24" t="s">
        <v>1046</v>
      </c>
    </row>
    <row r="19" spans="2:6" ht="68" customHeight="1">
      <c r="B19" s="13"/>
      <c r="C19" s="14"/>
      <c r="D19" s="46" t="s">
        <v>895</v>
      </c>
      <c r="F19" s="41"/>
    </row>
    <row r="20" spans="2:6" ht="48" customHeight="1">
      <c r="B20" s="13"/>
      <c r="C20" s="14"/>
      <c r="D20" s="43" t="s">
        <v>890</v>
      </c>
    </row>
    <row r="21" spans="2:6" ht="172" customHeight="1">
      <c r="B21" s="52" t="s">
        <v>15</v>
      </c>
      <c r="C21" s="14"/>
      <c r="D21" s="24" t="s">
        <v>1047</v>
      </c>
      <c r="E21" s="51"/>
    </row>
    <row r="22" spans="2:6" ht="51" customHeight="1">
      <c r="B22" s="47" t="s">
        <v>893</v>
      </c>
      <c r="C22" s="48"/>
      <c r="D22" s="49" t="s">
        <v>1050</v>
      </c>
    </row>
    <row r="23" spans="2:6" ht="85">
      <c r="B23" s="27" t="s">
        <v>892</v>
      </c>
      <c r="C23" s="44"/>
      <c r="D23" s="45" t="s">
        <v>894</v>
      </c>
    </row>
    <row r="25" spans="2:6">
      <c r="B25" s="7"/>
    </row>
  </sheetData>
  <mergeCells count="3">
    <mergeCell ref="B12:C12"/>
    <mergeCell ref="B13:C13"/>
    <mergeCell ref="B2:D2"/>
  </mergeCells>
  <hyperlinks>
    <hyperlink ref="B21" location="Sources!A1" display="Sources:" xr:uid="{6D801B32-795F-BF4C-8581-75DFE71AAD77}"/>
    <hyperlink ref="B15" location="'Main Table'!A1" display="Definition: " xr:uid="{7E6E5035-535C-DB4C-B49C-323DCDF3B8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41"/>
  <sheetViews>
    <sheetView tabSelected="1" zoomScale="83" zoomScaleNormal="55" workbookViewId="0">
      <pane xSplit="1" topLeftCell="B1" activePane="topRight" state="frozen"/>
      <selection pane="topRight" activeCell="J325" sqref="J325"/>
    </sheetView>
  </sheetViews>
  <sheetFormatPr baseColWidth="10" defaultRowHeight="16"/>
  <cols>
    <col min="1" max="2" width="51.33203125" customWidth="1"/>
    <col min="3" max="3" width="18.6640625" customWidth="1"/>
    <col min="4" max="4" width="14.6640625" customWidth="1"/>
    <col min="5" max="5" width="20.6640625" customWidth="1"/>
    <col min="6" max="6" width="15.33203125" customWidth="1"/>
    <col min="7" max="7" width="17" style="1" customWidth="1"/>
    <col min="8" max="8" width="17" style="79" customWidth="1"/>
    <col min="9" max="9" width="10.83203125" customWidth="1"/>
    <col min="10" max="10" width="13" customWidth="1"/>
    <col min="11" max="11" width="20" customWidth="1"/>
    <col min="12" max="13" width="14.1640625" customWidth="1"/>
    <col min="14" max="14" width="15.6640625" customWidth="1"/>
    <col min="15" max="15" width="15.1640625" customWidth="1"/>
    <col min="16" max="16" width="23.5" customWidth="1"/>
    <col min="20" max="20" width="18.1640625" customWidth="1"/>
    <col min="21" max="21" width="9" customWidth="1"/>
    <col min="22" max="22" width="9.6640625" customWidth="1"/>
    <col min="23" max="23" width="118.6640625" customWidth="1"/>
    <col min="24" max="24" width="76.1640625" style="7" customWidth="1"/>
  </cols>
  <sheetData>
    <row r="1" spans="1:25" ht="94" customHeight="1">
      <c r="A1" s="65" t="s">
        <v>2</v>
      </c>
      <c r="B1" s="66" t="s">
        <v>1132</v>
      </c>
      <c r="C1" s="68" t="s">
        <v>743</v>
      </c>
      <c r="D1" s="68" t="s">
        <v>1048</v>
      </c>
      <c r="E1" s="69" t="s">
        <v>1043</v>
      </c>
      <c r="F1" s="65" t="s">
        <v>21</v>
      </c>
      <c r="G1" s="65" t="s">
        <v>3</v>
      </c>
      <c r="H1" s="65" t="s">
        <v>1187</v>
      </c>
      <c r="I1" s="65" t="s">
        <v>5</v>
      </c>
      <c r="J1" s="65"/>
      <c r="K1" s="65"/>
      <c r="L1" s="65"/>
      <c r="M1" s="65"/>
      <c r="N1" s="65"/>
      <c r="O1" s="65"/>
      <c r="P1" s="65"/>
      <c r="Q1" s="65"/>
      <c r="R1" s="65" t="s">
        <v>366</v>
      </c>
      <c r="S1" s="65"/>
      <c r="T1" s="65" t="s">
        <v>18</v>
      </c>
      <c r="U1" s="65" t="s">
        <v>367</v>
      </c>
      <c r="V1" s="65"/>
      <c r="W1" s="65" t="s">
        <v>25</v>
      </c>
      <c r="X1" s="65" t="s">
        <v>344</v>
      </c>
    </row>
    <row r="2" spans="1:25">
      <c r="A2" s="65"/>
      <c r="B2" s="80"/>
      <c r="C2" s="68"/>
      <c r="D2" s="68"/>
      <c r="E2" s="70"/>
      <c r="F2" s="65"/>
      <c r="G2" s="65"/>
      <c r="H2" s="65"/>
      <c r="I2" s="66" t="s">
        <v>4</v>
      </c>
      <c r="J2" s="66" t="s">
        <v>1</v>
      </c>
      <c r="K2" s="69" t="s">
        <v>1108</v>
      </c>
      <c r="L2" s="72" t="s">
        <v>7</v>
      </c>
      <c r="M2" s="74"/>
      <c r="N2" s="73"/>
      <c r="O2" s="72" t="s">
        <v>9</v>
      </c>
      <c r="P2" s="73"/>
      <c r="Q2" s="69" t="s">
        <v>28</v>
      </c>
      <c r="R2" s="65"/>
      <c r="S2" s="65"/>
      <c r="T2" s="65"/>
      <c r="U2" s="65"/>
      <c r="V2" s="65"/>
      <c r="W2" s="65"/>
      <c r="X2" s="65"/>
    </row>
    <row r="3" spans="1:25" ht="96" customHeight="1">
      <c r="A3" s="65"/>
      <c r="B3" s="67"/>
      <c r="C3" s="68"/>
      <c r="D3" s="68" t="s">
        <v>742</v>
      </c>
      <c r="E3" s="71"/>
      <c r="F3" s="65"/>
      <c r="G3" s="65"/>
      <c r="H3" s="65"/>
      <c r="I3" s="67"/>
      <c r="J3" s="67"/>
      <c r="K3" s="71"/>
      <c r="L3" s="2" t="s">
        <v>6</v>
      </c>
      <c r="M3" s="2" t="s">
        <v>0</v>
      </c>
      <c r="N3" s="3" t="s">
        <v>8</v>
      </c>
      <c r="O3" s="3" t="s">
        <v>64</v>
      </c>
      <c r="P3" s="3" t="s">
        <v>10</v>
      </c>
      <c r="Q3" s="71"/>
      <c r="R3" s="2" t="s">
        <v>16</v>
      </c>
      <c r="S3" s="2" t="s">
        <v>17</v>
      </c>
      <c r="T3" s="65"/>
      <c r="U3" s="2" t="s">
        <v>16</v>
      </c>
      <c r="V3" s="2" t="s">
        <v>365</v>
      </c>
      <c r="W3" s="65"/>
      <c r="X3" s="65" t="s">
        <v>344</v>
      </c>
    </row>
    <row r="4" spans="1:25" ht="96" customHeight="1">
      <c r="A4" s="56" t="s">
        <v>1111</v>
      </c>
      <c r="B4" s="56" t="s">
        <v>1132</v>
      </c>
      <c r="C4" s="57" t="s">
        <v>1131</v>
      </c>
      <c r="D4" s="57" t="s">
        <v>1112</v>
      </c>
      <c r="E4" s="57" t="s">
        <v>1113</v>
      </c>
      <c r="F4" s="56" t="s">
        <v>1114</v>
      </c>
      <c r="G4" s="56" t="s">
        <v>1115</v>
      </c>
      <c r="H4" s="56" t="s">
        <v>1187</v>
      </c>
      <c r="I4" s="56" t="s">
        <v>4</v>
      </c>
      <c r="J4" s="56" t="s">
        <v>1</v>
      </c>
      <c r="K4" s="57" t="s">
        <v>1116</v>
      </c>
      <c r="L4" s="56" t="s">
        <v>1117</v>
      </c>
      <c r="M4" s="56" t="s">
        <v>1118</v>
      </c>
      <c r="N4" s="57" t="s">
        <v>1119</v>
      </c>
      <c r="O4" s="57" t="s">
        <v>1120</v>
      </c>
      <c r="P4" s="57" t="s">
        <v>1121</v>
      </c>
      <c r="Q4" s="57" t="s">
        <v>1122</v>
      </c>
      <c r="R4" s="56" t="s">
        <v>1123</v>
      </c>
      <c r="S4" s="56" t="s">
        <v>1124</v>
      </c>
      <c r="T4" s="56" t="s">
        <v>1125</v>
      </c>
      <c r="U4" s="56" t="s">
        <v>1126</v>
      </c>
      <c r="V4" s="56" t="s">
        <v>1127</v>
      </c>
      <c r="W4" s="56" t="s">
        <v>1128</v>
      </c>
      <c r="X4" s="56" t="s">
        <v>1129</v>
      </c>
      <c r="Y4" s="56" t="s">
        <v>1130</v>
      </c>
    </row>
    <row r="5" spans="1:25">
      <c r="A5" t="s">
        <v>1018</v>
      </c>
      <c r="B5" t="s">
        <v>1183</v>
      </c>
      <c r="F5">
        <v>2015</v>
      </c>
      <c r="G5" s="1" t="s">
        <v>1019</v>
      </c>
      <c r="H5" s="79" t="s">
        <v>1191</v>
      </c>
      <c r="K5">
        <v>1</v>
      </c>
      <c r="R5" s="5">
        <v>42005</v>
      </c>
      <c r="S5" s="5">
        <v>42005</v>
      </c>
      <c r="T5" s="4">
        <f t="shared" ref="T5:T31" si="0">FLOOR(((YEAR(S5)*12+MONTH(S5))-(YEAR(R5)*12+MONTH(R5)))/3,1)+1</f>
        <v>1</v>
      </c>
      <c r="U5" t="str">
        <f t="shared" ref="U5:U68" si="1">"Q" &amp;INT((MONTH(R5)+2)/3) &amp; "-" &amp; YEAR(R5)</f>
        <v>Q1-2015</v>
      </c>
      <c r="V5" t="str">
        <f t="shared" ref="V5:V68" si="2">"Q" &amp;INT((MONTH(S5)+2)/3) &amp; "-" &amp; YEAR(S5)</f>
        <v>Q1-2015</v>
      </c>
      <c r="W5" t="s">
        <v>1020</v>
      </c>
    </row>
    <row r="6" spans="1:25">
      <c r="A6" t="s">
        <v>598</v>
      </c>
      <c r="F6">
        <v>2008</v>
      </c>
      <c r="G6" s="1" t="s">
        <v>11</v>
      </c>
      <c r="H6" s="79" t="s">
        <v>1188</v>
      </c>
      <c r="N6">
        <v>1</v>
      </c>
      <c r="O6">
        <v>1</v>
      </c>
      <c r="R6" s="5">
        <v>39722</v>
      </c>
      <c r="S6" s="5">
        <v>39722</v>
      </c>
      <c r="T6" s="4">
        <f t="shared" si="0"/>
        <v>1</v>
      </c>
      <c r="U6" t="str">
        <f t="shared" si="1"/>
        <v>Q4-2008</v>
      </c>
      <c r="V6" t="str">
        <f t="shared" si="2"/>
        <v>Q4-2008</v>
      </c>
      <c r="W6" t="s">
        <v>49</v>
      </c>
    </row>
    <row r="7" spans="1:25">
      <c r="A7" t="s">
        <v>594</v>
      </c>
      <c r="B7" t="s">
        <v>1133</v>
      </c>
      <c r="C7" t="s">
        <v>597</v>
      </c>
      <c r="D7" t="s">
        <v>750</v>
      </c>
      <c r="E7">
        <v>1</v>
      </c>
      <c r="F7">
        <v>2006</v>
      </c>
      <c r="G7" s="1" t="s">
        <v>11</v>
      </c>
      <c r="H7" s="79" t="s">
        <v>1188</v>
      </c>
      <c r="N7">
        <v>1</v>
      </c>
      <c r="R7" s="5">
        <v>38777</v>
      </c>
      <c r="S7" s="5">
        <v>38869</v>
      </c>
      <c r="T7" s="4">
        <f t="shared" si="0"/>
        <v>2</v>
      </c>
      <c r="U7" t="str">
        <f t="shared" si="1"/>
        <v>Q1-2006</v>
      </c>
      <c r="V7" t="str">
        <f t="shared" si="2"/>
        <v>Q2-2006</v>
      </c>
      <c r="W7" t="s">
        <v>137</v>
      </c>
    </row>
    <row r="8" spans="1:25">
      <c r="A8" t="s">
        <v>594</v>
      </c>
      <c r="B8" t="s">
        <v>1133</v>
      </c>
      <c r="C8" t="s">
        <v>597</v>
      </c>
      <c r="D8" t="s">
        <v>750</v>
      </c>
      <c r="E8">
        <v>1</v>
      </c>
      <c r="F8">
        <v>2009</v>
      </c>
      <c r="G8" s="1" t="s">
        <v>11</v>
      </c>
      <c r="H8" s="79" t="s">
        <v>1188</v>
      </c>
      <c r="L8">
        <v>1</v>
      </c>
      <c r="N8">
        <v>1</v>
      </c>
      <c r="R8" s="5">
        <v>39722</v>
      </c>
      <c r="S8" s="5">
        <v>40118</v>
      </c>
      <c r="T8" s="4">
        <f t="shared" si="0"/>
        <v>5</v>
      </c>
      <c r="U8" t="str">
        <f t="shared" si="1"/>
        <v>Q4-2008</v>
      </c>
      <c r="V8" t="str">
        <f t="shared" si="2"/>
        <v>Q4-2009</v>
      </c>
      <c r="W8" t="s">
        <v>311</v>
      </c>
    </row>
    <row r="9" spans="1:25">
      <c r="A9" t="s">
        <v>24</v>
      </c>
      <c r="B9" t="s">
        <v>1134</v>
      </c>
      <c r="C9" t="s">
        <v>596</v>
      </c>
      <c r="D9" t="s">
        <v>749</v>
      </c>
      <c r="E9">
        <v>1</v>
      </c>
      <c r="F9">
        <v>2008</v>
      </c>
      <c r="G9" s="1" t="s">
        <v>11</v>
      </c>
      <c r="H9" s="79" t="s">
        <v>1188</v>
      </c>
      <c r="L9">
        <v>1</v>
      </c>
      <c r="R9" s="5">
        <v>39722</v>
      </c>
      <c r="S9" s="5">
        <v>39722</v>
      </c>
      <c r="T9" s="4">
        <f t="shared" si="0"/>
        <v>1</v>
      </c>
      <c r="U9" t="str">
        <f t="shared" si="1"/>
        <v>Q4-2008</v>
      </c>
      <c r="V9" t="str">
        <f t="shared" si="2"/>
        <v>Q4-2008</v>
      </c>
      <c r="W9" t="s">
        <v>816</v>
      </c>
    </row>
    <row r="10" spans="1:25">
      <c r="A10" t="s">
        <v>24</v>
      </c>
      <c r="B10" t="s">
        <v>1134</v>
      </c>
      <c r="C10" t="s">
        <v>596</v>
      </c>
      <c r="D10" t="s">
        <v>749</v>
      </c>
      <c r="E10">
        <v>1</v>
      </c>
      <c r="F10">
        <v>2009</v>
      </c>
      <c r="G10" s="1" t="s">
        <v>11</v>
      </c>
      <c r="H10" s="79" t="s">
        <v>1188</v>
      </c>
      <c r="L10">
        <v>1</v>
      </c>
      <c r="R10" s="5">
        <v>39814</v>
      </c>
      <c r="S10" s="5">
        <v>39904</v>
      </c>
      <c r="T10" s="4">
        <f t="shared" si="0"/>
        <v>2</v>
      </c>
      <c r="U10" t="str">
        <f t="shared" si="1"/>
        <v>Q1-2009</v>
      </c>
      <c r="V10" t="str">
        <f t="shared" si="2"/>
        <v>Q2-2009</v>
      </c>
      <c r="W10" t="s">
        <v>817</v>
      </c>
    </row>
    <row r="11" spans="1:25">
      <c r="A11" t="s">
        <v>312</v>
      </c>
      <c r="C11" t="s">
        <v>896</v>
      </c>
      <c r="D11" t="s">
        <v>665</v>
      </c>
      <c r="F11">
        <v>2008</v>
      </c>
      <c r="G11" s="1" t="s">
        <v>11</v>
      </c>
      <c r="H11" s="79" t="s">
        <v>1188</v>
      </c>
      <c r="L11">
        <v>1</v>
      </c>
      <c r="R11" s="5">
        <v>39722</v>
      </c>
      <c r="S11" s="5">
        <v>39783</v>
      </c>
      <c r="T11" s="4">
        <f t="shared" si="0"/>
        <v>1</v>
      </c>
      <c r="U11" t="str">
        <f t="shared" si="1"/>
        <v>Q4-2008</v>
      </c>
      <c r="V11" t="str">
        <f t="shared" si="2"/>
        <v>Q4-2008</v>
      </c>
      <c r="W11" t="s">
        <v>818</v>
      </c>
    </row>
    <row r="12" spans="1:25">
      <c r="A12" t="s">
        <v>312</v>
      </c>
      <c r="C12" t="s">
        <v>896</v>
      </c>
      <c r="D12" t="s">
        <v>665</v>
      </c>
      <c r="F12">
        <v>2009</v>
      </c>
      <c r="G12" s="1" t="s">
        <v>11</v>
      </c>
      <c r="H12" s="79" t="s">
        <v>1188</v>
      </c>
      <c r="L12">
        <v>1</v>
      </c>
      <c r="M12">
        <v>1</v>
      </c>
      <c r="N12">
        <v>1</v>
      </c>
      <c r="R12" s="5">
        <v>40148</v>
      </c>
      <c r="S12" s="5">
        <v>40148</v>
      </c>
      <c r="T12" s="4">
        <f t="shared" si="0"/>
        <v>1</v>
      </c>
      <c r="U12" t="str">
        <f t="shared" si="1"/>
        <v>Q4-2009</v>
      </c>
      <c r="V12" t="str">
        <f t="shared" si="2"/>
        <v>Q4-2009</v>
      </c>
      <c r="W12" t="s">
        <v>819</v>
      </c>
    </row>
    <row r="13" spans="1:25">
      <c r="A13" t="s">
        <v>312</v>
      </c>
      <c r="C13" t="s">
        <v>896</v>
      </c>
      <c r="D13" t="s">
        <v>665</v>
      </c>
      <c r="F13">
        <v>2010</v>
      </c>
      <c r="G13" s="1" t="s">
        <v>11</v>
      </c>
      <c r="H13" s="79" t="s">
        <v>1188</v>
      </c>
      <c r="N13">
        <v>1</v>
      </c>
      <c r="R13" s="5">
        <v>40513</v>
      </c>
      <c r="S13" s="5">
        <v>40513</v>
      </c>
      <c r="T13" s="4">
        <f t="shared" si="0"/>
        <v>1</v>
      </c>
      <c r="U13" t="str">
        <f t="shared" si="1"/>
        <v>Q4-2010</v>
      </c>
      <c r="V13" t="str">
        <f t="shared" si="2"/>
        <v>Q4-2010</v>
      </c>
      <c r="W13" t="s">
        <v>820</v>
      </c>
    </row>
    <row r="14" spans="1:25">
      <c r="A14" t="s">
        <v>312</v>
      </c>
      <c r="C14" t="s">
        <v>896</v>
      </c>
      <c r="D14" t="s">
        <v>665</v>
      </c>
      <c r="F14">
        <v>2012</v>
      </c>
      <c r="G14" s="1" t="s">
        <v>11</v>
      </c>
      <c r="H14" s="79" t="s">
        <v>1188</v>
      </c>
      <c r="L14">
        <v>1</v>
      </c>
      <c r="R14" s="5">
        <v>41244</v>
      </c>
      <c r="S14" s="5">
        <v>41244</v>
      </c>
      <c r="T14" s="4">
        <f t="shared" si="0"/>
        <v>1</v>
      </c>
      <c r="U14" t="str">
        <f t="shared" si="1"/>
        <v>Q4-2012</v>
      </c>
      <c r="V14" t="str">
        <f t="shared" si="2"/>
        <v>Q4-2012</v>
      </c>
      <c r="W14" t="s">
        <v>821</v>
      </c>
    </row>
    <row r="15" spans="1:25">
      <c r="A15" t="s">
        <v>983</v>
      </c>
      <c r="C15" t="s">
        <v>896</v>
      </c>
      <c r="D15" t="s">
        <v>665</v>
      </c>
      <c r="F15">
        <v>2014</v>
      </c>
      <c r="G15" s="1" t="s">
        <v>11</v>
      </c>
      <c r="H15" s="79" t="s">
        <v>1188</v>
      </c>
      <c r="J15">
        <v>1</v>
      </c>
      <c r="K15">
        <v>1</v>
      </c>
      <c r="L15">
        <v>1</v>
      </c>
      <c r="R15" s="5">
        <v>41730</v>
      </c>
      <c r="S15" s="5">
        <v>41974</v>
      </c>
      <c r="T15" s="4">
        <f t="shared" si="0"/>
        <v>3</v>
      </c>
      <c r="U15" t="str">
        <f t="shared" si="1"/>
        <v>Q2-2014</v>
      </c>
      <c r="V15" t="str">
        <f t="shared" si="2"/>
        <v>Q4-2014</v>
      </c>
      <c r="W15" t="s">
        <v>984</v>
      </c>
    </row>
    <row r="16" spans="1:25">
      <c r="A16" t="s">
        <v>314</v>
      </c>
      <c r="B16" t="s">
        <v>1184</v>
      </c>
      <c r="F16">
        <v>2008</v>
      </c>
      <c r="G16" s="1" t="s">
        <v>11</v>
      </c>
      <c r="H16" s="79" t="s">
        <v>1188</v>
      </c>
      <c r="L16">
        <v>1</v>
      </c>
      <c r="R16" s="5">
        <v>39722</v>
      </c>
      <c r="S16" s="5">
        <v>41244</v>
      </c>
      <c r="T16" s="4">
        <f t="shared" si="0"/>
        <v>17</v>
      </c>
      <c r="U16" t="str">
        <f t="shared" si="1"/>
        <v>Q4-2008</v>
      </c>
      <c r="V16" t="str">
        <f t="shared" si="2"/>
        <v>Q4-2012</v>
      </c>
      <c r="W16" t="s">
        <v>313</v>
      </c>
    </row>
    <row r="17" spans="1:25">
      <c r="A17" t="s">
        <v>26</v>
      </c>
      <c r="B17" t="s">
        <v>1185</v>
      </c>
      <c r="F17">
        <v>2008</v>
      </c>
      <c r="G17" s="1" t="s">
        <v>11</v>
      </c>
      <c r="H17" s="79" t="s">
        <v>1188</v>
      </c>
      <c r="L17">
        <v>1</v>
      </c>
      <c r="M17">
        <v>1</v>
      </c>
      <c r="N17">
        <v>1</v>
      </c>
      <c r="R17" s="5">
        <v>39722</v>
      </c>
      <c r="S17" s="5">
        <v>40118</v>
      </c>
      <c r="T17" s="4">
        <f t="shared" si="0"/>
        <v>5</v>
      </c>
      <c r="U17" t="str">
        <f t="shared" si="1"/>
        <v>Q4-2008</v>
      </c>
      <c r="V17" t="str">
        <f t="shared" si="2"/>
        <v>Q4-2009</v>
      </c>
      <c r="W17" t="s">
        <v>315</v>
      </c>
    </row>
    <row r="18" spans="1:25">
      <c r="A18" t="s">
        <v>500</v>
      </c>
      <c r="F18">
        <v>2008</v>
      </c>
      <c r="G18" s="1" t="s">
        <v>11</v>
      </c>
      <c r="H18" s="79" t="s">
        <v>1188</v>
      </c>
      <c r="N18">
        <v>1</v>
      </c>
      <c r="R18" s="5">
        <v>39722</v>
      </c>
      <c r="S18" s="5">
        <v>40575</v>
      </c>
      <c r="T18" s="4">
        <f t="shared" si="0"/>
        <v>10</v>
      </c>
      <c r="U18" t="str">
        <f t="shared" si="1"/>
        <v>Q4-2008</v>
      </c>
      <c r="V18" t="str">
        <f t="shared" si="2"/>
        <v>Q1-2011</v>
      </c>
      <c r="W18" t="s">
        <v>1068</v>
      </c>
      <c r="X18" t="s">
        <v>501</v>
      </c>
    </row>
    <row r="19" spans="1:25">
      <c r="A19" t="s">
        <v>657</v>
      </c>
      <c r="B19" t="s">
        <v>1135</v>
      </c>
      <c r="C19" t="s">
        <v>897</v>
      </c>
      <c r="D19" t="s">
        <v>666</v>
      </c>
      <c r="F19">
        <v>2008</v>
      </c>
      <c r="G19" s="1" t="s">
        <v>11</v>
      </c>
      <c r="H19" s="79" t="s">
        <v>1188</v>
      </c>
      <c r="L19">
        <v>1</v>
      </c>
      <c r="N19">
        <v>1</v>
      </c>
      <c r="R19" s="5">
        <v>39722</v>
      </c>
      <c r="S19" s="5">
        <v>40057</v>
      </c>
      <c r="T19" s="4">
        <f t="shared" si="0"/>
        <v>4</v>
      </c>
      <c r="U19" t="str">
        <f t="shared" si="1"/>
        <v>Q4-2008</v>
      </c>
      <c r="V19" t="str">
        <f t="shared" si="2"/>
        <v>Q3-2009</v>
      </c>
      <c r="W19" t="s">
        <v>825</v>
      </c>
      <c r="X19" t="s">
        <v>648</v>
      </c>
      <c r="Y19" t="s">
        <v>19</v>
      </c>
    </row>
    <row r="20" spans="1:25">
      <c r="A20" t="s">
        <v>657</v>
      </c>
      <c r="B20" t="s">
        <v>1135</v>
      </c>
      <c r="C20" t="s">
        <v>897</v>
      </c>
      <c r="D20" t="s">
        <v>666</v>
      </c>
      <c r="F20">
        <v>2012</v>
      </c>
      <c r="G20" s="1" t="s">
        <v>11</v>
      </c>
      <c r="H20" s="79" t="s">
        <v>1188</v>
      </c>
      <c r="L20">
        <v>1</v>
      </c>
      <c r="N20">
        <v>1</v>
      </c>
      <c r="R20" s="5">
        <v>40940</v>
      </c>
      <c r="S20" s="5">
        <v>40940</v>
      </c>
      <c r="T20" s="4">
        <f t="shared" si="0"/>
        <v>1</v>
      </c>
      <c r="U20" t="str">
        <f t="shared" si="1"/>
        <v>Q1-2012</v>
      </c>
      <c r="V20" t="str">
        <f t="shared" si="2"/>
        <v>Q1-2012</v>
      </c>
      <c r="W20" t="s">
        <v>822</v>
      </c>
    </row>
    <row r="21" spans="1:25">
      <c r="A21" t="s">
        <v>657</v>
      </c>
      <c r="B21" t="s">
        <v>1135</v>
      </c>
      <c r="C21" t="s">
        <v>897</v>
      </c>
      <c r="D21" t="s">
        <v>666</v>
      </c>
      <c r="F21">
        <v>2015</v>
      </c>
      <c r="G21" s="1" t="s">
        <v>11</v>
      </c>
      <c r="H21" s="79" t="s">
        <v>1188</v>
      </c>
      <c r="J21">
        <v>1</v>
      </c>
      <c r="R21" s="5">
        <v>42186</v>
      </c>
      <c r="S21" s="5">
        <v>42339</v>
      </c>
      <c r="T21" s="4">
        <f t="shared" si="0"/>
        <v>2</v>
      </c>
      <c r="U21" t="str">
        <f t="shared" si="1"/>
        <v>Q3-2015</v>
      </c>
      <c r="V21" t="str">
        <f t="shared" si="2"/>
        <v>Q4-2015</v>
      </c>
      <c r="W21" t="s">
        <v>823</v>
      </c>
      <c r="Y21" t="s">
        <v>19</v>
      </c>
    </row>
    <row r="22" spans="1:25">
      <c r="A22" t="s">
        <v>658</v>
      </c>
      <c r="C22" t="s">
        <v>603</v>
      </c>
      <c r="D22" t="s">
        <v>751</v>
      </c>
      <c r="E22">
        <v>1</v>
      </c>
      <c r="F22">
        <v>2015</v>
      </c>
      <c r="G22" s="1" t="s">
        <v>11</v>
      </c>
      <c r="H22" s="79" t="s">
        <v>1188</v>
      </c>
      <c r="O22">
        <v>1</v>
      </c>
      <c r="R22" s="5">
        <v>42064</v>
      </c>
      <c r="S22" s="5">
        <v>42339</v>
      </c>
      <c r="T22" s="4">
        <f t="shared" si="0"/>
        <v>4</v>
      </c>
      <c r="U22" t="str">
        <f t="shared" si="1"/>
        <v>Q1-2015</v>
      </c>
      <c r="V22" t="str">
        <f t="shared" si="2"/>
        <v>Q4-2015</v>
      </c>
      <c r="W22" t="s">
        <v>1106</v>
      </c>
      <c r="Y22" t="s">
        <v>27</v>
      </c>
    </row>
    <row r="23" spans="1:25" ht="17">
      <c r="A23" s="41" t="s">
        <v>316</v>
      </c>
      <c r="B23" t="s">
        <v>1136</v>
      </c>
      <c r="C23" t="s">
        <v>595</v>
      </c>
      <c r="D23" t="s">
        <v>752</v>
      </c>
      <c r="E23">
        <v>1</v>
      </c>
      <c r="F23">
        <v>2009</v>
      </c>
      <c r="G23" s="1" t="s">
        <v>11</v>
      </c>
      <c r="H23" s="79" t="s">
        <v>1188</v>
      </c>
      <c r="L23">
        <v>1</v>
      </c>
      <c r="N23">
        <v>1</v>
      </c>
      <c r="R23" s="5">
        <v>39722</v>
      </c>
      <c r="S23" s="5">
        <v>39904</v>
      </c>
      <c r="T23" s="4">
        <f t="shared" si="0"/>
        <v>3</v>
      </c>
      <c r="U23" t="str">
        <f t="shared" si="1"/>
        <v>Q4-2008</v>
      </c>
      <c r="V23" t="str">
        <f t="shared" si="2"/>
        <v>Q2-2009</v>
      </c>
      <c r="W23" t="s">
        <v>826</v>
      </c>
    </row>
    <row r="24" spans="1:25">
      <c r="A24" t="s">
        <v>13</v>
      </c>
      <c r="B24" t="s">
        <v>1137</v>
      </c>
      <c r="C24" t="s">
        <v>898</v>
      </c>
      <c r="D24" t="s">
        <v>667</v>
      </c>
      <c r="E24">
        <v>1</v>
      </c>
      <c r="F24">
        <v>2008</v>
      </c>
      <c r="G24" s="1" t="s">
        <v>12</v>
      </c>
      <c r="H24" s="79" t="s">
        <v>1189</v>
      </c>
      <c r="L24">
        <v>1</v>
      </c>
      <c r="N24">
        <v>1</v>
      </c>
      <c r="R24" s="5">
        <v>39722</v>
      </c>
      <c r="S24" s="5">
        <v>40087</v>
      </c>
      <c r="T24" s="4">
        <f t="shared" si="0"/>
        <v>5</v>
      </c>
      <c r="U24" t="str">
        <f t="shared" si="1"/>
        <v>Q4-2008</v>
      </c>
      <c r="V24" t="str">
        <f t="shared" si="2"/>
        <v>Q4-2009</v>
      </c>
      <c r="W24" t="s">
        <v>824</v>
      </c>
    </row>
    <row r="25" spans="1:25">
      <c r="A25" t="s">
        <v>13</v>
      </c>
      <c r="B25" t="s">
        <v>1137</v>
      </c>
      <c r="C25" t="s">
        <v>898</v>
      </c>
      <c r="D25" t="s">
        <v>667</v>
      </c>
      <c r="E25">
        <v>1</v>
      </c>
      <c r="F25">
        <v>2010</v>
      </c>
      <c r="G25" s="1" t="s">
        <v>12</v>
      </c>
      <c r="H25" s="79" t="s">
        <v>1189</v>
      </c>
      <c r="J25">
        <v>1</v>
      </c>
      <c r="M25">
        <v>1</v>
      </c>
      <c r="R25" s="5">
        <v>40817</v>
      </c>
      <c r="S25" s="5">
        <v>40817</v>
      </c>
      <c r="T25" s="4">
        <f t="shared" si="0"/>
        <v>1</v>
      </c>
      <c r="U25" t="str">
        <f t="shared" si="1"/>
        <v>Q4-2011</v>
      </c>
      <c r="V25" t="str">
        <f t="shared" si="2"/>
        <v>Q4-2011</v>
      </c>
      <c r="W25" t="s">
        <v>814</v>
      </c>
    </row>
    <row r="26" spans="1:25">
      <c r="A26" t="s">
        <v>13</v>
      </c>
      <c r="B26" t="s">
        <v>1137</v>
      </c>
      <c r="C26" t="s">
        <v>898</v>
      </c>
      <c r="D26" t="s">
        <v>667</v>
      </c>
      <c r="E26">
        <v>1</v>
      </c>
      <c r="F26">
        <v>2011</v>
      </c>
      <c r="G26" s="1" t="s">
        <v>12</v>
      </c>
      <c r="H26" s="79" t="s">
        <v>1189</v>
      </c>
      <c r="M26">
        <v>1</v>
      </c>
      <c r="R26" s="5">
        <v>40969</v>
      </c>
      <c r="S26" s="5">
        <v>41244</v>
      </c>
      <c r="T26" s="4">
        <f t="shared" si="0"/>
        <v>4</v>
      </c>
      <c r="U26" t="str">
        <f t="shared" si="1"/>
        <v>Q1-2012</v>
      </c>
      <c r="V26" t="str">
        <f t="shared" si="2"/>
        <v>Q4-2012</v>
      </c>
      <c r="W26" t="s">
        <v>815</v>
      </c>
    </row>
    <row r="27" spans="1:25">
      <c r="A27" t="s">
        <v>317</v>
      </c>
      <c r="B27" t="s">
        <v>1137</v>
      </c>
      <c r="F27">
        <v>2012</v>
      </c>
      <c r="G27" s="1" t="s">
        <v>12</v>
      </c>
      <c r="H27" s="79" t="s">
        <v>1189</v>
      </c>
      <c r="J27">
        <v>1</v>
      </c>
      <c r="R27" s="5">
        <v>41091</v>
      </c>
      <c r="S27" s="5">
        <v>41244</v>
      </c>
      <c r="T27" s="4">
        <f t="shared" si="0"/>
        <v>2</v>
      </c>
      <c r="U27" t="str">
        <f t="shared" si="1"/>
        <v>Q3-2012</v>
      </c>
      <c r="V27" t="str">
        <f t="shared" si="2"/>
        <v>Q4-2012</v>
      </c>
      <c r="W27" t="s">
        <v>318</v>
      </c>
    </row>
    <row r="28" spans="1:25">
      <c r="A28" t="s">
        <v>233</v>
      </c>
      <c r="F28">
        <v>2009</v>
      </c>
      <c r="G28" s="1" t="s">
        <v>12</v>
      </c>
      <c r="H28" s="79" t="s">
        <v>1189</v>
      </c>
      <c r="L28">
        <v>1</v>
      </c>
      <c r="R28" s="5">
        <v>39722</v>
      </c>
      <c r="S28" s="5">
        <v>39845</v>
      </c>
      <c r="T28" s="4">
        <f t="shared" si="0"/>
        <v>2</v>
      </c>
      <c r="U28" t="str">
        <f t="shared" si="1"/>
        <v>Q4-2008</v>
      </c>
      <c r="V28" t="str">
        <f t="shared" si="2"/>
        <v>Q1-2009</v>
      </c>
      <c r="W28" t="s">
        <v>234</v>
      </c>
    </row>
    <row r="29" spans="1:25">
      <c r="A29" t="s">
        <v>654</v>
      </c>
      <c r="B29" t="s">
        <v>1186</v>
      </c>
      <c r="C29" t="s">
        <v>961</v>
      </c>
      <c r="D29" t="s">
        <v>753</v>
      </c>
      <c r="E29">
        <v>1</v>
      </c>
      <c r="F29">
        <v>2008</v>
      </c>
      <c r="G29" s="1" t="s">
        <v>12</v>
      </c>
      <c r="H29" s="79" t="s">
        <v>1189</v>
      </c>
      <c r="L29">
        <v>1</v>
      </c>
      <c r="M29">
        <v>1</v>
      </c>
      <c r="N29">
        <v>1</v>
      </c>
      <c r="R29" s="5">
        <v>39692</v>
      </c>
      <c r="S29" s="5">
        <v>39934</v>
      </c>
      <c r="T29" s="4">
        <f t="shared" si="0"/>
        <v>3</v>
      </c>
      <c r="U29" t="str">
        <f t="shared" si="1"/>
        <v>Q3-2008</v>
      </c>
      <c r="V29" t="str">
        <f t="shared" si="2"/>
        <v>Q2-2009</v>
      </c>
      <c r="W29" t="s">
        <v>1067</v>
      </c>
      <c r="X29" t="s">
        <v>345</v>
      </c>
    </row>
    <row r="30" spans="1:25">
      <c r="A30" t="s">
        <v>31</v>
      </c>
      <c r="B30" t="s">
        <v>1138</v>
      </c>
      <c r="C30" t="s">
        <v>599</v>
      </c>
      <c r="D30" t="s">
        <v>754</v>
      </c>
      <c r="E30">
        <v>1</v>
      </c>
      <c r="F30">
        <v>2008</v>
      </c>
      <c r="G30" s="1" t="s">
        <v>12</v>
      </c>
      <c r="H30" s="79" t="s">
        <v>1189</v>
      </c>
      <c r="L30">
        <v>1</v>
      </c>
      <c r="R30" s="5">
        <v>39722</v>
      </c>
      <c r="S30" s="5">
        <v>39814</v>
      </c>
      <c r="T30" s="4">
        <f t="shared" si="0"/>
        <v>2</v>
      </c>
      <c r="U30" t="str">
        <f t="shared" si="1"/>
        <v>Q4-2008</v>
      </c>
      <c r="V30" t="str">
        <f t="shared" si="2"/>
        <v>Q1-2009</v>
      </c>
      <c r="W30" t="s">
        <v>50</v>
      </c>
    </row>
    <row r="31" spans="1:25">
      <c r="A31" t="s">
        <v>31</v>
      </c>
      <c r="B31" t="s">
        <v>1138</v>
      </c>
      <c r="C31" t="s">
        <v>599</v>
      </c>
      <c r="D31" t="s">
        <v>754</v>
      </c>
      <c r="E31">
        <v>1</v>
      </c>
      <c r="F31">
        <v>2009</v>
      </c>
      <c r="G31" s="1" t="s">
        <v>12</v>
      </c>
      <c r="H31" s="79" t="s">
        <v>1189</v>
      </c>
      <c r="J31">
        <v>1</v>
      </c>
      <c r="L31">
        <v>1</v>
      </c>
      <c r="N31">
        <v>1</v>
      </c>
      <c r="R31" s="5">
        <v>39934</v>
      </c>
      <c r="S31" s="5">
        <v>40057</v>
      </c>
      <c r="T31" s="4">
        <f t="shared" si="0"/>
        <v>2</v>
      </c>
      <c r="U31" t="str">
        <f t="shared" si="1"/>
        <v>Q2-2009</v>
      </c>
      <c r="V31" t="str">
        <f t="shared" si="2"/>
        <v>Q3-2009</v>
      </c>
      <c r="W31" t="s">
        <v>319</v>
      </c>
    </row>
    <row r="32" spans="1:25">
      <c r="A32" t="s">
        <v>588</v>
      </c>
      <c r="C32" t="s">
        <v>899</v>
      </c>
      <c r="D32" t="s">
        <v>668</v>
      </c>
      <c r="E32">
        <v>1</v>
      </c>
      <c r="F32">
        <v>2014</v>
      </c>
      <c r="G32" s="1" t="s">
        <v>589</v>
      </c>
      <c r="H32" s="79" t="s">
        <v>1190</v>
      </c>
      <c r="I32">
        <v>1</v>
      </c>
      <c r="M32">
        <v>1</v>
      </c>
      <c r="R32" s="5">
        <v>41791</v>
      </c>
      <c r="S32" s="5">
        <v>41944</v>
      </c>
      <c r="T32" s="4">
        <v>3</v>
      </c>
      <c r="U32" t="str">
        <f t="shared" si="1"/>
        <v>Q2-2014</v>
      </c>
      <c r="V32" t="str">
        <f t="shared" si="2"/>
        <v>Q4-2014</v>
      </c>
      <c r="W32" t="s">
        <v>590</v>
      </c>
    </row>
    <row r="33" spans="1:25">
      <c r="A33" t="s">
        <v>600</v>
      </c>
      <c r="B33" t="s">
        <v>1139</v>
      </c>
      <c r="C33" t="s">
        <v>1051</v>
      </c>
      <c r="D33" t="s">
        <v>1052</v>
      </c>
      <c r="E33">
        <v>1</v>
      </c>
      <c r="F33">
        <v>2011</v>
      </c>
      <c r="G33" s="1" t="s">
        <v>320</v>
      </c>
      <c r="H33" s="79" t="s">
        <v>1192</v>
      </c>
      <c r="L33">
        <v>1</v>
      </c>
      <c r="R33" s="5">
        <v>40878</v>
      </c>
      <c r="S33" s="5">
        <v>41061</v>
      </c>
      <c r="T33" s="4">
        <f>FLOOR(((YEAR(S33)*12+MONTH(S33))-(YEAR(R33)*12+MONTH(R33)))/3,1)+1</f>
        <v>3</v>
      </c>
      <c r="U33" t="str">
        <f t="shared" si="1"/>
        <v>Q4-2011</v>
      </c>
      <c r="V33" t="str">
        <f t="shared" si="2"/>
        <v>Q2-2012</v>
      </c>
      <c r="W33" t="s">
        <v>828</v>
      </c>
    </row>
    <row r="34" spans="1:25">
      <c r="A34" t="s">
        <v>600</v>
      </c>
      <c r="B34" t="s">
        <v>1139</v>
      </c>
      <c r="C34" t="s">
        <v>1051</v>
      </c>
      <c r="D34" t="s">
        <v>1052</v>
      </c>
      <c r="E34">
        <v>1</v>
      </c>
      <c r="F34">
        <v>2013</v>
      </c>
      <c r="G34" s="1" t="s">
        <v>320</v>
      </c>
      <c r="H34" s="79" t="s">
        <v>1192</v>
      </c>
      <c r="K34">
        <v>0</v>
      </c>
      <c r="M34">
        <v>1</v>
      </c>
      <c r="R34" s="5">
        <v>41334</v>
      </c>
      <c r="S34" s="5">
        <v>41456</v>
      </c>
      <c r="T34" s="4">
        <v>3</v>
      </c>
      <c r="U34" t="str">
        <f t="shared" si="1"/>
        <v>Q1-2013</v>
      </c>
      <c r="V34" t="str">
        <f t="shared" si="2"/>
        <v>Q3-2013</v>
      </c>
      <c r="W34" t="s">
        <v>986</v>
      </c>
    </row>
    <row r="35" spans="1:25">
      <c r="A35" t="s">
        <v>600</v>
      </c>
      <c r="B35" t="s">
        <v>1139</v>
      </c>
      <c r="C35" t="s">
        <v>1051</v>
      </c>
      <c r="D35" t="s">
        <v>1052</v>
      </c>
      <c r="E35">
        <v>1</v>
      </c>
      <c r="F35">
        <v>2014</v>
      </c>
      <c r="G35" s="1" t="s">
        <v>320</v>
      </c>
      <c r="H35" s="79" t="s">
        <v>1192</v>
      </c>
      <c r="L35">
        <v>1</v>
      </c>
      <c r="R35" s="5">
        <v>41821</v>
      </c>
      <c r="S35" s="5">
        <v>41821</v>
      </c>
      <c r="T35" s="4">
        <f>FLOOR(((YEAR(S35)*12+MONTH(S35))-(YEAR(R35)*12+MONTH(R35)))/3,1)+1</f>
        <v>1</v>
      </c>
      <c r="U35" t="str">
        <f t="shared" si="1"/>
        <v>Q3-2014</v>
      </c>
      <c r="V35" t="str">
        <f t="shared" si="2"/>
        <v>Q3-2014</v>
      </c>
      <c r="W35" t="s">
        <v>829</v>
      </c>
    </row>
    <row r="36" spans="1:25">
      <c r="A36" t="s">
        <v>321</v>
      </c>
      <c r="C36" t="s">
        <v>901</v>
      </c>
      <c r="D36" t="s">
        <v>669</v>
      </c>
      <c r="E36">
        <v>1</v>
      </c>
      <c r="F36">
        <v>2011</v>
      </c>
      <c r="G36" s="1" t="s">
        <v>320</v>
      </c>
      <c r="H36" s="79" t="s">
        <v>1192</v>
      </c>
      <c r="K36">
        <v>0</v>
      </c>
      <c r="L36">
        <v>1</v>
      </c>
      <c r="R36" s="5">
        <v>40878</v>
      </c>
      <c r="S36" s="5">
        <v>41030</v>
      </c>
      <c r="T36" s="4">
        <v>3</v>
      </c>
      <c r="U36" t="str">
        <f t="shared" si="1"/>
        <v>Q4-2011</v>
      </c>
      <c r="V36" t="str">
        <f t="shared" si="2"/>
        <v>Q2-2012</v>
      </c>
      <c r="W36" t="s">
        <v>999</v>
      </c>
    </row>
    <row r="37" spans="1:25">
      <c r="A37" t="s">
        <v>321</v>
      </c>
      <c r="C37" t="s">
        <v>901</v>
      </c>
      <c r="D37" t="s">
        <v>669</v>
      </c>
      <c r="E37">
        <v>1</v>
      </c>
      <c r="F37">
        <v>2013</v>
      </c>
      <c r="G37" s="1" t="s">
        <v>320</v>
      </c>
      <c r="H37" s="79" t="s">
        <v>1192</v>
      </c>
      <c r="J37">
        <v>1</v>
      </c>
      <c r="K37">
        <v>0</v>
      </c>
      <c r="P37">
        <v>1</v>
      </c>
      <c r="R37" s="5">
        <v>41334</v>
      </c>
      <c r="S37" s="5">
        <v>41456</v>
      </c>
      <c r="T37" s="4">
        <v>3</v>
      </c>
      <c r="U37" t="str">
        <f t="shared" si="1"/>
        <v>Q1-2013</v>
      </c>
      <c r="V37" t="str">
        <f t="shared" si="2"/>
        <v>Q3-2013</v>
      </c>
      <c r="W37" t="s">
        <v>1103</v>
      </c>
    </row>
    <row r="38" spans="1:25">
      <c r="A38" t="s">
        <v>601</v>
      </c>
      <c r="B38" t="s">
        <v>1140</v>
      </c>
      <c r="C38" t="s">
        <v>602</v>
      </c>
      <c r="D38" t="s">
        <v>755</v>
      </c>
      <c r="E38">
        <v>1</v>
      </c>
      <c r="F38">
        <v>2013</v>
      </c>
      <c r="G38" s="1" t="s">
        <v>320</v>
      </c>
      <c r="H38" s="79" t="s">
        <v>1192</v>
      </c>
      <c r="K38">
        <v>1</v>
      </c>
      <c r="O38">
        <v>1</v>
      </c>
      <c r="R38" s="5">
        <v>41334</v>
      </c>
      <c r="S38" s="5">
        <v>41579</v>
      </c>
      <c r="T38" s="4">
        <v>4</v>
      </c>
      <c r="U38" t="str">
        <f t="shared" si="1"/>
        <v>Q1-2013</v>
      </c>
      <c r="V38" t="str">
        <f t="shared" si="2"/>
        <v>Q4-2013</v>
      </c>
      <c r="W38" t="s">
        <v>1104</v>
      </c>
    </row>
    <row r="39" spans="1:25">
      <c r="A39" t="s">
        <v>659</v>
      </c>
      <c r="F39">
        <v>2000</v>
      </c>
      <c r="G39" s="1" t="s">
        <v>14</v>
      </c>
      <c r="H39" s="79" t="s">
        <v>1193</v>
      </c>
      <c r="K39">
        <v>1</v>
      </c>
      <c r="P39">
        <v>1</v>
      </c>
      <c r="R39" s="5">
        <v>36557</v>
      </c>
      <c r="S39" s="5">
        <v>36678</v>
      </c>
      <c r="T39" s="4">
        <f>FLOOR(((YEAR(S39)*12+MONTH(S39))-(YEAR(R39)*12+MONTH(R39)))/3,1)+1</f>
        <v>2</v>
      </c>
      <c r="U39" t="str">
        <f t="shared" si="1"/>
        <v>Q1-2000</v>
      </c>
      <c r="V39" t="str">
        <f t="shared" si="2"/>
        <v>Q2-2000</v>
      </c>
      <c r="W39" t="s">
        <v>504</v>
      </c>
      <c r="Y39" t="s">
        <v>503</v>
      </c>
    </row>
    <row r="40" spans="1:25">
      <c r="A40" t="s">
        <v>82</v>
      </c>
      <c r="C40" t="s">
        <v>902</v>
      </c>
      <c r="D40" t="s">
        <v>670</v>
      </c>
      <c r="F40">
        <v>2012</v>
      </c>
      <c r="G40" s="1" t="s">
        <v>52</v>
      </c>
      <c r="H40" s="79" t="s">
        <v>1194</v>
      </c>
      <c r="L40">
        <v>1</v>
      </c>
      <c r="N40">
        <v>1</v>
      </c>
      <c r="P40">
        <v>1</v>
      </c>
      <c r="R40" s="5">
        <v>40756</v>
      </c>
      <c r="S40" s="5">
        <v>40969</v>
      </c>
      <c r="T40" s="4">
        <f>FLOOR(((YEAR(S40)*12+MONTH(S40))-(YEAR(R40)*12+MONTH(R40)))/3,1)+1</f>
        <v>3</v>
      </c>
      <c r="U40" t="str">
        <f t="shared" si="1"/>
        <v>Q3-2011</v>
      </c>
      <c r="V40" t="str">
        <f t="shared" si="2"/>
        <v>Q1-2012</v>
      </c>
      <c r="W40" t="s">
        <v>83</v>
      </c>
    </row>
    <row r="41" spans="1:25">
      <c r="A41" t="s">
        <v>91</v>
      </c>
      <c r="C41" t="s">
        <v>605</v>
      </c>
      <c r="D41" t="s">
        <v>756</v>
      </c>
      <c r="F41">
        <v>2009</v>
      </c>
      <c r="G41" s="1" t="s">
        <v>52</v>
      </c>
      <c r="H41" s="79" t="s">
        <v>1194</v>
      </c>
      <c r="L41">
        <v>1</v>
      </c>
      <c r="R41" s="5">
        <v>39845</v>
      </c>
      <c r="S41" s="5">
        <v>40148</v>
      </c>
      <c r="T41" s="4">
        <f>FLOOR(((YEAR(S41)*12+MONTH(S41))-(YEAR(R41)*12+MONTH(R41)))/3,1)+1</f>
        <v>4</v>
      </c>
      <c r="U41" t="str">
        <f t="shared" si="1"/>
        <v>Q1-2009</v>
      </c>
      <c r="V41" t="str">
        <f t="shared" si="2"/>
        <v>Q4-2009</v>
      </c>
      <c r="W41" t="s">
        <v>103</v>
      </c>
    </row>
    <row r="42" spans="1:25">
      <c r="A42" t="s">
        <v>66</v>
      </c>
      <c r="C42" t="s">
        <v>903</v>
      </c>
      <c r="D42" t="s">
        <v>671</v>
      </c>
      <c r="E42">
        <v>1</v>
      </c>
      <c r="F42">
        <v>2008</v>
      </c>
      <c r="G42" s="1" t="s">
        <v>52</v>
      </c>
      <c r="H42" s="79" t="s">
        <v>1194</v>
      </c>
      <c r="L42">
        <v>1</v>
      </c>
      <c r="R42" s="5">
        <v>39814</v>
      </c>
      <c r="S42" s="5">
        <v>40148</v>
      </c>
      <c r="T42" s="4">
        <f>FLOOR(((YEAR(S42)*12+MONTH(S42))-(YEAR(R42)*12+MONTH(R42)))/3,1)+1</f>
        <v>4</v>
      </c>
      <c r="U42" t="str">
        <f t="shared" si="1"/>
        <v>Q1-2009</v>
      </c>
      <c r="V42" t="str">
        <f t="shared" si="2"/>
        <v>Q4-2009</v>
      </c>
      <c r="W42" t="s">
        <v>830</v>
      </c>
    </row>
    <row r="43" spans="1:25">
      <c r="A43" t="s">
        <v>66</v>
      </c>
      <c r="C43" t="s">
        <v>903</v>
      </c>
      <c r="D43" t="s">
        <v>671</v>
      </c>
      <c r="E43">
        <v>1</v>
      </c>
      <c r="F43">
        <v>2010</v>
      </c>
      <c r="G43" s="1" t="s">
        <v>52</v>
      </c>
      <c r="H43" s="79" t="s">
        <v>1194</v>
      </c>
      <c r="J43">
        <v>1</v>
      </c>
      <c r="L43">
        <v>1</v>
      </c>
      <c r="N43">
        <v>1</v>
      </c>
      <c r="R43" s="5">
        <v>40422</v>
      </c>
      <c r="S43" s="5">
        <v>40575</v>
      </c>
      <c r="T43" s="4">
        <v>3</v>
      </c>
      <c r="U43" t="str">
        <f t="shared" si="1"/>
        <v>Q3-2010</v>
      </c>
      <c r="V43" t="str">
        <f t="shared" si="2"/>
        <v>Q1-2011</v>
      </c>
      <c r="W43" t="s">
        <v>833</v>
      </c>
    </row>
    <row r="44" spans="1:25">
      <c r="A44" t="s">
        <v>53</v>
      </c>
      <c r="C44" t="s">
        <v>904</v>
      </c>
      <c r="D44" t="s">
        <v>672</v>
      </c>
      <c r="E44" s="7"/>
      <c r="F44">
        <v>2008</v>
      </c>
      <c r="G44" s="1" t="s">
        <v>52</v>
      </c>
      <c r="H44" s="79" t="s">
        <v>1194</v>
      </c>
      <c r="L44">
        <v>1</v>
      </c>
      <c r="P44">
        <v>1</v>
      </c>
      <c r="R44" s="5">
        <v>39448</v>
      </c>
      <c r="S44" s="5">
        <v>39448</v>
      </c>
      <c r="T44" s="4">
        <f t="shared" ref="T44:T62" si="3">FLOOR(((YEAR(S44)*12+MONTH(S44))-(YEAR(R44)*12+MONTH(R44)))/3,1)+1</f>
        <v>1</v>
      </c>
      <c r="U44" t="str">
        <f t="shared" si="1"/>
        <v>Q1-2008</v>
      </c>
      <c r="V44" t="str">
        <f t="shared" si="2"/>
        <v>Q1-2008</v>
      </c>
      <c r="W44" t="s">
        <v>54</v>
      </c>
    </row>
    <row r="45" spans="1:25">
      <c r="A45" t="s">
        <v>61</v>
      </c>
      <c r="C45" t="s">
        <v>962</v>
      </c>
      <c r="D45" t="s">
        <v>673</v>
      </c>
      <c r="E45" s="7"/>
      <c r="F45">
        <v>2008</v>
      </c>
      <c r="G45" s="1" t="s">
        <v>52</v>
      </c>
      <c r="H45" s="79" t="s">
        <v>1194</v>
      </c>
      <c r="L45">
        <v>1</v>
      </c>
      <c r="R45" s="5">
        <v>39692</v>
      </c>
      <c r="S45" s="5">
        <v>39692</v>
      </c>
      <c r="T45" s="4">
        <f t="shared" si="3"/>
        <v>1</v>
      </c>
      <c r="U45" t="str">
        <f t="shared" si="1"/>
        <v>Q3-2008</v>
      </c>
      <c r="V45" t="str">
        <f t="shared" si="2"/>
        <v>Q3-2008</v>
      </c>
      <c r="W45" t="s">
        <v>62</v>
      </c>
    </row>
    <row r="46" spans="1:25">
      <c r="A46" t="s">
        <v>73</v>
      </c>
      <c r="C46" t="s">
        <v>757</v>
      </c>
      <c r="F46">
        <v>2010</v>
      </c>
      <c r="G46" s="1" t="s">
        <v>52</v>
      </c>
      <c r="H46" s="79" t="s">
        <v>1194</v>
      </c>
      <c r="J46">
        <v>1</v>
      </c>
      <c r="R46" s="5">
        <v>39722</v>
      </c>
      <c r="S46" s="5">
        <v>40210</v>
      </c>
      <c r="T46" s="4">
        <f t="shared" si="3"/>
        <v>6</v>
      </c>
      <c r="U46" t="str">
        <f t="shared" si="1"/>
        <v>Q4-2008</v>
      </c>
      <c r="V46" t="str">
        <f t="shared" si="2"/>
        <v>Q1-2010</v>
      </c>
      <c r="W46" t="s">
        <v>880</v>
      </c>
    </row>
    <row r="47" spans="1:25">
      <c r="A47" t="s">
        <v>97</v>
      </c>
      <c r="B47" t="s">
        <v>1148</v>
      </c>
      <c r="C47" t="s">
        <v>604</v>
      </c>
      <c r="D47" t="s">
        <v>758</v>
      </c>
      <c r="E47">
        <v>1</v>
      </c>
      <c r="F47">
        <v>2009</v>
      </c>
      <c r="G47" s="1" t="s">
        <v>52</v>
      </c>
      <c r="H47" s="79" t="s">
        <v>1194</v>
      </c>
      <c r="L47">
        <v>1</v>
      </c>
      <c r="N47">
        <v>1</v>
      </c>
      <c r="R47" s="5">
        <v>39845</v>
      </c>
      <c r="S47" s="5">
        <v>39934</v>
      </c>
      <c r="T47" s="4">
        <f t="shared" si="3"/>
        <v>2</v>
      </c>
      <c r="U47" t="str">
        <f t="shared" si="1"/>
        <v>Q1-2009</v>
      </c>
      <c r="V47" t="str">
        <f t="shared" si="2"/>
        <v>Q2-2009</v>
      </c>
      <c r="W47" t="s">
        <v>102</v>
      </c>
    </row>
    <row r="48" spans="1:25">
      <c r="A48" t="s">
        <v>92</v>
      </c>
      <c r="C48" t="s">
        <v>1042</v>
      </c>
      <c r="D48" t="s">
        <v>759</v>
      </c>
      <c r="E48" s="8"/>
      <c r="F48">
        <v>2009</v>
      </c>
      <c r="G48" s="1" t="s">
        <v>52</v>
      </c>
      <c r="H48" s="79" t="s">
        <v>1194</v>
      </c>
      <c r="L48">
        <v>1</v>
      </c>
      <c r="N48">
        <v>1</v>
      </c>
      <c r="R48" s="5">
        <v>39845</v>
      </c>
      <c r="S48" s="5">
        <v>40148</v>
      </c>
      <c r="T48" s="4">
        <f t="shared" si="3"/>
        <v>4</v>
      </c>
      <c r="U48" t="str">
        <f t="shared" si="1"/>
        <v>Q1-2009</v>
      </c>
      <c r="V48" t="str">
        <f t="shared" si="2"/>
        <v>Q4-2009</v>
      </c>
      <c r="W48" t="s">
        <v>100</v>
      </c>
    </row>
    <row r="49" spans="1:25">
      <c r="A49" t="s">
        <v>60</v>
      </c>
      <c r="C49" t="s">
        <v>905</v>
      </c>
      <c r="D49" t="s">
        <v>674</v>
      </c>
      <c r="E49" s="8"/>
      <c r="F49">
        <v>2008</v>
      </c>
      <c r="G49" s="1" t="s">
        <v>52</v>
      </c>
      <c r="H49" s="79" t="s">
        <v>1194</v>
      </c>
      <c r="J49">
        <v>1</v>
      </c>
      <c r="L49">
        <v>1</v>
      </c>
      <c r="O49">
        <v>1</v>
      </c>
      <c r="R49" s="5">
        <v>39692</v>
      </c>
      <c r="S49" s="5">
        <v>39753</v>
      </c>
      <c r="T49" s="4">
        <f t="shared" si="3"/>
        <v>1</v>
      </c>
      <c r="U49" t="str">
        <f t="shared" si="1"/>
        <v>Q3-2008</v>
      </c>
      <c r="V49" t="str">
        <f t="shared" si="2"/>
        <v>Q4-2008</v>
      </c>
      <c r="W49" t="s">
        <v>835</v>
      </c>
    </row>
    <row r="50" spans="1:25">
      <c r="A50" t="s">
        <v>75</v>
      </c>
      <c r="C50" t="s">
        <v>906</v>
      </c>
      <c r="D50" t="s">
        <v>675</v>
      </c>
      <c r="E50" s="7"/>
      <c r="F50">
        <v>2008</v>
      </c>
      <c r="G50" s="1" t="s">
        <v>52</v>
      </c>
      <c r="H50" s="79" t="s">
        <v>1194</v>
      </c>
      <c r="J50">
        <v>1</v>
      </c>
      <c r="L50">
        <v>1</v>
      </c>
      <c r="R50" s="5">
        <v>39722</v>
      </c>
      <c r="S50" s="5">
        <v>40087</v>
      </c>
      <c r="T50" s="4">
        <f t="shared" si="3"/>
        <v>5</v>
      </c>
      <c r="U50" t="str">
        <f t="shared" si="1"/>
        <v>Q4-2008</v>
      </c>
      <c r="V50" t="str">
        <f t="shared" si="2"/>
        <v>Q4-2009</v>
      </c>
      <c r="W50" t="s">
        <v>831</v>
      </c>
    </row>
    <row r="51" spans="1:25">
      <c r="A51" t="s">
        <v>75</v>
      </c>
      <c r="C51" t="s">
        <v>906</v>
      </c>
      <c r="D51" t="s">
        <v>675</v>
      </c>
      <c r="E51" s="7"/>
      <c r="F51">
        <v>2010</v>
      </c>
      <c r="G51" s="1" t="s">
        <v>52</v>
      </c>
      <c r="H51" s="79" t="s">
        <v>1194</v>
      </c>
      <c r="J51">
        <v>1</v>
      </c>
      <c r="R51" s="5">
        <v>40422</v>
      </c>
      <c r="S51" s="5">
        <v>40544</v>
      </c>
      <c r="T51" s="4">
        <f t="shared" si="3"/>
        <v>2</v>
      </c>
      <c r="U51" t="str">
        <f t="shared" si="1"/>
        <v>Q3-2010</v>
      </c>
      <c r="V51" t="str">
        <f t="shared" si="2"/>
        <v>Q1-2011</v>
      </c>
      <c r="W51" t="s">
        <v>832</v>
      </c>
    </row>
    <row r="52" spans="1:25">
      <c r="A52" t="s">
        <v>93</v>
      </c>
      <c r="C52" t="s">
        <v>963</v>
      </c>
      <c r="E52">
        <v>1</v>
      </c>
      <c r="F52">
        <v>2009</v>
      </c>
      <c r="G52" s="1" t="s">
        <v>52</v>
      </c>
      <c r="H52" s="79" t="s">
        <v>1194</v>
      </c>
      <c r="L52">
        <v>1</v>
      </c>
      <c r="R52" s="5">
        <v>39845</v>
      </c>
      <c r="S52" s="5">
        <v>39845</v>
      </c>
      <c r="T52" s="4">
        <f t="shared" si="3"/>
        <v>1</v>
      </c>
      <c r="U52" t="str">
        <f t="shared" si="1"/>
        <v>Q1-2009</v>
      </c>
      <c r="V52" t="str">
        <f t="shared" si="2"/>
        <v>Q1-2009</v>
      </c>
      <c r="W52" t="s">
        <v>102</v>
      </c>
    </row>
    <row r="53" spans="1:25">
      <c r="A53" t="s">
        <v>322</v>
      </c>
      <c r="C53" t="s">
        <v>907</v>
      </c>
      <c r="D53" t="s">
        <v>676</v>
      </c>
      <c r="E53">
        <v>1</v>
      </c>
      <c r="F53">
        <v>2009</v>
      </c>
      <c r="G53" s="1" t="s">
        <v>52</v>
      </c>
      <c r="H53" s="79" t="s">
        <v>1194</v>
      </c>
      <c r="J53">
        <v>1</v>
      </c>
      <c r="K53">
        <v>0</v>
      </c>
      <c r="R53" s="5">
        <v>39722</v>
      </c>
      <c r="S53" s="5">
        <v>40057</v>
      </c>
      <c r="T53" s="4">
        <f t="shared" si="3"/>
        <v>4</v>
      </c>
      <c r="U53" t="str">
        <f t="shared" si="1"/>
        <v>Q4-2008</v>
      </c>
      <c r="V53" t="str">
        <f t="shared" si="2"/>
        <v>Q3-2009</v>
      </c>
      <c r="W53" t="s">
        <v>1010</v>
      </c>
    </row>
    <row r="54" spans="1:25">
      <c r="A54" t="s">
        <v>79</v>
      </c>
      <c r="C54" t="s">
        <v>908</v>
      </c>
      <c r="D54" t="s">
        <v>677</v>
      </c>
      <c r="F54">
        <v>2010</v>
      </c>
      <c r="G54" s="1" t="s">
        <v>52</v>
      </c>
      <c r="H54" s="79" t="s">
        <v>1194</v>
      </c>
      <c r="J54">
        <v>1</v>
      </c>
      <c r="R54" s="5">
        <v>40452</v>
      </c>
      <c r="S54" s="5">
        <v>40695</v>
      </c>
      <c r="T54" s="4">
        <f t="shared" si="3"/>
        <v>3</v>
      </c>
      <c r="U54" t="str">
        <f t="shared" si="1"/>
        <v>Q4-2010</v>
      </c>
      <c r="V54" t="str">
        <f t="shared" si="2"/>
        <v>Q2-2011</v>
      </c>
      <c r="W54" t="s">
        <v>323</v>
      </c>
    </row>
    <row r="55" spans="1:25">
      <c r="A55" t="s">
        <v>660</v>
      </c>
      <c r="C55" t="s">
        <v>909</v>
      </c>
      <c r="D55" t="s">
        <v>679</v>
      </c>
      <c r="F55">
        <v>2008</v>
      </c>
      <c r="G55" s="1" t="s">
        <v>52</v>
      </c>
      <c r="H55" s="79" t="s">
        <v>1194</v>
      </c>
      <c r="P55">
        <v>1</v>
      </c>
      <c r="R55" s="5">
        <v>39692</v>
      </c>
      <c r="S55" s="5">
        <v>39722</v>
      </c>
      <c r="T55" s="4">
        <f t="shared" si="3"/>
        <v>1</v>
      </c>
      <c r="U55" t="str">
        <f t="shared" si="1"/>
        <v>Q3-2008</v>
      </c>
      <c r="V55" t="str">
        <f t="shared" si="2"/>
        <v>Q4-2008</v>
      </c>
      <c r="W55" t="s">
        <v>58</v>
      </c>
      <c r="Y55" t="s">
        <v>56</v>
      </c>
    </row>
    <row r="56" spans="1:25">
      <c r="A56" t="s">
        <v>72</v>
      </c>
      <c r="F56">
        <v>2009</v>
      </c>
      <c r="G56" s="1" t="s">
        <v>52</v>
      </c>
      <c r="H56" s="79" t="s">
        <v>1194</v>
      </c>
      <c r="J56">
        <v>1</v>
      </c>
      <c r="R56" s="5">
        <v>39722</v>
      </c>
      <c r="S56" s="5">
        <v>39904</v>
      </c>
      <c r="T56" s="4">
        <f t="shared" si="3"/>
        <v>3</v>
      </c>
      <c r="U56" t="str">
        <f t="shared" si="1"/>
        <v>Q4-2008</v>
      </c>
      <c r="V56" t="str">
        <f t="shared" si="2"/>
        <v>Q2-2009</v>
      </c>
      <c r="W56" t="s">
        <v>80</v>
      </c>
    </row>
    <row r="57" spans="1:25">
      <c r="A57" t="s">
        <v>662</v>
      </c>
      <c r="C57" s="50" t="s">
        <v>911</v>
      </c>
      <c r="F57">
        <v>2009</v>
      </c>
      <c r="G57" s="1" t="s">
        <v>52</v>
      </c>
      <c r="H57" s="79" t="s">
        <v>1194</v>
      </c>
      <c r="J57">
        <v>1</v>
      </c>
      <c r="R57" s="5">
        <v>39722</v>
      </c>
      <c r="S57" s="5">
        <v>39873</v>
      </c>
      <c r="T57" s="4">
        <f t="shared" si="3"/>
        <v>2</v>
      </c>
      <c r="U57" t="str">
        <f t="shared" si="1"/>
        <v>Q4-2008</v>
      </c>
      <c r="V57" t="str">
        <f t="shared" si="2"/>
        <v>Q1-2009</v>
      </c>
      <c r="W57" t="s">
        <v>80</v>
      </c>
      <c r="Y57" t="s">
        <v>71</v>
      </c>
    </row>
    <row r="58" spans="1:25">
      <c r="A58" t="s">
        <v>661</v>
      </c>
      <c r="C58" t="s">
        <v>910</v>
      </c>
      <c r="D58" t="s">
        <v>678</v>
      </c>
      <c r="E58" s="8"/>
      <c r="F58">
        <v>2008</v>
      </c>
      <c r="G58" s="1" t="s">
        <v>52</v>
      </c>
      <c r="H58" s="79" t="s">
        <v>1194</v>
      </c>
      <c r="O58">
        <v>1</v>
      </c>
      <c r="R58" s="5">
        <v>39692</v>
      </c>
      <c r="S58" s="5">
        <v>39722</v>
      </c>
      <c r="T58" s="4">
        <f t="shared" si="3"/>
        <v>1</v>
      </c>
      <c r="U58" t="str">
        <f t="shared" si="1"/>
        <v>Q3-2008</v>
      </c>
      <c r="V58" t="str">
        <f t="shared" si="2"/>
        <v>Q4-2008</v>
      </c>
      <c r="W58" t="s">
        <v>59</v>
      </c>
      <c r="Y58" t="s">
        <v>57</v>
      </c>
    </row>
    <row r="59" spans="1:25">
      <c r="A59" t="s">
        <v>81</v>
      </c>
      <c r="C59" t="s">
        <v>911</v>
      </c>
      <c r="D59" t="s">
        <v>680</v>
      </c>
      <c r="E59" s="8"/>
      <c r="F59">
        <v>2011</v>
      </c>
      <c r="G59" s="1" t="s">
        <v>52</v>
      </c>
      <c r="H59" s="79" t="s">
        <v>1194</v>
      </c>
      <c r="J59">
        <v>1</v>
      </c>
      <c r="L59">
        <v>1</v>
      </c>
      <c r="O59">
        <v>1</v>
      </c>
      <c r="R59" s="5">
        <v>40756</v>
      </c>
      <c r="S59" s="5">
        <v>40817</v>
      </c>
      <c r="T59" s="4">
        <f t="shared" si="3"/>
        <v>1</v>
      </c>
      <c r="U59" t="str">
        <f t="shared" si="1"/>
        <v>Q3-2011</v>
      </c>
      <c r="V59" t="str">
        <f t="shared" si="2"/>
        <v>Q4-2011</v>
      </c>
      <c r="W59" t="s">
        <v>324</v>
      </c>
    </row>
    <row r="60" spans="1:25">
      <c r="A60" t="s">
        <v>663</v>
      </c>
      <c r="C60" t="s">
        <v>912</v>
      </c>
      <c r="D60" t="s">
        <v>681</v>
      </c>
      <c r="E60" s="8"/>
      <c r="F60">
        <v>2010</v>
      </c>
      <c r="G60" s="1" t="s">
        <v>52</v>
      </c>
      <c r="H60" s="79" t="s">
        <v>1194</v>
      </c>
      <c r="P60">
        <v>1</v>
      </c>
      <c r="R60" s="5">
        <v>40391</v>
      </c>
      <c r="S60" s="5">
        <v>40483</v>
      </c>
      <c r="T60" s="4">
        <f t="shared" si="3"/>
        <v>2</v>
      </c>
      <c r="U60" t="str">
        <f t="shared" si="1"/>
        <v>Q3-2010</v>
      </c>
      <c r="V60" t="str">
        <f t="shared" si="2"/>
        <v>Q4-2010</v>
      </c>
      <c r="W60" t="s">
        <v>78</v>
      </c>
      <c r="Y60" t="s">
        <v>77</v>
      </c>
    </row>
    <row r="61" spans="1:25">
      <c r="A61" t="s">
        <v>664</v>
      </c>
      <c r="C61" t="s">
        <v>760</v>
      </c>
      <c r="D61" t="s">
        <v>682</v>
      </c>
      <c r="E61">
        <v>1</v>
      </c>
      <c r="F61">
        <v>2008</v>
      </c>
      <c r="G61" s="1" t="s">
        <v>52</v>
      </c>
      <c r="H61" s="79" t="s">
        <v>1194</v>
      </c>
      <c r="P61">
        <v>1</v>
      </c>
      <c r="R61" s="5">
        <v>39692</v>
      </c>
      <c r="S61" s="5">
        <v>39692</v>
      </c>
      <c r="T61" s="4">
        <f t="shared" si="3"/>
        <v>1</v>
      </c>
      <c r="U61" t="str">
        <f t="shared" si="1"/>
        <v>Q3-2008</v>
      </c>
      <c r="V61" t="str">
        <f t="shared" si="2"/>
        <v>Q3-2008</v>
      </c>
      <c r="W61" t="s">
        <v>65</v>
      </c>
      <c r="Y61" t="s">
        <v>63</v>
      </c>
    </row>
    <row r="62" spans="1:25">
      <c r="A62" t="s">
        <v>55</v>
      </c>
      <c r="C62" t="s">
        <v>913</v>
      </c>
      <c r="D62" t="s">
        <v>649</v>
      </c>
      <c r="E62">
        <v>1</v>
      </c>
      <c r="F62">
        <v>2008</v>
      </c>
      <c r="G62" s="1" t="s">
        <v>52</v>
      </c>
      <c r="H62" s="79" t="s">
        <v>1194</v>
      </c>
      <c r="J62">
        <v>1</v>
      </c>
      <c r="K62">
        <v>0</v>
      </c>
      <c r="L62">
        <v>1</v>
      </c>
      <c r="R62" s="5">
        <v>39630</v>
      </c>
      <c r="S62" s="5">
        <v>39661</v>
      </c>
      <c r="T62" s="4">
        <f t="shared" si="3"/>
        <v>1</v>
      </c>
      <c r="U62" t="str">
        <f t="shared" si="1"/>
        <v>Q3-2008</v>
      </c>
      <c r="V62" t="str">
        <f t="shared" si="2"/>
        <v>Q3-2008</v>
      </c>
      <c r="W62" t="s">
        <v>1012</v>
      </c>
      <c r="X62"/>
    </row>
    <row r="63" spans="1:25">
      <c r="A63" t="s">
        <v>55</v>
      </c>
      <c r="C63" t="s">
        <v>913</v>
      </c>
      <c r="D63" t="s">
        <v>649</v>
      </c>
      <c r="E63">
        <v>1</v>
      </c>
      <c r="F63">
        <v>2009</v>
      </c>
      <c r="G63" s="1" t="s">
        <v>52</v>
      </c>
      <c r="H63" s="79" t="s">
        <v>1194</v>
      </c>
      <c r="J63">
        <v>1</v>
      </c>
      <c r="M63">
        <v>1</v>
      </c>
      <c r="O63">
        <v>1</v>
      </c>
      <c r="R63" s="5">
        <v>39873</v>
      </c>
      <c r="S63" s="5">
        <v>40026</v>
      </c>
      <c r="T63" s="4">
        <v>3</v>
      </c>
      <c r="U63" t="str">
        <f t="shared" si="1"/>
        <v>Q1-2009</v>
      </c>
      <c r="V63" t="str">
        <f t="shared" si="2"/>
        <v>Q3-2009</v>
      </c>
      <c r="W63" t="s">
        <v>834</v>
      </c>
    </row>
    <row r="64" spans="1:25">
      <c r="A64" t="s">
        <v>684</v>
      </c>
      <c r="C64" t="s">
        <v>914</v>
      </c>
      <c r="D64" t="s">
        <v>683</v>
      </c>
      <c r="E64" s="8"/>
      <c r="F64">
        <v>2010</v>
      </c>
      <c r="G64" s="1" t="s">
        <v>52</v>
      </c>
      <c r="H64" s="79" t="s">
        <v>1194</v>
      </c>
      <c r="L64">
        <v>1</v>
      </c>
      <c r="R64" s="5">
        <v>39814</v>
      </c>
      <c r="S64" s="5">
        <v>40422</v>
      </c>
      <c r="T64" s="4">
        <f t="shared" ref="T64:T96" si="4">FLOOR(((YEAR(S64)*12+MONTH(S64))-(YEAR(R64)*12+MONTH(R64)))/3,1)+1</f>
        <v>7</v>
      </c>
      <c r="U64" t="str">
        <f t="shared" si="1"/>
        <v>Q1-2009</v>
      </c>
      <c r="V64" t="str">
        <f t="shared" si="2"/>
        <v>Q3-2010</v>
      </c>
      <c r="W64" t="s">
        <v>1069</v>
      </c>
      <c r="Y64" t="s">
        <v>74</v>
      </c>
    </row>
    <row r="65" spans="1:25">
      <c r="A65" t="s">
        <v>94</v>
      </c>
      <c r="C65" t="s">
        <v>606</v>
      </c>
      <c r="D65" t="s">
        <v>761</v>
      </c>
      <c r="E65">
        <v>1</v>
      </c>
      <c r="F65">
        <v>2009</v>
      </c>
      <c r="G65" s="1" t="s">
        <v>52</v>
      </c>
      <c r="H65" s="79" t="s">
        <v>1194</v>
      </c>
      <c r="L65">
        <v>1</v>
      </c>
      <c r="N65">
        <v>1</v>
      </c>
      <c r="R65" s="5">
        <v>39845</v>
      </c>
      <c r="S65" s="5">
        <v>40148</v>
      </c>
      <c r="T65" s="4">
        <f t="shared" si="4"/>
        <v>4</v>
      </c>
      <c r="U65" t="str">
        <f t="shared" si="1"/>
        <v>Q1-2009</v>
      </c>
      <c r="V65" t="str">
        <f t="shared" si="2"/>
        <v>Q4-2009</v>
      </c>
      <c r="W65" t="s">
        <v>100</v>
      </c>
    </row>
    <row r="66" spans="1:25">
      <c r="A66" t="s">
        <v>85</v>
      </c>
      <c r="C66" t="s">
        <v>915</v>
      </c>
      <c r="F66">
        <v>2012</v>
      </c>
      <c r="G66" s="1" t="s">
        <v>52</v>
      </c>
      <c r="H66" s="79" t="s">
        <v>1194</v>
      </c>
      <c r="K66">
        <v>1</v>
      </c>
      <c r="R66" s="5">
        <v>40695</v>
      </c>
      <c r="S66" s="5">
        <v>41000</v>
      </c>
      <c r="T66" s="4">
        <f t="shared" si="4"/>
        <v>4</v>
      </c>
      <c r="U66" t="str">
        <f t="shared" si="1"/>
        <v>Q2-2011</v>
      </c>
      <c r="V66" t="str">
        <f t="shared" si="2"/>
        <v>Q2-2012</v>
      </c>
      <c r="W66" t="s">
        <v>86</v>
      </c>
    </row>
    <row r="67" spans="1:25">
      <c r="A67" t="s">
        <v>88</v>
      </c>
      <c r="C67" t="s">
        <v>915</v>
      </c>
      <c r="D67" t="s">
        <v>685</v>
      </c>
      <c r="F67">
        <v>2013</v>
      </c>
      <c r="G67" s="1" t="s">
        <v>52</v>
      </c>
      <c r="H67" s="79" t="s">
        <v>1194</v>
      </c>
      <c r="P67">
        <v>1</v>
      </c>
      <c r="R67" s="5">
        <v>41275</v>
      </c>
      <c r="S67" s="5">
        <v>41275</v>
      </c>
      <c r="T67" s="4">
        <f t="shared" si="4"/>
        <v>1</v>
      </c>
      <c r="U67" t="str">
        <f t="shared" si="1"/>
        <v>Q1-2013</v>
      </c>
      <c r="V67" t="str">
        <f t="shared" si="2"/>
        <v>Q1-2013</v>
      </c>
      <c r="W67" t="s">
        <v>90</v>
      </c>
    </row>
    <row r="68" spans="1:25">
      <c r="A68" t="s">
        <v>686</v>
      </c>
      <c r="F68">
        <v>2012</v>
      </c>
      <c r="G68" s="1" t="s">
        <v>52</v>
      </c>
      <c r="H68" s="79" t="s">
        <v>1194</v>
      </c>
      <c r="J68">
        <v>1</v>
      </c>
      <c r="P68">
        <v>1</v>
      </c>
      <c r="R68" s="5">
        <v>40756</v>
      </c>
      <c r="S68" s="5">
        <v>41000</v>
      </c>
      <c r="T68" s="4">
        <f t="shared" si="4"/>
        <v>3</v>
      </c>
      <c r="U68" t="str">
        <f t="shared" si="1"/>
        <v>Q3-2011</v>
      </c>
      <c r="V68" t="str">
        <f t="shared" si="2"/>
        <v>Q2-2012</v>
      </c>
      <c r="W68" t="s">
        <v>325</v>
      </c>
      <c r="Y68" t="s">
        <v>84</v>
      </c>
    </row>
    <row r="69" spans="1:25">
      <c r="A69" t="s">
        <v>76</v>
      </c>
      <c r="F69">
        <v>2008</v>
      </c>
      <c r="G69" s="1" t="s">
        <v>52</v>
      </c>
      <c r="H69" s="79" t="s">
        <v>1194</v>
      </c>
      <c r="O69">
        <v>1</v>
      </c>
      <c r="R69" s="5">
        <v>39722</v>
      </c>
      <c r="S69" s="5">
        <v>39722</v>
      </c>
      <c r="T69" s="4">
        <f t="shared" si="4"/>
        <v>1</v>
      </c>
      <c r="U69" t="str">
        <f t="shared" ref="U69:U133" si="5">"Q" &amp;INT((MONTH(R69)+2)/3) &amp; "-" &amp; YEAR(R69)</f>
        <v>Q4-2008</v>
      </c>
      <c r="V69" t="str">
        <f t="shared" ref="V69:V133" si="6">"Q" &amp;INT((MONTH(S69)+2)/3) &amp; "-" &amp; YEAR(S69)</f>
        <v>Q4-2008</v>
      </c>
      <c r="W69" t="s">
        <v>68</v>
      </c>
    </row>
    <row r="70" spans="1:25">
      <c r="A70" t="s">
        <v>95</v>
      </c>
      <c r="F70">
        <v>2009</v>
      </c>
      <c r="G70" s="1" t="s">
        <v>52</v>
      </c>
      <c r="H70" s="79" t="s">
        <v>1194</v>
      </c>
      <c r="L70">
        <v>1</v>
      </c>
      <c r="R70" s="5">
        <v>39845</v>
      </c>
      <c r="S70" s="5">
        <v>40148</v>
      </c>
      <c r="T70" s="4">
        <f t="shared" si="4"/>
        <v>4</v>
      </c>
      <c r="U70" t="str">
        <f t="shared" si="5"/>
        <v>Q1-2009</v>
      </c>
      <c r="V70" t="str">
        <f t="shared" si="6"/>
        <v>Q4-2009</v>
      </c>
      <c r="W70" t="s">
        <v>100</v>
      </c>
    </row>
    <row r="71" spans="1:25">
      <c r="A71" t="s">
        <v>687</v>
      </c>
      <c r="C71" t="s">
        <v>916</v>
      </c>
      <c r="D71" t="s">
        <v>688</v>
      </c>
      <c r="E71" s="8"/>
      <c r="F71">
        <v>2012</v>
      </c>
      <c r="G71" s="1" t="s">
        <v>52</v>
      </c>
      <c r="H71" s="79" t="s">
        <v>1194</v>
      </c>
      <c r="I71">
        <v>1</v>
      </c>
      <c r="O71">
        <v>1</v>
      </c>
      <c r="R71" s="5">
        <v>41214</v>
      </c>
      <c r="S71" s="5">
        <v>41214</v>
      </c>
      <c r="T71" s="4">
        <f t="shared" si="4"/>
        <v>1</v>
      </c>
      <c r="U71" t="str">
        <f t="shared" si="5"/>
        <v>Q4-2012</v>
      </c>
      <c r="V71" t="str">
        <f t="shared" si="6"/>
        <v>Q4-2012</v>
      </c>
      <c r="W71" t="s">
        <v>89</v>
      </c>
      <c r="Y71" t="s">
        <v>87</v>
      </c>
    </row>
    <row r="72" spans="1:25">
      <c r="A72" t="s">
        <v>96</v>
      </c>
      <c r="C72" t="s">
        <v>762</v>
      </c>
      <c r="D72" t="s">
        <v>689</v>
      </c>
      <c r="E72">
        <v>1</v>
      </c>
      <c r="F72">
        <v>2009</v>
      </c>
      <c r="G72" s="1" t="s">
        <v>52</v>
      </c>
      <c r="H72" s="79" t="s">
        <v>1194</v>
      </c>
      <c r="L72">
        <v>1</v>
      </c>
      <c r="N72">
        <v>1</v>
      </c>
      <c r="R72" s="5">
        <v>39845</v>
      </c>
      <c r="S72" s="5">
        <v>40148</v>
      </c>
      <c r="T72" s="4">
        <f t="shared" si="4"/>
        <v>4</v>
      </c>
      <c r="U72" t="str">
        <f t="shared" si="5"/>
        <v>Q1-2009</v>
      </c>
      <c r="V72" t="str">
        <f t="shared" si="6"/>
        <v>Q4-2009</v>
      </c>
      <c r="W72" t="s">
        <v>100</v>
      </c>
    </row>
    <row r="73" spans="1:25">
      <c r="A73" t="s">
        <v>745</v>
      </c>
      <c r="C73" t="s">
        <v>917</v>
      </c>
      <c r="D73" t="s">
        <v>744</v>
      </c>
      <c r="F73">
        <v>2017</v>
      </c>
      <c r="G73" s="1" t="s">
        <v>746</v>
      </c>
      <c r="H73" s="79" t="s">
        <v>1195</v>
      </c>
      <c r="J73">
        <v>1</v>
      </c>
      <c r="R73" s="5">
        <v>42370</v>
      </c>
      <c r="S73" s="5">
        <v>42736</v>
      </c>
      <c r="T73" s="4">
        <f t="shared" si="4"/>
        <v>5</v>
      </c>
      <c r="U73" t="str">
        <f t="shared" si="5"/>
        <v>Q1-2016</v>
      </c>
      <c r="V73" t="str">
        <f t="shared" si="6"/>
        <v>Q1-2017</v>
      </c>
      <c r="W73" t="s">
        <v>836</v>
      </c>
    </row>
    <row r="74" spans="1:25">
      <c r="A74" t="s">
        <v>763</v>
      </c>
      <c r="F74">
        <v>2009</v>
      </c>
      <c r="G74" s="1" t="s">
        <v>105</v>
      </c>
      <c r="H74" s="79" t="s">
        <v>1196</v>
      </c>
      <c r="J74">
        <v>1</v>
      </c>
      <c r="N74">
        <v>1</v>
      </c>
      <c r="R74" s="5">
        <v>39722</v>
      </c>
      <c r="S74" s="5">
        <v>39814</v>
      </c>
      <c r="T74" s="4">
        <f t="shared" si="4"/>
        <v>2</v>
      </c>
      <c r="U74" t="str">
        <f t="shared" si="5"/>
        <v>Q4-2008</v>
      </c>
      <c r="V74" t="str">
        <f t="shared" si="6"/>
        <v>Q1-2009</v>
      </c>
      <c r="W74" t="s">
        <v>328</v>
      </c>
      <c r="X74" t="s">
        <v>647</v>
      </c>
    </row>
    <row r="75" spans="1:25">
      <c r="A75" t="s">
        <v>1099</v>
      </c>
      <c r="B75" t="s">
        <v>1155</v>
      </c>
      <c r="C75" t="s">
        <v>1100</v>
      </c>
      <c r="D75" t="s">
        <v>1101</v>
      </c>
      <c r="E75">
        <v>1</v>
      </c>
      <c r="F75">
        <v>2009</v>
      </c>
      <c r="G75" s="1" t="s">
        <v>105</v>
      </c>
      <c r="H75" s="79" t="s">
        <v>1196</v>
      </c>
      <c r="L75">
        <v>1</v>
      </c>
      <c r="R75" s="5">
        <v>39814</v>
      </c>
      <c r="S75" s="5">
        <v>39814</v>
      </c>
      <c r="T75" s="4">
        <f t="shared" si="4"/>
        <v>1</v>
      </c>
      <c r="U75" t="str">
        <f t="shared" si="5"/>
        <v>Q1-2009</v>
      </c>
      <c r="V75" t="str">
        <f t="shared" si="6"/>
        <v>Q1-2009</v>
      </c>
      <c r="W75" t="s">
        <v>1102</v>
      </c>
      <c r="X75"/>
    </row>
    <row r="76" spans="1:25">
      <c r="A76" t="s">
        <v>535</v>
      </c>
      <c r="F76">
        <v>2010</v>
      </c>
      <c r="G76" s="1" t="s">
        <v>105</v>
      </c>
      <c r="H76" s="79" t="s">
        <v>1196</v>
      </c>
      <c r="J76">
        <v>1</v>
      </c>
      <c r="R76" s="5">
        <v>40238</v>
      </c>
      <c r="S76" s="5">
        <v>40422</v>
      </c>
      <c r="T76" s="4">
        <f t="shared" si="4"/>
        <v>3</v>
      </c>
      <c r="U76" t="str">
        <f t="shared" si="5"/>
        <v>Q1-2010</v>
      </c>
      <c r="V76" t="str">
        <f t="shared" si="6"/>
        <v>Q3-2010</v>
      </c>
      <c r="W76" t="s">
        <v>536</v>
      </c>
    </row>
    <row r="77" spans="1:25">
      <c r="A77" t="s">
        <v>108</v>
      </c>
      <c r="F77">
        <v>2008</v>
      </c>
      <c r="G77" s="1" t="s">
        <v>40</v>
      </c>
      <c r="H77" s="79" t="s">
        <v>1197</v>
      </c>
      <c r="L77">
        <v>1</v>
      </c>
      <c r="R77" s="5">
        <v>39722</v>
      </c>
      <c r="S77" s="5">
        <v>39904</v>
      </c>
      <c r="T77" s="4">
        <f t="shared" si="4"/>
        <v>3</v>
      </c>
      <c r="U77" t="str">
        <f t="shared" si="5"/>
        <v>Q4-2008</v>
      </c>
      <c r="V77" t="str">
        <f t="shared" si="6"/>
        <v>Q2-2009</v>
      </c>
      <c r="W77" t="s">
        <v>111</v>
      </c>
    </row>
    <row r="78" spans="1:25">
      <c r="A78" t="s">
        <v>108</v>
      </c>
      <c r="F78">
        <v>2009</v>
      </c>
      <c r="G78" s="1" t="s">
        <v>40</v>
      </c>
      <c r="H78" s="79" t="s">
        <v>1197</v>
      </c>
      <c r="P78">
        <v>1</v>
      </c>
      <c r="R78" s="5">
        <v>39934</v>
      </c>
      <c r="S78" s="5">
        <v>39995</v>
      </c>
      <c r="T78" s="4">
        <f t="shared" si="4"/>
        <v>1</v>
      </c>
      <c r="U78" t="str">
        <f t="shared" si="5"/>
        <v>Q2-2009</v>
      </c>
      <c r="V78" t="str">
        <f t="shared" si="6"/>
        <v>Q3-2009</v>
      </c>
      <c r="W78" t="s">
        <v>155</v>
      </c>
    </row>
    <row r="79" spans="1:25">
      <c r="A79" t="s">
        <v>112</v>
      </c>
      <c r="F79">
        <v>2008</v>
      </c>
      <c r="G79" s="1" t="s">
        <v>40</v>
      </c>
      <c r="H79" s="79" t="s">
        <v>1197</v>
      </c>
      <c r="L79">
        <v>1</v>
      </c>
      <c r="R79" s="5">
        <v>39722</v>
      </c>
      <c r="S79" s="5">
        <v>39904</v>
      </c>
      <c r="T79" s="4">
        <f t="shared" si="4"/>
        <v>3</v>
      </c>
      <c r="U79" t="str">
        <f t="shared" si="5"/>
        <v>Q4-2008</v>
      </c>
      <c r="V79" t="str">
        <f t="shared" si="6"/>
        <v>Q2-2009</v>
      </c>
      <c r="W79" t="s">
        <v>119</v>
      </c>
    </row>
    <row r="80" spans="1:25">
      <c r="A80" t="s">
        <v>37</v>
      </c>
      <c r="B80" t="s">
        <v>1156</v>
      </c>
      <c r="C80" t="s">
        <v>609</v>
      </c>
      <c r="D80" t="s">
        <v>764</v>
      </c>
      <c r="E80">
        <v>1</v>
      </c>
      <c r="F80">
        <v>2008</v>
      </c>
      <c r="G80" s="1" t="s">
        <v>40</v>
      </c>
      <c r="H80" s="79" t="s">
        <v>1197</v>
      </c>
      <c r="L80">
        <v>1</v>
      </c>
      <c r="R80" s="5">
        <v>39722</v>
      </c>
      <c r="S80" s="5">
        <v>39904</v>
      </c>
      <c r="T80" s="4">
        <f t="shared" si="4"/>
        <v>3</v>
      </c>
      <c r="U80" t="str">
        <f t="shared" si="5"/>
        <v>Q4-2008</v>
      </c>
      <c r="V80" t="str">
        <f t="shared" si="6"/>
        <v>Q2-2009</v>
      </c>
      <c r="W80" t="s">
        <v>111</v>
      </c>
    </row>
    <row r="81" spans="1:23">
      <c r="A81" t="s">
        <v>113</v>
      </c>
      <c r="F81">
        <v>2008</v>
      </c>
      <c r="G81" s="1" t="s">
        <v>40</v>
      </c>
      <c r="H81" s="79" t="s">
        <v>1197</v>
      </c>
      <c r="L81">
        <v>1</v>
      </c>
      <c r="R81" s="5">
        <v>39722</v>
      </c>
      <c r="S81" s="5">
        <v>39904</v>
      </c>
      <c r="T81" s="4">
        <f t="shared" si="4"/>
        <v>3</v>
      </c>
      <c r="U81" t="str">
        <f t="shared" si="5"/>
        <v>Q4-2008</v>
      </c>
      <c r="V81" t="str">
        <f t="shared" si="6"/>
        <v>Q2-2009</v>
      </c>
      <c r="W81" t="s">
        <v>119</v>
      </c>
    </row>
    <row r="82" spans="1:23">
      <c r="A82" t="s">
        <v>113</v>
      </c>
      <c r="F82">
        <v>2013</v>
      </c>
      <c r="G82" s="1" t="s">
        <v>40</v>
      </c>
      <c r="H82" s="79" t="s">
        <v>1197</v>
      </c>
      <c r="J82">
        <v>1</v>
      </c>
      <c r="N82">
        <v>1</v>
      </c>
      <c r="R82" s="5">
        <v>41275</v>
      </c>
      <c r="S82" s="5">
        <v>41579</v>
      </c>
      <c r="T82" s="4">
        <f t="shared" si="4"/>
        <v>4</v>
      </c>
      <c r="U82" t="str">
        <f t="shared" si="5"/>
        <v>Q1-2013</v>
      </c>
      <c r="V82" t="str">
        <f t="shared" si="6"/>
        <v>Q4-2013</v>
      </c>
      <c r="W82" t="s">
        <v>326</v>
      </c>
    </row>
    <row r="83" spans="1:23">
      <c r="A83" t="s">
        <v>109</v>
      </c>
      <c r="F83">
        <v>2008</v>
      </c>
      <c r="G83" s="1" t="s">
        <v>40</v>
      </c>
      <c r="H83" s="79" t="s">
        <v>1197</v>
      </c>
      <c r="L83">
        <v>1</v>
      </c>
      <c r="R83" s="5">
        <v>39722</v>
      </c>
      <c r="S83" s="5">
        <v>39904</v>
      </c>
      <c r="T83" s="4">
        <f t="shared" si="4"/>
        <v>3</v>
      </c>
      <c r="U83" t="str">
        <f t="shared" si="5"/>
        <v>Q4-2008</v>
      </c>
      <c r="V83" t="str">
        <f t="shared" si="6"/>
        <v>Q2-2009</v>
      </c>
      <c r="W83" t="s">
        <v>111</v>
      </c>
    </row>
    <row r="84" spans="1:23">
      <c r="A84" t="s">
        <v>109</v>
      </c>
      <c r="F84">
        <v>2009</v>
      </c>
      <c r="G84" s="1" t="s">
        <v>40</v>
      </c>
      <c r="H84" s="79" t="s">
        <v>1197</v>
      </c>
      <c r="P84">
        <v>1</v>
      </c>
      <c r="R84" s="5">
        <v>39934</v>
      </c>
      <c r="S84" s="5">
        <v>39995</v>
      </c>
      <c r="T84" s="4">
        <f t="shared" si="4"/>
        <v>1</v>
      </c>
      <c r="U84" t="str">
        <f t="shared" si="5"/>
        <v>Q2-2009</v>
      </c>
      <c r="V84" t="str">
        <f t="shared" si="6"/>
        <v>Q3-2009</v>
      </c>
      <c r="W84" t="s">
        <v>155</v>
      </c>
    </row>
    <row r="85" spans="1:23">
      <c r="A85" t="s">
        <v>39</v>
      </c>
      <c r="B85" t="s">
        <v>1157</v>
      </c>
      <c r="C85" t="s">
        <v>610</v>
      </c>
      <c r="D85" t="s">
        <v>765</v>
      </c>
      <c r="E85">
        <v>1</v>
      </c>
      <c r="F85">
        <v>2008</v>
      </c>
      <c r="G85" s="1" t="s">
        <v>40</v>
      </c>
      <c r="H85" s="79" t="s">
        <v>1197</v>
      </c>
      <c r="L85">
        <v>1</v>
      </c>
      <c r="R85" s="5">
        <v>39722</v>
      </c>
      <c r="S85" s="5">
        <v>39904</v>
      </c>
      <c r="T85" s="4">
        <f t="shared" si="4"/>
        <v>3</v>
      </c>
      <c r="U85" t="str">
        <f t="shared" si="5"/>
        <v>Q4-2008</v>
      </c>
      <c r="V85" t="str">
        <f t="shared" si="6"/>
        <v>Q2-2009</v>
      </c>
      <c r="W85" t="s">
        <v>111</v>
      </c>
    </row>
    <row r="86" spans="1:23">
      <c r="A86" t="s">
        <v>36</v>
      </c>
      <c r="F86">
        <v>2008</v>
      </c>
      <c r="G86" s="1" t="s">
        <v>40</v>
      </c>
      <c r="H86" s="79" t="s">
        <v>1197</v>
      </c>
      <c r="L86">
        <v>1</v>
      </c>
      <c r="R86" s="5">
        <v>39722</v>
      </c>
      <c r="S86" s="5">
        <v>39904</v>
      </c>
      <c r="T86" s="4">
        <f t="shared" si="4"/>
        <v>3</v>
      </c>
      <c r="U86" t="str">
        <f t="shared" si="5"/>
        <v>Q4-2008</v>
      </c>
      <c r="V86" t="str">
        <f t="shared" si="6"/>
        <v>Q2-2009</v>
      </c>
      <c r="W86" t="s">
        <v>111</v>
      </c>
    </row>
    <row r="87" spans="1:23">
      <c r="A87" t="s">
        <v>114</v>
      </c>
      <c r="F87">
        <v>2008</v>
      </c>
      <c r="G87" s="1" t="s">
        <v>40</v>
      </c>
      <c r="H87" s="79" t="s">
        <v>1197</v>
      </c>
      <c r="L87">
        <v>1</v>
      </c>
      <c r="R87" s="5">
        <v>39722</v>
      </c>
      <c r="S87" s="5">
        <v>39904</v>
      </c>
      <c r="T87" s="4">
        <f t="shared" si="4"/>
        <v>3</v>
      </c>
      <c r="U87" t="str">
        <f t="shared" si="5"/>
        <v>Q4-2008</v>
      </c>
      <c r="V87" t="str">
        <f t="shared" si="6"/>
        <v>Q2-2009</v>
      </c>
      <c r="W87" t="s">
        <v>119</v>
      </c>
    </row>
    <row r="88" spans="1:23">
      <c r="A88" t="s">
        <v>115</v>
      </c>
      <c r="F88">
        <v>2008</v>
      </c>
      <c r="G88" s="1" t="s">
        <v>40</v>
      </c>
      <c r="H88" s="79" t="s">
        <v>1197</v>
      </c>
      <c r="L88">
        <v>1</v>
      </c>
      <c r="R88" s="5">
        <v>39722</v>
      </c>
      <c r="S88" s="5">
        <v>39904</v>
      </c>
      <c r="T88" s="4">
        <f t="shared" si="4"/>
        <v>3</v>
      </c>
      <c r="U88" t="str">
        <f t="shared" si="5"/>
        <v>Q4-2008</v>
      </c>
      <c r="V88" t="str">
        <f t="shared" si="6"/>
        <v>Q2-2009</v>
      </c>
      <c r="W88" t="s">
        <v>119</v>
      </c>
    </row>
    <row r="89" spans="1:23">
      <c r="A89" t="s">
        <v>116</v>
      </c>
      <c r="F89">
        <v>2008</v>
      </c>
      <c r="G89" s="1" t="s">
        <v>40</v>
      </c>
      <c r="H89" s="79" t="s">
        <v>1197</v>
      </c>
      <c r="L89">
        <v>1</v>
      </c>
      <c r="R89" s="5">
        <v>39722</v>
      </c>
      <c r="S89" s="5">
        <v>39904</v>
      </c>
      <c r="T89" s="4">
        <f t="shared" si="4"/>
        <v>3</v>
      </c>
      <c r="U89" t="str">
        <f t="shared" si="5"/>
        <v>Q4-2008</v>
      </c>
      <c r="V89" t="str">
        <f t="shared" si="6"/>
        <v>Q2-2009</v>
      </c>
      <c r="W89" t="s">
        <v>119</v>
      </c>
    </row>
    <row r="90" spans="1:23">
      <c r="A90" t="s">
        <v>607</v>
      </c>
      <c r="C90" t="s">
        <v>608</v>
      </c>
      <c r="D90" t="s">
        <v>766</v>
      </c>
      <c r="E90">
        <v>1</v>
      </c>
      <c r="F90">
        <v>2009</v>
      </c>
      <c r="G90" s="1" t="s">
        <v>40</v>
      </c>
      <c r="H90" s="79" t="s">
        <v>1197</v>
      </c>
      <c r="L90">
        <v>1</v>
      </c>
      <c r="R90" s="5">
        <v>39995</v>
      </c>
      <c r="S90" s="5">
        <v>39995</v>
      </c>
      <c r="T90" s="4">
        <f t="shared" si="4"/>
        <v>1</v>
      </c>
      <c r="U90" t="str">
        <f t="shared" si="5"/>
        <v>Q3-2009</v>
      </c>
      <c r="V90" t="str">
        <f t="shared" si="6"/>
        <v>Q3-2009</v>
      </c>
      <c r="W90" t="s">
        <v>644</v>
      </c>
    </row>
    <row r="91" spans="1:23">
      <c r="A91" t="s">
        <v>117</v>
      </c>
      <c r="F91">
        <v>2008</v>
      </c>
      <c r="G91" s="1" t="s">
        <v>40</v>
      </c>
      <c r="H91" s="79" t="s">
        <v>1197</v>
      </c>
      <c r="L91">
        <v>1</v>
      </c>
      <c r="R91" s="5">
        <v>39722</v>
      </c>
      <c r="S91" s="5">
        <v>39904</v>
      </c>
      <c r="T91" s="4">
        <f t="shared" si="4"/>
        <v>3</v>
      </c>
      <c r="U91" t="str">
        <f t="shared" si="5"/>
        <v>Q4-2008</v>
      </c>
      <c r="V91" t="str">
        <f t="shared" si="6"/>
        <v>Q2-2009</v>
      </c>
      <c r="W91" t="s">
        <v>119</v>
      </c>
    </row>
    <row r="92" spans="1:23">
      <c r="A92" t="s">
        <v>38</v>
      </c>
      <c r="B92" t="s">
        <v>1158</v>
      </c>
      <c r="C92" t="s">
        <v>611</v>
      </c>
      <c r="D92" t="s">
        <v>767</v>
      </c>
      <c r="E92">
        <v>1</v>
      </c>
      <c r="F92">
        <v>2008</v>
      </c>
      <c r="G92" s="1" t="s">
        <v>40</v>
      </c>
      <c r="H92" s="79" t="s">
        <v>1197</v>
      </c>
      <c r="L92">
        <v>1</v>
      </c>
      <c r="R92" s="5">
        <v>39722</v>
      </c>
      <c r="S92" s="5">
        <v>39904</v>
      </c>
      <c r="T92" s="4">
        <f t="shared" si="4"/>
        <v>3</v>
      </c>
      <c r="U92" t="str">
        <f t="shared" si="5"/>
        <v>Q4-2008</v>
      </c>
      <c r="V92" t="str">
        <f t="shared" si="6"/>
        <v>Q2-2009</v>
      </c>
      <c r="W92" t="s">
        <v>327</v>
      </c>
    </row>
    <row r="93" spans="1:23">
      <c r="A93" t="s">
        <v>118</v>
      </c>
      <c r="F93">
        <v>2008</v>
      </c>
      <c r="G93" s="1" t="s">
        <v>40</v>
      </c>
      <c r="H93" s="79" t="s">
        <v>1197</v>
      </c>
      <c r="L93">
        <v>1</v>
      </c>
      <c r="R93" s="5">
        <v>39722</v>
      </c>
      <c r="S93" s="5">
        <v>39904</v>
      </c>
      <c r="T93" s="4">
        <f t="shared" si="4"/>
        <v>3</v>
      </c>
      <c r="U93" t="str">
        <f t="shared" si="5"/>
        <v>Q4-2008</v>
      </c>
      <c r="V93" t="str">
        <f t="shared" si="6"/>
        <v>Q2-2009</v>
      </c>
      <c r="W93" t="s">
        <v>119</v>
      </c>
    </row>
    <row r="94" spans="1:23">
      <c r="A94" t="s">
        <v>120</v>
      </c>
      <c r="B94" t="s">
        <v>1141</v>
      </c>
      <c r="C94" t="s">
        <v>612</v>
      </c>
      <c r="D94" t="s">
        <v>768</v>
      </c>
      <c r="E94">
        <v>1</v>
      </c>
      <c r="F94">
        <v>2008</v>
      </c>
      <c r="G94" s="1" t="s">
        <v>121</v>
      </c>
      <c r="H94" s="79" t="s">
        <v>1198</v>
      </c>
      <c r="L94">
        <v>1</v>
      </c>
      <c r="R94" s="5">
        <v>39722</v>
      </c>
      <c r="S94" s="5">
        <v>39873</v>
      </c>
      <c r="T94" s="4">
        <f t="shared" si="4"/>
        <v>2</v>
      </c>
      <c r="U94" t="str">
        <f t="shared" si="5"/>
        <v>Q4-2008</v>
      </c>
      <c r="V94" t="str">
        <f t="shared" si="6"/>
        <v>Q1-2009</v>
      </c>
      <c r="W94" t="s">
        <v>129</v>
      </c>
    </row>
    <row r="95" spans="1:23">
      <c r="A95" t="s">
        <v>135</v>
      </c>
      <c r="F95">
        <v>2001</v>
      </c>
      <c r="G95" s="1" t="s">
        <v>121</v>
      </c>
      <c r="H95" s="79" t="s">
        <v>1198</v>
      </c>
      <c r="L95">
        <v>1</v>
      </c>
      <c r="N95">
        <v>1</v>
      </c>
      <c r="R95" s="5">
        <v>37073</v>
      </c>
      <c r="S95" s="5">
        <v>37226</v>
      </c>
      <c r="T95" s="4">
        <f t="shared" si="4"/>
        <v>2</v>
      </c>
      <c r="U95" t="str">
        <f t="shared" si="5"/>
        <v>Q3-2001</v>
      </c>
      <c r="V95" t="str">
        <f t="shared" si="6"/>
        <v>Q4-2001</v>
      </c>
      <c r="W95" t="s">
        <v>505</v>
      </c>
    </row>
    <row r="96" spans="1:23">
      <c r="A96" t="s">
        <v>656</v>
      </c>
      <c r="B96" t="s">
        <v>1142</v>
      </c>
      <c r="C96" t="s">
        <v>918</v>
      </c>
      <c r="D96" t="s">
        <v>690</v>
      </c>
      <c r="E96" s="7"/>
      <c r="F96">
        <v>2008</v>
      </c>
      <c r="G96" s="1" t="s">
        <v>121</v>
      </c>
      <c r="H96" s="79" t="s">
        <v>1198</v>
      </c>
      <c r="L96">
        <v>1</v>
      </c>
      <c r="N96">
        <v>1</v>
      </c>
      <c r="R96" s="5">
        <v>39722</v>
      </c>
      <c r="S96" s="5">
        <v>39814</v>
      </c>
      <c r="T96" s="4">
        <f t="shared" si="4"/>
        <v>2</v>
      </c>
      <c r="U96" t="str">
        <f t="shared" si="5"/>
        <v>Q4-2008</v>
      </c>
      <c r="V96" t="str">
        <f t="shared" si="6"/>
        <v>Q1-2009</v>
      </c>
      <c r="W96" t="s">
        <v>329</v>
      </c>
    </row>
    <row r="97" spans="1:25">
      <c r="A97" t="s">
        <v>122</v>
      </c>
      <c r="B97" t="s">
        <v>1143</v>
      </c>
      <c r="C97" t="s">
        <v>613</v>
      </c>
      <c r="D97" t="s">
        <v>769</v>
      </c>
      <c r="E97">
        <v>1</v>
      </c>
      <c r="F97">
        <v>2008</v>
      </c>
      <c r="G97" s="1" t="s">
        <v>121</v>
      </c>
      <c r="H97" s="79" t="s">
        <v>1198</v>
      </c>
      <c r="L97">
        <v>1</v>
      </c>
      <c r="M97">
        <v>1</v>
      </c>
      <c r="R97" s="5">
        <v>39722</v>
      </c>
      <c r="S97" s="5">
        <v>39934</v>
      </c>
      <c r="T97" s="4">
        <f t="shared" ref="T97:T113" si="7">FLOOR(((YEAR(S97)*12+MONTH(S97))-(YEAR(R97)*12+MONTH(R97)))/3,1)+1</f>
        <v>3</v>
      </c>
      <c r="U97" t="str">
        <f t="shared" si="5"/>
        <v>Q4-2008</v>
      </c>
      <c r="V97" t="str">
        <f t="shared" si="6"/>
        <v>Q2-2009</v>
      </c>
      <c r="W97" t="s">
        <v>330</v>
      </c>
    </row>
    <row r="98" spans="1:25">
      <c r="A98" t="s">
        <v>342</v>
      </c>
      <c r="C98" t="s">
        <v>919</v>
      </c>
      <c r="D98" t="s">
        <v>691</v>
      </c>
      <c r="E98" s="8"/>
      <c r="F98">
        <v>2008</v>
      </c>
      <c r="G98" s="1" t="s">
        <v>121</v>
      </c>
      <c r="H98" s="79" t="s">
        <v>1198</v>
      </c>
      <c r="N98">
        <v>1</v>
      </c>
      <c r="P98">
        <v>1</v>
      </c>
      <c r="R98" s="5">
        <v>39722</v>
      </c>
      <c r="S98" s="5">
        <v>39995</v>
      </c>
      <c r="T98" s="4">
        <f t="shared" si="7"/>
        <v>4</v>
      </c>
      <c r="U98" t="str">
        <f t="shared" si="5"/>
        <v>Q4-2008</v>
      </c>
      <c r="V98" t="str">
        <f t="shared" si="6"/>
        <v>Q3-2009</v>
      </c>
      <c r="W98" t="s">
        <v>837</v>
      </c>
    </row>
    <row r="99" spans="1:25">
      <c r="A99" t="s">
        <v>1086</v>
      </c>
      <c r="C99" t="s">
        <v>1087</v>
      </c>
      <c r="E99">
        <v>1</v>
      </c>
      <c r="F99">
        <v>2008</v>
      </c>
      <c r="G99" s="1" t="s">
        <v>121</v>
      </c>
      <c r="H99" s="79" t="s">
        <v>1198</v>
      </c>
      <c r="P99">
        <v>1</v>
      </c>
      <c r="R99" s="5">
        <v>39691</v>
      </c>
      <c r="S99" s="5">
        <v>39944</v>
      </c>
      <c r="T99" s="4">
        <f t="shared" si="7"/>
        <v>4</v>
      </c>
      <c r="U99" t="str">
        <f t="shared" si="5"/>
        <v>Q3-2008</v>
      </c>
      <c r="V99" t="str">
        <f t="shared" si="6"/>
        <v>Q2-2009</v>
      </c>
      <c r="W99" t="s">
        <v>1092</v>
      </c>
    </row>
    <row r="100" spans="1:25">
      <c r="A100" t="s">
        <v>889</v>
      </c>
      <c r="C100" t="s">
        <v>920</v>
      </c>
      <c r="D100" t="s">
        <v>692</v>
      </c>
      <c r="E100" s="7"/>
      <c r="F100">
        <v>2008</v>
      </c>
      <c r="G100" s="1" t="s">
        <v>121</v>
      </c>
      <c r="H100" s="79" t="s">
        <v>1198</v>
      </c>
      <c r="N100">
        <v>1</v>
      </c>
      <c r="R100" s="5">
        <v>39722</v>
      </c>
      <c r="S100" s="5">
        <v>40148</v>
      </c>
      <c r="T100" s="4">
        <f t="shared" si="7"/>
        <v>5</v>
      </c>
      <c r="U100" t="str">
        <f t="shared" si="5"/>
        <v>Q4-2008</v>
      </c>
      <c r="V100" t="str">
        <f t="shared" si="6"/>
        <v>Q4-2009</v>
      </c>
      <c r="W100" t="s">
        <v>170</v>
      </c>
      <c r="Y100" t="s">
        <v>341</v>
      </c>
    </row>
    <row r="101" spans="1:25">
      <c r="A101" t="s">
        <v>1022</v>
      </c>
      <c r="E101" s="7"/>
      <c r="F101">
        <v>2009</v>
      </c>
      <c r="G101" s="1" t="s">
        <v>121</v>
      </c>
      <c r="H101" s="79" t="s">
        <v>1198</v>
      </c>
      <c r="K101">
        <v>1</v>
      </c>
      <c r="R101" s="5">
        <v>39448</v>
      </c>
      <c r="S101" s="5">
        <v>39783</v>
      </c>
      <c r="T101" s="4">
        <f t="shared" si="7"/>
        <v>4</v>
      </c>
      <c r="U101" t="str">
        <f t="shared" si="5"/>
        <v>Q1-2008</v>
      </c>
      <c r="V101" t="str">
        <f t="shared" si="6"/>
        <v>Q4-2008</v>
      </c>
      <c r="W101" t="s">
        <v>1023</v>
      </c>
    </row>
    <row r="102" spans="1:25">
      <c r="A102" t="s">
        <v>123</v>
      </c>
      <c r="F102">
        <v>2008</v>
      </c>
      <c r="G102" s="1" t="s">
        <v>121</v>
      </c>
      <c r="H102" s="79" t="s">
        <v>1198</v>
      </c>
      <c r="L102">
        <v>1</v>
      </c>
      <c r="R102" s="5">
        <v>39722</v>
      </c>
      <c r="S102" s="5">
        <v>39934</v>
      </c>
      <c r="T102" s="4">
        <f t="shared" si="7"/>
        <v>3</v>
      </c>
      <c r="U102" t="str">
        <f t="shared" si="5"/>
        <v>Q4-2008</v>
      </c>
      <c r="V102" t="str">
        <f t="shared" si="6"/>
        <v>Q2-2009</v>
      </c>
      <c r="W102" t="s">
        <v>331</v>
      </c>
    </row>
    <row r="103" spans="1:25">
      <c r="A103" t="s">
        <v>332</v>
      </c>
      <c r="B103" t="s">
        <v>1144</v>
      </c>
      <c r="C103" t="s">
        <v>921</v>
      </c>
      <c r="D103" t="s">
        <v>693</v>
      </c>
      <c r="E103">
        <v>1</v>
      </c>
      <c r="F103">
        <v>2008</v>
      </c>
      <c r="G103" s="1" t="s">
        <v>121</v>
      </c>
      <c r="H103" s="79" t="s">
        <v>1198</v>
      </c>
      <c r="L103">
        <v>1</v>
      </c>
      <c r="M103">
        <v>1</v>
      </c>
      <c r="R103" s="5">
        <v>39722</v>
      </c>
      <c r="S103" s="5">
        <v>40148</v>
      </c>
      <c r="T103" s="4">
        <f t="shared" si="7"/>
        <v>5</v>
      </c>
      <c r="U103" t="str">
        <f t="shared" si="5"/>
        <v>Q4-2008</v>
      </c>
      <c r="V103" t="str">
        <f t="shared" si="6"/>
        <v>Q4-2009</v>
      </c>
      <c r="W103" t="s">
        <v>333</v>
      </c>
    </row>
    <row r="104" spans="1:25">
      <c r="A104" t="s">
        <v>332</v>
      </c>
      <c r="B104" t="s">
        <v>1144</v>
      </c>
      <c r="C104" t="s">
        <v>921</v>
      </c>
      <c r="D104" t="s">
        <v>693</v>
      </c>
      <c r="E104">
        <v>1</v>
      </c>
      <c r="F104">
        <v>2010</v>
      </c>
      <c r="G104" s="1" t="s">
        <v>121</v>
      </c>
      <c r="H104" s="79" t="s">
        <v>1198</v>
      </c>
      <c r="L104">
        <v>1</v>
      </c>
      <c r="N104">
        <v>1</v>
      </c>
      <c r="R104" s="5">
        <v>40422</v>
      </c>
      <c r="S104" s="5">
        <v>40695</v>
      </c>
      <c r="T104" s="4">
        <f t="shared" si="7"/>
        <v>4</v>
      </c>
      <c r="U104" t="str">
        <f t="shared" si="5"/>
        <v>Q3-2010</v>
      </c>
      <c r="V104" t="str">
        <f t="shared" si="6"/>
        <v>Q2-2011</v>
      </c>
      <c r="W104" t="s">
        <v>343</v>
      </c>
    </row>
    <row r="105" spans="1:25">
      <c r="A105" t="s">
        <v>334</v>
      </c>
      <c r="B105" t="s">
        <v>1145</v>
      </c>
      <c r="C105" t="s">
        <v>922</v>
      </c>
      <c r="D105" t="s">
        <v>694</v>
      </c>
      <c r="E105">
        <v>1</v>
      </c>
      <c r="F105">
        <v>2007</v>
      </c>
      <c r="G105" s="1" t="s">
        <v>121</v>
      </c>
      <c r="H105" s="79" t="s">
        <v>1198</v>
      </c>
      <c r="N105">
        <v>1</v>
      </c>
      <c r="P105">
        <v>1</v>
      </c>
      <c r="R105" s="5">
        <v>39264</v>
      </c>
      <c r="S105" s="5">
        <v>39661</v>
      </c>
      <c r="T105" s="4">
        <f t="shared" si="7"/>
        <v>5</v>
      </c>
      <c r="U105" t="str">
        <f t="shared" si="5"/>
        <v>Q3-2007</v>
      </c>
      <c r="V105" t="str">
        <f t="shared" si="6"/>
        <v>Q3-2008</v>
      </c>
      <c r="W105" t="s">
        <v>838</v>
      </c>
    </row>
    <row r="106" spans="1:25">
      <c r="A106" t="s">
        <v>335</v>
      </c>
      <c r="B106" t="s">
        <v>1146</v>
      </c>
      <c r="C106" t="s">
        <v>923</v>
      </c>
      <c r="D106" t="s">
        <v>695</v>
      </c>
      <c r="E106" s="8"/>
      <c r="F106">
        <v>2008</v>
      </c>
      <c r="G106" s="1" t="s">
        <v>121</v>
      </c>
      <c r="H106" s="79" t="s">
        <v>1198</v>
      </c>
      <c r="L106">
        <v>1</v>
      </c>
      <c r="N106">
        <v>1</v>
      </c>
      <c r="R106" s="5">
        <v>39753</v>
      </c>
      <c r="S106" s="5">
        <v>39965</v>
      </c>
      <c r="T106" s="4">
        <f t="shared" si="7"/>
        <v>3</v>
      </c>
      <c r="U106" t="str">
        <f t="shared" si="5"/>
        <v>Q4-2008</v>
      </c>
      <c r="V106" t="str">
        <f t="shared" si="6"/>
        <v>Q2-2009</v>
      </c>
      <c r="W106" t="s">
        <v>839</v>
      </c>
    </row>
    <row r="107" spans="1:25">
      <c r="A107" t="s">
        <v>336</v>
      </c>
      <c r="F107">
        <v>2008</v>
      </c>
      <c r="G107" s="1" t="s">
        <v>121</v>
      </c>
      <c r="H107" s="79" t="s">
        <v>1198</v>
      </c>
      <c r="L107">
        <v>1</v>
      </c>
      <c r="N107">
        <v>1</v>
      </c>
      <c r="R107" s="5">
        <v>39722</v>
      </c>
      <c r="S107" s="5">
        <v>40148</v>
      </c>
      <c r="T107" s="4">
        <f t="shared" si="7"/>
        <v>5</v>
      </c>
      <c r="U107" t="str">
        <f t="shared" si="5"/>
        <v>Q4-2008</v>
      </c>
      <c r="V107" t="str">
        <f t="shared" si="6"/>
        <v>Q4-2009</v>
      </c>
      <c r="W107" t="s">
        <v>337</v>
      </c>
    </row>
    <row r="108" spans="1:25">
      <c r="A108" t="s">
        <v>1037</v>
      </c>
      <c r="C108" t="s">
        <v>924</v>
      </c>
      <c r="D108" t="s">
        <v>696</v>
      </c>
      <c r="E108" s="7"/>
      <c r="F108">
        <v>2007</v>
      </c>
      <c r="G108" s="1" t="s">
        <v>121</v>
      </c>
      <c r="H108" s="79" t="s">
        <v>1198</v>
      </c>
      <c r="K108">
        <v>1</v>
      </c>
      <c r="P108">
        <v>1</v>
      </c>
      <c r="R108" s="5">
        <v>39295</v>
      </c>
      <c r="S108" s="5">
        <v>39600</v>
      </c>
      <c r="T108" s="4">
        <f t="shared" si="7"/>
        <v>4</v>
      </c>
      <c r="U108" t="str">
        <f t="shared" si="5"/>
        <v>Q3-2007</v>
      </c>
      <c r="V108" t="str">
        <f t="shared" si="6"/>
        <v>Q2-2008</v>
      </c>
      <c r="W108" t="s">
        <v>338</v>
      </c>
    </row>
    <row r="109" spans="1:25">
      <c r="A109" t="s">
        <v>125</v>
      </c>
      <c r="F109">
        <v>2008</v>
      </c>
      <c r="G109" s="1" t="s">
        <v>121</v>
      </c>
      <c r="H109" s="79" t="s">
        <v>1198</v>
      </c>
      <c r="N109">
        <v>1</v>
      </c>
      <c r="R109" s="5">
        <v>39722</v>
      </c>
      <c r="S109" s="5">
        <v>39845</v>
      </c>
      <c r="T109" s="4">
        <f t="shared" si="7"/>
        <v>2</v>
      </c>
      <c r="U109" t="str">
        <f t="shared" si="5"/>
        <v>Q4-2008</v>
      </c>
      <c r="V109" t="str">
        <f t="shared" si="6"/>
        <v>Q1-2009</v>
      </c>
      <c r="W109" t="s">
        <v>124</v>
      </c>
      <c r="X109" t="s">
        <v>882</v>
      </c>
    </row>
    <row r="110" spans="1:25">
      <c r="A110" t="s">
        <v>339</v>
      </c>
      <c r="B110" t="s">
        <v>1147</v>
      </c>
      <c r="C110" t="s">
        <v>925</v>
      </c>
      <c r="D110" t="s">
        <v>697</v>
      </c>
      <c r="E110" s="7"/>
      <c r="F110">
        <v>2008</v>
      </c>
      <c r="G110" s="1" t="s">
        <v>121</v>
      </c>
      <c r="H110" s="79" t="s">
        <v>1198</v>
      </c>
      <c r="L110">
        <v>1</v>
      </c>
      <c r="N110">
        <v>1</v>
      </c>
      <c r="R110" s="5">
        <v>39448</v>
      </c>
      <c r="S110" s="5">
        <v>39508</v>
      </c>
      <c r="T110" s="4">
        <f t="shared" si="7"/>
        <v>1</v>
      </c>
      <c r="U110" t="str">
        <f t="shared" si="5"/>
        <v>Q1-2008</v>
      </c>
      <c r="V110" t="str">
        <f t="shared" si="6"/>
        <v>Q1-2008</v>
      </c>
      <c r="W110" t="s">
        <v>859</v>
      </c>
    </row>
    <row r="111" spans="1:25">
      <c r="A111" t="s">
        <v>339</v>
      </c>
      <c r="B111" t="s">
        <v>1147</v>
      </c>
      <c r="C111" t="s">
        <v>925</v>
      </c>
      <c r="D111" t="s">
        <v>697</v>
      </c>
      <c r="E111" s="7"/>
      <c r="F111">
        <v>2009</v>
      </c>
      <c r="G111" s="1" t="s">
        <v>121</v>
      </c>
      <c r="H111" s="79" t="s">
        <v>1198</v>
      </c>
      <c r="L111">
        <v>1</v>
      </c>
      <c r="N111">
        <v>1</v>
      </c>
      <c r="R111" s="5">
        <v>40057</v>
      </c>
      <c r="S111" s="5">
        <v>40269</v>
      </c>
      <c r="T111" s="4">
        <f t="shared" si="7"/>
        <v>3</v>
      </c>
      <c r="U111" t="str">
        <f t="shared" si="5"/>
        <v>Q3-2009</v>
      </c>
      <c r="V111" t="str">
        <f t="shared" si="6"/>
        <v>Q2-2010</v>
      </c>
      <c r="W111" t="s">
        <v>860</v>
      </c>
    </row>
    <row r="112" spans="1:25">
      <c r="A112" t="s">
        <v>339</v>
      </c>
      <c r="B112" t="s">
        <v>1147</v>
      </c>
      <c r="C112" t="s">
        <v>925</v>
      </c>
      <c r="D112" t="s">
        <v>697</v>
      </c>
      <c r="E112" s="7"/>
      <c r="F112">
        <v>2012</v>
      </c>
      <c r="G112" s="1" t="s">
        <v>121</v>
      </c>
      <c r="H112" s="79" t="s">
        <v>1198</v>
      </c>
      <c r="J112">
        <v>1</v>
      </c>
      <c r="R112" s="5">
        <v>40664</v>
      </c>
      <c r="S112" s="5">
        <v>41091</v>
      </c>
      <c r="T112" s="4">
        <f t="shared" si="7"/>
        <v>5</v>
      </c>
      <c r="U112" t="str">
        <f t="shared" si="5"/>
        <v>Q2-2011</v>
      </c>
      <c r="V112" t="str">
        <f t="shared" si="6"/>
        <v>Q3-2012</v>
      </c>
      <c r="W112" t="s">
        <v>840</v>
      </c>
    </row>
    <row r="113" spans="1:24">
      <c r="A113" t="s">
        <v>139</v>
      </c>
      <c r="C113" t="s">
        <v>926</v>
      </c>
      <c r="D113" t="s">
        <v>698</v>
      </c>
      <c r="E113">
        <v>1</v>
      </c>
      <c r="F113">
        <v>2008</v>
      </c>
      <c r="G113" s="1" t="s">
        <v>145</v>
      </c>
      <c r="H113" s="79" t="s">
        <v>1199</v>
      </c>
      <c r="L113">
        <v>1</v>
      </c>
      <c r="R113" s="5">
        <v>39753</v>
      </c>
      <c r="S113" s="5">
        <v>39934</v>
      </c>
      <c r="T113" s="4">
        <f t="shared" si="7"/>
        <v>3</v>
      </c>
      <c r="U113" t="str">
        <f t="shared" si="5"/>
        <v>Q4-2008</v>
      </c>
      <c r="V113" t="str">
        <f t="shared" si="6"/>
        <v>Q2-2009</v>
      </c>
      <c r="W113" t="s">
        <v>841</v>
      </c>
    </row>
    <row r="114" spans="1:24">
      <c r="A114" t="s">
        <v>139</v>
      </c>
      <c r="C114" t="s">
        <v>926</v>
      </c>
      <c r="D114" t="s">
        <v>698</v>
      </c>
      <c r="E114">
        <v>1</v>
      </c>
      <c r="F114">
        <v>2010</v>
      </c>
      <c r="G114" s="1" t="s">
        <v>145</v>
      </c>
      <c r="H114" s="79" t="s">
        <v>1199</v>
      </c>
      <c r="L114">
        <v>1</v>
      </c>
      <c r="N114">
        <v>1</v>
      </c>
      <c r="R114" s="5">
        <v>40330</v>
      </c>
      <c r="S114" s="5">
        <v>40634</v>
      </c>
      <c r="T114" s="4">
        <v>5</v>
      </c>
      <c r="U114" t="str">
        <f t="shared" si="5"/>
        <v>Q2-2010</v>
      </c>
      <c r="V114" t="str">
        <f t="shared" si="6"/>
        <v>Q2-2011</v>
      </c>
      <c r="W114" t="s">
        <v>842</v>
      </c>
    </row>
    <row r="115" spans="1:24">
      <c r="A115" t="s">
        <v>139</v>
      </c>
      <c r="C115" t="s">
        <v>926</v>
      </c>
      <c r="D115" t="s">
        <v>698</v>
      </c>
      <c r="E115">
        <v>1</v>
      </c>
      <c r="F115">
        <v>2012</v>
      </c>
      <c r="G115" s="1" t="s">
        <v>145</v>
      </c>
      <c r="H115" s="79" t="s">
        <v>1199</v>
      </c>
      <c r="J115">
        <v>1</v>
      </c>
      <c r="K115">
        <v>1</v>
      </c>
      <c r="P115">
        <v>1</v>
      </c>
      <c r="R115" s="5">
        <v>41091</v>
      </c>
      <c r="S115" s="5">
        <v>41091</v>
      </c>
      <c r="T115" s="4">
        <f t="shared" ref="T115:T149" si="8">FLOOR(((YEAR(S115)*12+MONTH(S115))-(YEAR(R115)*12+MONTH(R115)))/3,1)+1</f>
        <v>1</v>
      </c>
      <c r="U115" t="str">
        <f t="shared" si="5"/>
        <v>Q3-2012</v>
      </c>
      <c r="V115" t="str">
        <f t="shared" si="6"/>
        <v>Q3-2012</v>
      </c>
      <c r="W115" t="s">
        <v>843</v>
      </c>
    </row>
    <row r="116" spans="1:24">
      <c r="A116" t="s">
        <v>156</v>
      </c>
      <c r="B116" t="s">
        <v>1162</v>
      </c>
      <c r="C116" t="s">
        <v>770</v>
      </c>
      <c r="D116" t="s">
        <v>771</v>
      </c>
      <c r="E116">
        <v>1</v>
      </c>
      <c r="F116">
        <v>2008</v>
      </c>
      <c r="G116" s="1" t="s">
        <v>145</v>
      </c>
      <c r="H116" s="79" t="s">
        <v>1199</v>
      </c>
      <c r="L116">
        <v>1</v>
      </c>
      <c r="R116" s="5">
        <v>39753</v>
      </c>
      <c r="S116" s="5">
        <v>39934</v>
      </c>
      <c r="T116" s="4">
        <f t="shared" si="8"/>
        <v>3</v>
      </c>
      <c r="U116" t="str">
        <f t="shared" si="5"/>
        <v>Q4-2008</v>
      </c>
      <c r="V116" t="str">
        <f t="shared" si="6"/>
        <v>Q2-2009</v>
      </c>
      <c r="W116" t="s">
        <v>841</v>
      </c>
    </row>
    <row r="117" spans="1:24">
      <c r="A117" t="s">
        <v>156</v>
      </c>
      <c r="B117" t="s">
        <v>1162</v>
      </c>
      <c r="C117" t="s">
        <v>770</v>
      </c>
      <c r="D117" t="s">
        <v>771</v>
      </c>
      <c r="E117">
        <v>1</v>
      </c>
      <c r="F117">
        <v>2012</v>
      </c>
      <c r="G117" s="1" t="s">
        <v>145</v>
      </c>
      <c r="H117" s="79" t="s">
        <v>1199</v>
      </c>
      <c r="L117">
        <v>1</v>
      </c>
      <c r="R117" s="5">
        <v>41030</v>
      </c>
      <c r="S117" s="5">
        <v>41244</v>
      </c>
      <c r="T117" s="4">
        <f t="shared" si="8"/>
        <v>3</v>
      </c>
      <c r="U117" t="str">
        <f t="shared" si="5"/>
        <v>Q2-2012</v>
      </c>
      <c r="V117" t="str">
        <f t="shared" si="6"/>
        <v>Q4-2012</v>
      </c>
      <c r="W117" t="s">
        <v>844</v>
      </c>
    </row>
    <row r="118" spans="1:24">
      <c r="A118" t="s">
        <v>156</v>
      </c>
      <c r="B118" t="s">
        <v>1162</v>
      </c>
      <c r="C118" t="s">
        <v>770</v>
      </c>
      <c r="D118" t="s">
        <v>771</v>
      </c>
      <c r="E118">
        <v>1</v>
      </c>
      <c r="F118">
        <v>2013</v>
      </c>
      <c r="G118" s="1" t="s">
        <v>145</v>
      </c>
      <c r="H118" s="79" t="s">
        <v>1199</v>
      </c>
      <c r="L118">
        <v>1</v>
      </c>
      <c r="R118" s="5">
        <v>41395</v>
      </c>
      <c r="S118" s="5">
        <v>41609</v>
      </c>
      <c r="T118" s="4">
        <f t="shared" si="8"/>
        <v>3</v>
      </c>
      <c r="U118" t="str">
        <f t="shared" si="5"/>
        <v>Q2-2013</v>
      </c>
      <c r="V118" t="str">
        <f t="shared" si="6"/>
        <v>Q4-2013</v>
      </c>
      <c r="W118" t="s">
        <v>845</v>
      </c>
    </row>
    <row r="119" spans="1:24">
      <c r="A119" t="s">
        <v>156</v>
      </c>
      <c r="B119" t="s">
        <v>1162</v>
      </c>
      <c r="C119" t="s">
        <v>770</v>
      </c>
      <c r="D119" t="s">
        <v>771</v>
      </c>
      <c r="F119">
        <v>2015</v>
      </c>
      <c r="G119" s="1" t="s">
        <v>145</v>
      </c>
      <c r="H119" s="79" t="s">
        <v>1199</v>
      </c>
      <c r="K119">
        <v>0</v>
      </c>
      <c r="R119" s="5">
        <v>42156</v>
      </c>
      <c r="S119" s="5">
        <v>42156</v>
      </c>
      <c r="T119" s="4">
        <f t="shared" si="8"/>
        <v>1</v>
      </c>
      <c r="U119" t="str">
        <f t="shared" si="5"/>
        <v>Q2-2015</v>
      </c>
      <c r="V119" t="str">
        <f t="shared" si="6"/>
        <v>Q2-2015</v>
      </c>
      <c r="W119" t="s">
        <v>978</v>
      </c>
    </row>
    <row r="120" spans="1:24">
      <c r="A120" t="s">
        <v>140</v>
      </c>
      <c r="C120" t="s">
        <v>772</v>
      </c>
      <c r="D120" t="s">
        <v>773</v>
      </c>
      <c r="E120">
        <v>1</v>
      </c>
      <c r="F120">
        <v>2008</v>
      </c>
      <c r="G120" s="1" t="s">
        <v>145</v>
      </c>
      <c r="H120" s="79" t="s">
        <v>1199</v>
      </c>
      <c r="L120">
        <v>1</v>
      </c>
      <c r="R120" s="5">
        <v>39722</v>
      </c>
      <c r="S120" s="5">
        <v>39934</v>
      </c>
      <c r="T120" s="4">
        <f t="shared" si="8"/>
        <v>3</v>
      </c>
      <c r="U120" t="str">
        <f t="shared" si="5"/>
        <v>Q4-2008</v>
      </c>
      <c r="V120" t="str">
        <f t="shared" si="6"/>
        <v>Q2-2009</v>
      </c>
      <c r="W120" t="s">
        <v>146</v>
      </c>
    </row>
    <row r="121" spans="1:24">
      <c r="A121" t="s">
        <v>141</v>
      </c>
      <c r="B121" t="s">
        <v>1163</v>
      </c>
      <c r="C121" t="s">
        <v>614</v>
      </c>
      <c r="D121" t="s">
        <v>774</v>
      </c>
      <c r="E121">
        <v>1</v>
      </c>
      <c r="F121">
        <v>2008</v>
      </c>
      <c r="G121" s="1" t="s">
        <v>145</v>
      </c>
      <c r="H121" s="79" t="s">
        <v>1199</v>
      </c>
      <c r="L121">
        <v>1</v>
      </c>
      <c r="R121" s="5">
        <v>39722</v>
      </c>
      <c r="S121" s="5">
        <v>39934</v>
      </c>
      <c r="T121" s="4">
        <f t="shared" si="8"/>
        <v>3</v>
      </c>
      <c r="U121" t="str">
        <f t="shared" si="5"/>
        <v>Q4-2008</v>
      </c>
      <c r="V121" t="str">
        <f t="shared" si="6"/>
        <v>Q2-2009</v>
      </c>
      <c r="W121" t="s">
        <v>846</v>
      </c>
    </row>
    <row r="122" spans="1:24">
      <c r="A122" t="s">
        <v>141</v>
      </c>
      <c r="B122" t="s">
        <v>1163</v>
      </c>
      <c r="C122" t="s">
        <v>614</v>
      </c>
      <c r="D122" t="s">
        <v>774</v>
      </c>
      <c r="E122">
        <v>1</v>
      </c>
      <c r="F122">
        <v>2012</v>
      </c>
      <c r="G122" s="1" t="s">
        <v>145</v>
      </c>
      <c r="H122" s="79" t="s">
        <v>1199</v>
      </c>
      <c r="L122">
        <v>1</v>
      </c>
      <c r="R122" s="5">
        <v>41030</v>
      </c>
      <c r="S122" s="5">
        <v>41244</v>
      </c>
      <c r="T122" s="4">
        <f t="shared" si="8"/>
        <v>3</v>
      </c>
      <c r="U122" t="str">
        <f t="shared" si="5"/>
        <v>Q2-2012</v>
      </c>
      <c r="V122" t="str">
        <f t="shared" si="6"/>
        <v>Q4-2012</v>
      </c>
      <c r="W122" t="s">
        <v>1107</v>
      </c>
    </row>
    <row r="123" spans="1:24">
      <c r="A123" t="s">
        <v>141</v>
      </c>
      <c r="B123" t="s">
        <v>1163</v>
      </c>
      <c r="C123" t="s">
        <v>614</v>
      </c>
      <c r="D123" t="s">
        <v>774</v>
      </c>
      <c r="E123">
        <v>1</v>
      </c>
      <c r="F123">
        <v>2013</v>
      </c>
      <c r="G123" s="1" t="s">
        <v>145</v>
      </c>
      <c r="H123" s="79" t="s">
        <v>1199</v>
      </c>
      <c r="L123">
        <v>1</v>
      </c>
      <c r="P123">
        <v>1</v>
      </c>
      <c r="R123" s="5">
        <v>41365</v>
      </c>
      <c r="S123" s="5">
        <v>41365</v>
      </c>
      <c r="T123" s="4">
        <f t="shared" si="8"/>
        <v>1</v>
      </c>
      <c r="U123" t="str">
        <f t="shared" si="5"/>
        <v>Q2-2013</v>
      </c>
      <c r="V123" t="str">
        <f t="shared" si="6"/>
        <v>Q2-2013</v>
      </c>
      <c r="W123" t="s">
        <v>847</v>
      </c>
    </row>
    <row r="124" spans="1:24">
      <c r="A124" t="s">
        <v>141</v>
      </c>
      <c r="B124" t="s">
        <v>1163</v>
      </c>
      <c r="C124" t="s">
        <v>614</v>
      </c>
      <c r="D124" t="s">
        <v>774</v>
      </c>
      <c r="F124">
        <v>2015</v>
      </c>
      <c r="G124" s="1" t="s">
        <v>145</v>
      </c>
      <c r="H124" s="79" t="s">
        <v>1199</v>
      </c>
      <c r="K124">
        <v>0</v>
      </c>
      <c r="R124" s="5">
        <v>42156</v>
      </c>
      <c r="S124" s="5">
        <v>42156</v>
      </c>
      <c r="T124" s="4">
        <f t="shared" si="8"/>
        <v>1</v>
      </c>
      <c r="U124" t="str">
        <f t="shared" si="5"/>
        <v>Q2-2015</v>
      </c>
      <c r="V124" t="str">
        <f t="shared" si="6"/>
        <v>Q2-2015</v>
      </c>
      <c r="W124" t="s">
        <v>978</v>
      </c>
    </row>
    <row r="125" spans="1:24">
      <c r="A125" t="s">
        <v>1084</v>
      </c>
      <c r="C125" t="s">
        <v>1085</v>
      </c>
      <c r="D125" t="s">
        <v>1091</v>
      </c>
      <c r="E125">
        <v>1</v>
      </c>
      <c r="F125">
        <v>2011</v>
      </c>
      <c r="G125" s="1" t="s">
        <v>145</v>
      </c>
      <c r="H125" s="79" t="s">
        <v>1199</v>
      </c>
      <c r="O125">
        <v>1</v>
      </c>
      <c r="P125">
        <v>1</v>
      </c>
      <c r="R125" s="5">
        <v>40756</v>
      </c>
      <c r="S125" s="5">
        <v>41306</v>
      </c>
      <c r="T125" s="4">
        <f t="shared" si="8"/>
        <v>7</v>
      </c>
      <c r="U125" t="str">
        <f t="shared" si="5"/>
        <v>Q3-2011</v>
      </c>
      <c r="V125" t="str">
        <f t="shared" si="6"/>
        <v>Q1-2013</v>
      </c>
      <c r="W125" t="s">
        <v>1094</v>
      </c>
      <c r="X125" s="55" t="s">
        <v>1098</v>
      </c>
    </row>
    <row r="126" spans="1:24">
      <c r="A126" t="s">
        <v>151</v>
      </c>
      <c r="C126" t="s">
        <v>927</v>
      </c>
      <c r="D126" t="s">
        <v>700</v>
      </c>
      <c r="E126">
        <v>1</v>
      </c>
      <c r="F126">
        <v>2008</v>
      </c>
      <c r="G126" s="1" t="s">
        <v>145</v>
      </c>
      <c r="H126" s="79" t="s">
        <v>1199</v>
      </c>
      <c r="L126">
        <v>1</v>
      </c>
      <c r="R126" s="5">
        <v>39722</v>
      </c>
      <c r="S126" s="5">
        <v>39934</v>
      </c>
      <c r="T126" s="4">
        <f t="shared" si="8"/>
        <v>3</v>
      </c>
      <c r="U126" t="str">
        <f t="shared" si="5"/>
        <v>Q4-2008</v>
      </c>
      <c r="V126" t="str">
        <f t="shared" si="6"/>
        <v>Q2-2009</v>
      </c>
      <c r="W126" t="s">
        <v>848</v>
      </c>
    </row>
    <row r="127" spans="1:24">
      <c r="A127" t="s">
        <v>151</v>
      </c>
      <c r="C127" t="s">
        <v>927</v>
      </c>
      <c r="D127" t="s">
        <v>700</v>
      </c>
      <c r="E127">
        <v>1</v>
      </c>
      <c r="F127">
        <v>2012</v>
      </c>
      <c r="G127" s="1" t="s">
        <v>145</v>
      </c>
      <c r="H127" s="79" t="s">
        <v>1199</v>
      </c>
      <c r="P127">
        <v>1</v>
      </c>
      <c r="R127" s="5">
        <v>40909</v>
      </c>
      <c r="S127" s="5">
        <v>41244</v>
      </c>
      <c r="T127" s="4">
        <f t="shared" si="8"/>
        <v>4</v>
      </c>
      <c r="U127" t="str">
        <f t="shared" si="5"/>
        <v>Q1-2012</v>
      </c>
      <c r="V127" t="str">
        <f t="shared" si="6"/>
        <v>Q4-2012</v>
      </c>
      <c r="W127" t="s">
        <v>885</v>
      </c>
    </row>
    <row r="128" spans="1:24">
      <c r="A128" t="s">
        <v>1082</v>
      </c>
      <c r="C128" t="s">
        <v>1083</v>
      </c>
      <c r="D128" t="s">
        <v>1090</v>
      </c>
      <c r="E128">
        <v>1</v>
      </c>
      <c r="F128">
        <v>2009</v>
      </c>
      <c r="G128" s="1" t="s">
        <v>145</v>
      </c>
      <c r="H128" s="79" t="s">
        <v>1199</v>
      </c>
      <c r="P128">
        <v>1</v>
      </c>
      <c r="R128" s="5">
        <v>39934</v>
      </c>
      <c r="S128" s="5">
        <v>40513</v>
      </c>
      <c r="T128" s="4">
        <f t="shared" si="8"/>
        <v>7</v>
      </c>
      <c r="U128" t="str">
        <f t="shared" si="5"/>
        <v>Q2-2009</v>
      </c>
      <c r="V128" t="str">
        <f t="shared" si="6"/>
        <v>Q4-2010</v>
      </c>
      <c r="W128" t="s">
        <v>1093</v>
      </c>
    </row>
    <row r="129" spans="1:23">
      <c r="A129" t="s">
        <v>153</v>
      </c>
      <c r="F129">
        <v>2008</v>
      </c>
      <c r="G129" s="1" t="s">
        <v>145</v>
      </c>
      <c r="H129" s="79" t="s">
        <v>1199</v>
      </c>
      <c r="L129">
        <v>1</v>
      </c>
      <c r="P129">
        <v>1</v>
      </c>
      <c r="R129" s="5">
        <v>39722</v>
      </c>
      <c r="S129" s="5">
        <v>41426</v>
      </c>
      <c r="T129" s="4">
        <f t="shared" si="8"/>
        <v>19</v>
      </c>
      <c r="U129" t="str">
        <f t="shared" si="5"/>
        <v>Q4-2008</v>
      </c>
      <c r="V129" t="str">
        <f t="shared" si="6"/>
        <v>Q2-2013</v>
      </c>
      <c r="W129" t="s">
        <v>154</v>
      </c>
    </row>
    <row r="130" spans="1:23">
      <c r="A130" t="s">
        <v>142</v>
      </c>
      <c r="B130" t="s">
        <v>1164</v>
      </c>
      <c r="C130" t="s">
        <v>615</v>
      </c>
      <c r="D130" t="s">
        <v>775</v>
      </c>
      <c r="E130">
        <v>1</v>
      </c>
      <c r="F130">
        <v>2008</v>
      </c>
      <c r="G130" s="1" t="s">
        <v>145</v>
      </c>
      <c r="H130" s="79" t="s">
        <v>1199</v>
      </c>
      <c r="L130">
        <v>1</v>
      </c>
      <c r="R130" s="5">
        <v>39722</v>
      </c>
      <c r="S130" s="5">
        <v>39934</v>
      </c>
      <c r="T130" s="4">
        <f t="shared" si="8"/>
        <v>3</v>
      </c>
      <c r="U130" t="str">
        <f t="shared" si="5"/>
        <v>Q4-2008</v>
      </c>
      <c r="V130" t="str">
        <f t="shared" si="6"/>
        <v>Q2-2009</v>
      </c>
      <c r="W130" t="s">
        <v>848</v>
      </c>
    </row>
    <row r="131" spans="1:23">
      <c r="A131" t="s">
        <v>142</v>
      </c>
      <c r="B131" t="s">
        <v>1164</v>
      </c>
      <c r="C131" t="s">
        <v>615</v>
      </c>
      <c r="D131" t="s">
        <v>775</v>
      </c>
      <c r="E131">
        <v>1</v>
      </c>
      <c r="F131">
        <v>2012</v>
      </c>
      <c r="G131" s="1" t="s">
        <v>145</v>
      </c>
      <c r="H131" s="79" t="s">
        <v>1199</v>
      </c>
      <c r="L131">
        <v>1</v>
      </c>
      <c r="R131" s="5">
        <v>40878</v>
      </c>
      <c r="S131" s="5">
        <v>41244</v>
      </c>
      <c r="T131" s="4">
        <f t="shared" si="8"/>
        <v>5</v>
      </c>
      <c r="U131" t="str">
        <f t="shared" si="5"/>
        <v>Q4-2011</v>
      </c>
      <c r="V131" t="str">
        <f t="shared" si="6"/>
        <v>Q4-2012</v>
      </c>
      <c r="W131" t="s">
        <v>849</v>
      </c>
    </row>
    <row r="132" spans="1:23">
      <c r="A132" t="s">
        <v>142</v>
      </c>
      <c r="B132" t="s">
        <v>1164</v>
      </c>
      <c r="C132" t="s">
        <v>615</v>
      </c>
      <c r="D132" t="s">
        <v>775</v>
      </c>
      <c r="E132">
        <v>1</v>
      </c>
      <c r="F132">
        <v>2013</v>
      </c>
      <c r="G132" s="1" t="s">
        <v>145</v>
      </c>
      <c r="H132" s="79" t="s">
        <v>1199</v>
      </c>
      <c r="L132">
        <v>1</v>
      </c>
      <c r="R132" s="5">
        <v>41426</v>
      </c>
      <c r="S132" s="5">
        <v>41609</v>
      </c>
      <c r="T132" s="4">
        <f t="shared" si="8"/>
        <v>3</v>
      </c>
      <c r="U132" t="str">
        <f t="shared" si="5"/>
        <v>Q2-2013</v>
      </c>
      <c r="V132" t="str">
        <f t="shared" si="6"/>
        <v>Q4-2013</v>
      </c>
      <c r="W132" t="s">
        <v>850</v>
      </c>
    </row>
    <row r="133" spans="1:23">
      <c r="A133" t="s">
        <v>142</v>
      </c>
      <c r="B133" t="s">
        <v>1164</v>
      </c>
      <c r="C133" t="s">
        <v>615</v>
      </c>
      <c r="D133" t="s">
        <v>775</v>
      </c>
      <c r="E133">
        <v>1</v>
      </c>
      <c r="F133">
        <v>2015</v>
      </c>
      <c r="G133" s="1" t="s">
        <v>145</v>
      </c>
      <c r="H133" s="79" t="s">
        <v>1199</v>
      </c>
      <c r="K133">
        <v>0</v>
      </c>
      <c r="R133" s="5">
        <v>42156</v>
      </c>
      <c r="S133" s="5">
        <v>42156</v>
      </c>
      <c r="T133" s="4">
        <f t="shared" si="8"/>
        <v>1</v>
      </c>
      <c r="U133" t="str">
        <f t="shared" si="5"/>
        <v>Q2-2015</v>
      </c>
      <c r="V133" t="str">
        <f t="shared" si="6"/>
        <v>Q2-2015</v>
      </c>
      <c r="W133" t="s">
        <v>978</v>
      </c>
    </row>
    <row r="134" spans="1:23">
      <c r="A134" t="s">
        <v>349</v>
      </c>
      <c r="F134">
        <v>2011</v>
      </c>
      <c r="G134" s="1" t="s">
        <v>145</v>
      </c>
      <c r="H134" s="79" t="s">
        <v>1199</v>
      </c>
      <c r="J134">
        <v>1</v>
      </c>
      <c r="L134">
        <v>1</v>
      </c>
      <c r="R134" s="5">
        <v>40817</v>
      </c>
      <c r="S134" s="5">
        <v>41579</v>
      </c>
      <c r="T134" s="4">
        <f t="shared" si="8"/>
        <v>9</v>
      </c>
      <c r="U134" t="str">
        <f t="shared" ref="U134:U197" si="9">"Q" &amp;INT((MONTH(R134)+2)/3) &amp; "-" &amp; YEAR(R134)</f>
        <v>Q4-2011</v>
      </c>
      <c r="V134" t="str">
        <f t="shared" ref="V134:V197" si="10">"Q" &amp;INT((MONTH(S134)+2)/3) &amp; "-" &amp; YEAR(S134)</f>
        <v>Q4-2013</v>
      </c>
      <c r="W134" t="s">
        <v>350</v>
      </c>
    </row>
    <row r="135" spans="1:23">
      <c r="A135" t="s">
        <v>352</v>
      </c>
      <c r="F135">
        <v>2013</v>
      </c>
      <c r="G135" s="1" t="s">
        <v>145</v>
      </c>
      <c r="H135" s="79" t="s">
        <v>1199</v>
      </c>
      <c r="L135">
        <v>1</v>
      </c>
      <c r="P135">
        <v>1</v>
      </c>
      <c r="R135" s="5">
        <v>41275</v>
      </c>
      <c r="S135" s="5">
        <v>41487</v>
      </c>
      <c r="T135" s="4">
        <f t="shared" si="8"/>
        <v>3</v>
      </c>
      <c r="U135" t="str">
        <f t="shared" si="9"/>
        <v>Q1-2013</v>
      </c>
      <c r="V135" t="str">
        <f t="shared" si="10"/>
        <v>Q3-2013</v>
      </c>
      <c r="W135" t="s">
        <v>353</v>
      </c>
    </row>
    <row r="136" spans="1:23">
      <c r="A136" t="s">
        <v>143</v>
      </c>
      <c r="B136" t="s">
        <v>1165</v>
      </c>
      <c r="C136" t="s">
        <v>616</v>
      </c>
      <c r="D136" t="s">
        <v>776</v>
      </c>
      <c r="E136">
        <v>1</v>
      </c>
      <c r="F136">
        <v>2008</v>
      </c>
      <c r="G136" s="1" t="s">
        <v>145</v>
      </c>
      <c r="H136" s="79" t="s">
        <v>1199</v>
      </c>
      <c r="L136">
        <v>1</v>
      </c>
      <c r="R136" s="5">
        <v>39722</v>
      </c>
      <c r="S136" s="5">
        <v>39934</v>
      </c>
      <c r="T136" s="4">
        <f t="shared" si="8"/>
        <v>3</v>
      </c>
      <c r="U136" t="str">
        <f t="shared" si="9"/>
        <v>Q4-2008</v>
      </c>
      <c r="V136" t="str">
        <f t="shared" si="10"/>
        <v>Q2-2009</v>
      </c>
      <c r="W136" t="s">
        <v>848</v>
      </c>
    </row>
    <row r="137" spans="1:23">
      <c r="A137" t="s">
        <v>143</v>
      </c>
      <c r="B137" t="s">
        <v>1165</v>
      </c>
      <c r="C137" t="s">
        <v>616</v>
      </c>
      <c r="D137" t="s">
        <v>776</v>
      </c>
      <c r="E137">
        <v>1</v>
      </c>
      <c r="F137">
        <v>2012</v>
      </c>
      <c r="G137" s="1" t="s">
        <v>145</v>
      </c>
      <c r="H137" s="79" t="s">
        <v>1199</v>
      </c>
      <c r="K137">
        <v>0</v>
      </c>
      <c r="L137">
        <v>1</v>
      </c>
      <c r="R137" s="5">
        <v>40878</v>
      </c>
      <c r="S137" s="5">
        <v>41244</v>
      </c>
      <c r="T137" s="4">
        <f t="shared" si="8"/>
        <v>5</v>
      </c>
      <c r="U137" t="str">
        <f t="shared" si="9"/>
        <v>Q4-2011</v>
      </c>
      <c r="V137" t="str">
        <f t="shared" si="10"/>
        <v>Q4-2012</v>
      </c>
      <c r="W137" t="s">
        <v>1000</v>
      </c>
    </row>
    <row r="138" spans="1:23">
      <c r="A138" t="s">
        <v>143</v>
      </c>
      <c r="B138" t="s">
        <v>1165</v>
      </c>
      <c r="C138" t="s">
        <v>616</v>
      </c>
      <c r="D138" t="s">
        <v>776</v>
      </c>
      <c r="E138">
        <v>1</v>
      </c>
      <c r="F138">
        <v>2013</v>
      </c>
      <c r="G138" s="1" t="s">
        <v>145</v>
      </c>
      <c r="H138" s="79" t="s">
        <v>1199</v>
      </c>
      <c r="L138">
        <v>1</v>
      </c>
      <c r="P138">
        <v>1</v>
      </c>
      <c r="R138" s="5">
        <v>41334</v>
      </c>
      <c r="S138" s="5">
        <v>41426</v>
      </c>
      <c r="T138" s="4">
        <f t="shared" si="8"/>
        <v>2</v>
      </c>
      <c r="U138" t="str">
        <f t="shared" si="9"/>
        <v>Q1-2013</v>
      </c>
      <c r="V138" t="str">
        <f t="shared" si="10"/>
        <v>Q2-2013</v>
      </c>
      <c r="W138" t="s">
        <v>1105</v>
      </c>
    </row>
    <row r="139" spans="1:23">
      <c r="A139" t="s">
        <v>143</v>
      </c>
      <c r="B139" t="s">
        <v>1165</v>
      </c>
      <c r="C139" t="s">
        <v>616</v>
      </c>
      <c r="D139" t="s">
        <v>776</v>
      </c>
      <c r="F139">
        <v>2015</v>
      </c>
      <c r="G139" s="1" t="s">
        <v>145</v>
      </c>
      <c r="H139" s="79" t="s">
        <v>1199</v>
      </c>
      <c r="K139">
        <v>0</v>
      </c>
      <c r="R139" s="5">
        <v>42156</v>
      </c>
      <c r="S139" s="5">
        <v>42156</v>
      </c>
      <c r="T139" s="4">
        <f t="shared" si="8"/>
        <v>1</v>
      </c>
      <c r="U139" t="str">
        <f t="shared" si="9"/>
        <v>Q2-2015</v>
      </c>
      <c r="V139" t="str">
        <f t="shared" si="10"/>
        <v>Q2-2015</v>
      </c>
      <c r="W139" t="s">
        <v>981</v>
      </c>
    </row>
    <row r="140" spans="1:23">
      <c r="A140" t="s">
        <v>144</v>
      </c>
      <c r="C140" t="s">
        <v>928</v>
      </c>
      <c r="D140" t="s">
        <v>701</v>
      </c>
      <c r="E140" s="8"/>
      <c r="F140">
        <v>2008</v>
      </c>
      <c r="G140" s="1" t="s">
        <v>145</v>
      </c>
      <c r="H140" s="79" t="s">
        <v>1199</v>
      </c>
      <c r="L140">
        <v>1</v>
      </c>
      <c r="R140" s="5">
        <v>39722</v>
      </c>
      <c r="S140" s="5">
        <v>39934</v>
      </c>
      <c r="T140" s="4">
        <f t="shared" si="8"/>
        <v>3</v>
      </c>
      <c r="U140" t="str">
        <f t="shared" si="9"/>
        <v>Q4-2008</v>
      </c>
      <c r="V140" t="str">
        <f t="shared" si="10"/>
        <v>Q2-2009</v>
      </c>
      <c r="W140" t="s">
        <v>848</v>
      </c>
    </row>
    <row r="141" spans="1:23">
      <c r="A141" t="s">
        <v>144</v>
      </c>
      <c r="C141" t="s">
        <v>928</v>
      </c>
      <c r="D141" t="s">
        <v>701</v>
      </c>
      <c r="E141" s="8"/>
      <c r="F141">
        <v>2011</v>
      </c>
      <c r="G141" s="1" t="s">
        <v>145</v>
      </c>
      <c r="H141" s="79" t="s">
        <v>1199</v>
      </c>
      <c r="J141">
        <v>1</v>
      </c>
      <c r="O141">
        <v>1</v>
      </c>
      <c r="R141" s="5">
        <v>40695</v>
      </c>
      <c r="S141" s="5">
        <v>40817</v>
      </c>
      <c r="T141" s="4">
        <f t="shared" si="8"/>
        <v>2</v>
      </c>
      <c r="U141" t="str">
        <f t="shared" si="9"/>
        <v>Q2-2011</v>
      </c>
      <c r="V141" t="str">
        <f t="shared" si="10"/>
        <v>Q4-2011</v>
      </c>
      <c r="W141" t="s">
        <v>851</v>
      </c>
    </row>
    <row r="142" spans="1:23">
      <c r="A142" t="s">
        <v>148</v>
      </c>
      <c r="C142" t="s">
        <v>929</v>
      </c>
      <c r="D142" t="s">
        <v>699</v>
      </c>
      <c r="E142">
        <v>1</v>
      </c>
      <c r="F142">
        <v>2008</v>
      </c>
      <c r="G142" s="1" t="s">
        <v>145</v>
      </c>
      <c r="H142" s="79" t="s">
        <v>1199</v>
      </c>
      <c r="L142">
        <v>1</v>
      </c>
      <c r="P142">
        <v>1</v>
      </c>
      <c r="R142" s="5">
        <v>39722</v>
      </c>
      <c r="S142" s="5">
        <v>40238</v>
      </c>
      <c r="T142" s="4">
        <f t="shared" si="8"/>
        <v>6</v>
      </c>
      <c r="U142" t="str">
        <f t="shared" si="9"/>
        <v>Q4-2008</v>
      </c>
      <c r="V142" t="str">
        <f t="shared" si="10"/>
        <v>Q1-2010</v>
      </c>
      <c r="W142" t="s">
        <v>1054</v>
      </c>
    </row>
    <row r="143" spans="1:23">
      <c r="A143" t="s">
        <v>148</v>
      </c>
      <c r="C143" t="s">
        <v>929</v>
      </c>
      <c r="D143" t="s">
        <v>699</v>
      </c>
      <c r="E143">
        <v>1</v>
      </c>
      <c r="F143">
        <v>2011</v>
      </c>
      <c r="G143" s="1" t="s">
        <v>145</v>
      </c>
      <c r="H143" s="79" t="s">
        <v>1199</v>
      </c>
      <c r="J143">
        <v>1</v>
      </c>
      <c r="K143">
        <v>0</v>
      </c>
      <c r="P143">
        <v>1</v>
      </c>
      <c r="R143" s="5">
        <v>40878</v>
      </c>
      <c r="S143" s="5">
        <v>40878</v>
      </c>
      <c r="T143" s="4">
        <f t="shared" si="8"/>
        <v>1</v>
      </c>
      <c r="U143" t="str">
        <f t="shared" si="9"/>
        <v>Q4-2011</v>
      </c>
      <c r="V143" t="str">
        <f t="shared" si="10"/>
        <v>Q4-2011</v>
      </c>
      <c r="W143" t="s">
        <v>1053</v>
      </c>
    </row>
    <row r="144" spans="1:23">
      <c r="A144" t="s">
        <v>351</v>
      </c>
      <c r="C144" t="s">
        <v>930</v>
      </c>
      <c r="D144" t="s">
        <v>702</v>
      </c>
      <c r="F144">
        <v>2008</v>
      </c>
      <c r="G144" s="1" t="s">
        <v>145</v>
      </c>
      <c r="H144" s="79" t="s">
        <v>1199</v>
      </c>
      <c r="L144">
        <v>1</v>
      </c>
      <c r="R144" s="5">
        <v>39722</v>
      </c>
      <c r="S144" s="5">
        <v>39934</v>
      </c>
      <c r="T144" s="4">
        <f t="shared" si="8"/>
        <v>3</v>
      </c>
      <c r="U144" t="str">
        <f t="shared" si="9"/>
        <v>Q4-2008</v>
      </c>
      <c r="V144" t="str">
        <f t="shared" si="10"/>
        <v>Q2-2009</v>
      </c>
      <c r="W144" t="s">
        <v>852</v>
      </c>
    </row>
    <row r="145" spans="1:25">
      <c r="A145" t="s">
        <v>351</v>
      </c>
      <c r="C145" t="s">
        <v>930</v>
      </c>
      <c r="D145" t="s">
        <v>702</v>
      </c>
      <c r="F145">
        <v>2011</v>
      </c>
      <c r="G145" s="1" t="s">
        <v>145</v>
      </c>
      <c r="H145" s="79" t="s">
        <v>1199</v>
      </c>
      <c r="L145">
        <v>1</v>
      </c>
      <c r="R145" s="5">
        <v>40878</v>
      </c>
      <c r="S145" s="5">
        <v>40878</v>
      </c>
      <c r="T145" s="4">
        <f t="shared" si="8"/>
        <v>1</v>
      </c>
      <c r="U145" t="str">
        <f t="shared" si="9"/>
        <v>Q4-2011</v>
      </c>
      <c r="V145" t="str">
        <f t="shared" si="10"/>
        <v>Q4-2011</v>
      </c>
      <c r="W145" t="s">
        <v>853</v>
      </c>
    </row>
    <row r="146" spans="1:25">
      <c r="A146" t="s">
        <v>351</v>
      </c>
      <c r="C146" t="s">
        <v>930</v>
      </c>
      <c r="D146" t="s">
        <v>702</v>
      </c>
      <c r="F146">
        <v>2013</v>
      </c>
      <c r="G146" s="1" t="s">
        <v>145</v>
      </c>
      <c r="H146" s="79" t="s">
        <v>1199</v>
      </c>
      <c r="J146">
        <v>1</v>
      </c>
      <c r="L146">
        <v>1</v>
      </c>
      <c r="R146" s="5">
        <v>41275</v>
      </c>
      <c r="S146" s="5">
        <v>41426</v>
      </c>
      <c r="T146" s="4">
        <f t="shared" si="8"/>
        <v>2</v>
      </c>
      <c r="U146" t="str">
        <f t="shared" si="9"/>
        <v>Q1-2013</v>
      </c>
      <c r="V146" t="str">
        <f t="shared" si="10"/>
        <v>Q2-2013</v>
      </c>
      <c r="W146" t="s">
        <v>854</v>
      </c>
    </row>
    <row r="147" spans="1:25">
      <c r="A147" t="s">
        <v>748</v>
      </c>
      <c r="C147" t="s">
        <v>900</v>
      </c>
      <c r="D147" t="s">
        <v>747</v>
      </c>
      <c r="F147">
        <v>2007</v>
      </c>
      <c r="G147" s="1" t="s">
        <v>167</v>
      </c>
      <c r="H147" s="79" t="s">
        <v>1200</v>
      </c>
      <c r="I147">
        <v>1</v>
      </c>
      <c r="R147" s="5">
        <v>39083</v>
      </c>
      <c r="S147" s="5">
        <v>39203</v>
      </c>
      <c r="T147" s="4">
        <f t="shared" si="8"/>
        <v>2</v>
      </c>
      <c r="U147" t="str">
        <f t="shared" si="9"/>
        <v>Q1-2007</v>
      </c>
      <c r="V147" t="str">
        <f t="shared" si="10"/>
        <v>Q2-2007</v>
      </c>
      <c r="W147" t="s">
        <v>827</v>
      </c>
    </row>
    <row r="148" spans="1:25">
      <c r="A148" t="s">
        <v>703</v>
      </c>
      <c r="F148">
        <v>2009</v>
      </c>
      <c r="G148" s="1" t="s">
        <v>167</v>
      </c>
      <c r="H148" s="79" t="s">
        <v>1200</v>
      </c>
      <c r="N148">
        <v>1</v>
      </c>
      <c r="R148" s="5">
        <v>39783</v>
      </c>
      <c r="S148" s="5">
        <v>39904</v>
      </c>
      <c r="T148" s="4">
        <f t="shared" si="8"/>
        <v>2</v>
      </c>
      <c r="U148" t="str">
        <f t="shared" si="9"/>
        <v>Q4-2008</v>
      </c>
      <c r="V148" t="str">
        <f t="shared" si="10"/>
        <v>Q2-2009</v>
      </c>
      <c r="W148" t="s">
        <v>170</v>
      </c>
      <c r="Y148" t="s">
        <v>168</v>
      </c>
    </row>
    <row r="149" spans="1:25">
      <c r="A149" t="s">
        <v>506</v>
      </c>
      <c r="C149" t="s">
        <v>808</v>
      </c>
      <c r="F149">
        <v>2014</v>
      </c>
      <c r="G149" s="1" t="s">
        <v>167</v>
      </c>
      <c r="H149" s="79" t="s">
        <v>1200</v>
      </c>
      <c r="J149">
        <v>1</v>
      </c>
      <c r="M149">
        <v>1</v>
      </c>
      <c r="R149" s="5">
        <v>41883</v>
      </c>
      <c r="S149" s="5">
        <v>41974</v>
      </c>
      <c r="T149" s="4">
        <f t="shared" si="8"/>
        <v>2</v>
      </c>
      <c r="U149" t="str">
        <f t="shared" si="9"/>
        <v>Q3-2014</v>
      </c>
      <c r="V149" t="str">
        <f t="shared" si="10"/>
        <v>Q4-2014</v>
      </c>
      <c r="W149" t="s">
        <v>964</v>
      </c>
    </row>
    <row r="150" spans="1:25">
      <c r="A150" t="s">
        <v>169</v>
      </c>
      <c r="B150" t="s">
        <v>1166</v>
      </c>
      <c r="C150" t="s">
        <v>618</v>
      </c>
      <c r="D150" t="s">
        <v>778</v>
      </c>
      <c r="E150">
        <v>1</v>
      </c>
      <c r="F150">
        <v>2009</v>
      </c>
      <c r="G150" s="1" t="s">
        <v>167</v>
      </c>
      <c r="H150" s="79" t="s">
        <v>1200</v>
      </c>
      <c r="N150">
        <v>1</v>
      </c>
      <c r="R150" s="5">
        <v>39783</v>
      </c>
      <c r="S150" s="5">
        <v>39904</v>
      </c>
      <c r="T150" s="4">
        <v>3</v>
      </c>
      <c r="U150" t="str">
        <f t="shared" si="9"/>
        <v>Q4-2008</v>
      </c>
      <c r="V150" t="str">
        <f t="shared" si="10"/>
        <v>Q2-2009</v>
      </c>
      <c r="W150" t="s">
        <v>170</v>
      </c>
    </row>
    <row r="151" spans="1:25">
      <c r="A151" t="s">
        <v>655</v>
      </c>
      <c r="C151" t="s">
        <v>617</v>
      </c>
      <c r="D151" t="s">
        <v>777</v>
      </c>
      <c r="E151">
        <v>1</v>
      </c>
      <c r="F151">
        <v>2009</v>
      </c>
      <c r="G151" s="1" t="s">
        <v>167</v>
      </c>
      <c r="H151" s="79" t="s">
        <v>1200</v>
      </c>
      <c r="N151">
        <v>1</v>
      </c>
      <c r="R151" s="5">
        <v>39783</v>
      </c>
      <c r="S151" s="5">
        <v>39904</v>
      </c>
      <c r="T151" s="4">
        <v>3</v>
      </c>
      <c r="U151" t="str">
        <f t="shared" si="9"/>
        <v>Q4-2008</v>
      </c>
      <c r="V151" t="str">
        <f t="shared" si="10"/>
        <v>Q2-2009</v>
      </c>
      <c r="W151" t="s">
        <v>170</v>
      </c>
    </row>
    <row r="152" spans="1:25">
      <c r="A152" t="s">
        <v>704</v>
      </c>
      <c r="F152">
        <v>2009</v>
      </c>
      <c r="G152" s="1" t="s">
        <v>159</v>
      </c>
      <c r="H152" s="79" t="s">
        <v>1201</v>
      </c>
      <c r="O152">
        <v>1</v>
      </c>
      <c r="R152" s="5">
        <v>39965</v>
      </c>
      <c r="S152" s="5">
        <v>40269</v>
      </c>
      <c r="T152" s="4">
        <f>FLOOR(((YEAR(S152)*12+MONTH(S152))-(YEAR(R152)*12+MONTH(R152)))/3,1)+1</f>
        <v>4</v>
      </c>
      <c r="U152" t="str">
        <f t="shared" si="9"/>
        <v>Q2-2009</v>
      </c>
      <c r="V152" t="str">
        <f t="shared" si="10"/>
        <v>Q2-2010</v>
      </c>
      <c r="W152" t="s">
        <v>526</v>
      </c>
      <c r="Y152" t="s">
        <v>524</v>
      </c>
    </row>
    <row r="153" spans="1:25">
      <c r="A153" t="s">
        <v>158</v>
      </c>
      <c r="C153" t="s">
        <v>931</v>
      </c>
      <c r="D153" t="s">
        <v>705</v>
      </c>
      <c r="E153">
        <v>1</v>
      </c>
      <c r="F153">
        <v>2008</v>
      </c>
      <c r="G153" s="1" t="s">
        <v>159</v>
      </c>
      <c r="H153" s="79" t="s">
        <v>1201</v>
      </c>
      <c r="K153">
        <v>1</v>
      </c>
      <c r="R153" s="5">
        <v>39692</v>
      </c>
      <c r="S153" s="5">
        <v>39722</v>
      </c>
      <c r="T153" s="4">
        <v>2</v>
      </c>
      <c r="U153" t="str">
        <f t="shared" si="9"/>
        <v>Q3-2008</v>
      </c>
      <c r="V153" t="str">
        <f t="shared" si="10"/>
        <v>Q4-2008</v>
      </c>
      <c r="W153" t="s">
        <v>975</v>
      </c>
    </row>
    <row r="154" spans="1:25">
      <c r="A154" t="s">
        <v>104</v>
      </c>
      <c r="C154" t="s">
        <v>932</v>
      </c>
      <c r="D154" t="s">
        <v>706</v>
      </c>
      <c r="E154">
        <v>1</v>
      </c>
      <c r="F154">
        <v>2008</v>
      </c>
      <c r="G154" s="1" t="s">
        <v>159</v>
      </c>
      <c r="H154" s="79" t="s">
        <v>1201</v>
      </c>
      <c r="K154">
        <v>1</v>
      </c>
      <c r="R154" s="5">
        <v>39722</v>
      </c>
      <c r="S154" s="5">
        <v>39722</v>
      </c>
      <c r="T154" s="4">
        <f t="shared" ref="T154:T159" si="11">FLOOR(((YEAR(S154)*12+MONTH(S154))-(YEAR(R154)*12+MONTH(R154)))/3,1)+1</f>
        <v>1</v>
      </c>
      <c r="U154" t="str">
        <f t="shared" si="9"/>
        <v>Q4-2008</v>
      </c>
      <c r="V154" t="str">
        <f t="shared" si="10"/>
        <v>Q4-2008</v>
      </c>
      <c r="W154" t="s">
        <v>974</v>
      </c>
      <c r="X154" t="s">
        <v>881</v>
      </c>
    </row>
    <row r="155" spans="1:25">
      <c r="A155" t="s">
        <v>165</v>
      </c>
      <c r="C155" t="s">
        <v>933</v>
      </c>
      <c r="D155" t="s">
        <v>707</v>
      </c>
      <c r="E155">
        <v>1</v>
      </c>
      <c r="F155">
        <v>2008</v>
      </c>
      <c r="G155" s="1" t="s">
        <v>159</v>
      </c>
      <c r="H155" s="79" t="s">
        <v>1201</v>
      </c>
      <c r="K155">
        <v>1</v>
      </c>
      <c r="R155" s="5">
        <v>39722</v>
      </c>
      <c r="S155" s="5">
        <v>39722</v>
      </c>
      <c r="T155" s="4">
        <f t="shared" si="11"/>
        <v>1</v>
      </c>
      <c r="U155" t="str">
        <f t="shared" si="9"/>
        <v>Q4-2008</v>
      </c>
      <c r="V155" t="str">
        <f t="shared" si="10"/>
        <v>Q4-2008</v>
      </c>
      <c r="W155" t="s">
        <v>973</v>
      </c>
      <c r="X155" t="s">
        <v>539</v>
      </c>
    </row>
    <row r="156" spans="1:25">
      <c r="A156" t="s">
        <v>708</v>
      </c>
      <c r="C156" s="50"/>
      <c r="F156">
        <v>2009</v>
      </c>
      <c r="G156" s="1" t="s">
        <v>159</v>
      </c>
      <c r="H156" s="79" t="s">
        <v>1201</v>
      </c>
      <c r="J156">
        <v>1</v>
      </c>
      <c r="M156">
        <v>1</v>
      </c>
      <c r="R156" s="5">
        <v>39873</v>
      </c>
      <c r="S156" s="5">
        <v>39934</v>
      </c>
      <c r="T156" s="4">
        <f t="shared" si="11"/>
        <v>1</v>
      </c>
      <c r="U156" t="str">
        <f t="shared" si="9"/>
        <v>Q1-2009</v>
      </c>
      <c r="V156" t="str">
        <f t="shared" si="10"/>
        <v>Q2-2009</v>
      </c>
      <c r="W156" t="s">
        <v>203</v>
      </c>
      <c r="Y156" t="s">
        <v>512</v>
      </c>
    </row>
    <row r="157" spans="1:25">
      <c r="A157" t="s">
        <v>709</v>
      </c>
      <c r="F157">
        <v>2009</v>
      </c>
      <c r="G157" s="1" t="s">
        <v>159</v>
      </c>
      <c r="H157" s="79" t="s">
        <v>1201</v>
      </c>
      <c r="O157">
        <v>1</v>
      </c>
      <c r="R157" s="5">
        <v>39873</v>
      </c>
      <c r="S157" s="5">
        <v>40269</v>
      </c>
      <c r="T157" s="4">
        <f t="shared" si="11"/>
        <v>5</v>
      </c>
      <c r="U157" t="str">
        <f t="shared" si="9"/>
        <v>Q1-2009</v>
      </c>
      <c r="V157" t="str">
        <f t="shared" si="10"/>
        <v>Q2-2010</v>
      </c>
      <c r="W157" t="s">
        <v>529</v>
      </c>
      <c r="X157" t="s">
        <v>527</v>
      </c>
      <c r="Y157" t="s">
        <v>525</v>
      </c>
    </row>
    <row r="158" spans="1:25">
      <c r="A158" t="s">
        <v>710</v>
      </c>
      <c r="F158">
        <v>2011</v>
      </c>
      <c r="G158" s="1" t="s">
        <v>159</v>
      </c>
      <c r="H158" s="79" t="s">
        <v>1201</v>
      </c>
      <c r="P158">
        <v>1</v>
      </c>
      <c r="R158" s="5">
        <v>40603</v>
      </c>
      <c r="S158" s="5">
        <v>41061</v>
      </c>
      <c r="T158" s="4">
        <f t="shared" si="11"/>
        <v>6</v>
      </c>
      <c r="U158" t="str">
        <f t="shared" si="9"/>
        <v>Q1-2011</v>
      </c>
      <c r="V158" t="str">
        <f t="shared" si="10"/>
        <v>Q2-2012</v>
      </c>
      <c r="W158" t="s">
        <v>531</v>
      </c>
      <c r="Y158" t="s">
        <v>530</v>
      </c>
    </row>
    <row r="159" spans="1:25">
      <c r="A159" t="s">
        <v>202</v>
      </c>
      <c r="C159" t="s">
        <v>934</v>
      </c>
      <c r="D159" t="s">
        <v>711</v>
      </c>
      <c r="E159" s="8"/>
      <c r="F159">
        <v>2009</v>
      </c>
      <c r="G159" s="1" t="s">
        <v>159</v>
      </c>
      <c r="H159" s="79" t="s">
        <v>1201</v>
      </c>
      <c r="J159">
        <v>1</v>
      </c>
      <c r="M159">
        <v>1</v>
      </c>
      <c r="R159" s="5">
        <v>39873</v>
      </c>
      <c r="S159" s="5">
        <v>39873</v>
      </c>
      <c r="T159" s="4">
        <f t="shared" si="11"/>
        <v>1</v>
      </c>
      <c r="U159" t="str">
        <f t="shared" si="9"/>
        <v>Q1-2009</v>
      </c>
      <c r="V159" t="str">
        <f t="shared" si="10"/>
        <v>Q1-2009</v>
      </c>
      <c r="W159" t="s">
        <v>203</v>
      </c>
    </row>
    <row r="160" spans="1:25">
      <c r="A160" t="s">
        <v>972</v>
      </c>
      <c r="C160" t="s">
        <v>935</v>
      </c>
      <c r="D160" t="s">
        <v>712</v>
      </c>
      <c r="E160">
        <v>1</v>
      </c>
      <c r="F160">
        <v>2009</v>
      </c>
      <c r="G160" s="1" t="s">
        <v>159</v>
      </c>
      <c r="H160" s="79" t="s">
        <v>1201</v>
      </c>
      <c r="K160">
        <v>0</v>
      </c>
      <c r="M160">
        <v>1</v>
      </c>
      <c r="R160" s="5">
        <v>39873</v>
      </c>
      <c r="S160" s="5">
        <v>39934</v>
      </c>
      <c r="T160" s="4">
        <v>2</v>
      </c>
      <c r="U160" t="str">
        <f t="shared" si="9"/>
        <v>Q1-2009</v>
      </c>
      <c r="V160" t="str">
        <f t="shared" si="10"/>
        <v>Q2-2009</v>
      </c>
      <c r="W160" t="s">
        <v>971</v>
      </c>
    </row>
    <row r="161" spans="1:23">
      <c r="A161" t="s">
        <v>172</v>
      </c>
      <c r="F161">
        <v>2008</v>
      </c>
      <c r="G161" s="1" t="s">
        <v>157</v>
      </c>
      <c r="H161" s="79" t="s">
        <v>1202</v>
      </c>
      <c r="L161">
        <v>1</v>
      </c>
      <c r="M161">
        <v>1</v>
      </c>
      <c r="R161" s="5">
        <v>39692</v>
      </c>
      <c r="S161" s="5">
        <v>40513</v>
      </c>
      <c r="T161" s="4">
        <f>FLOOR(((YEAR(S161)*12+MONTH(S161))-(YEAR(R161)*12+MONTH(R161)))/3,1)+1</f>
        <v>10</v>
      </c>
      <c r="U161" t="str">
        <f t="shared" si="9"/>
        <v>Q3-2008</v>
      </c>
      <c r="V161" t="str">
        <f t="shared" si="10"/>
        <v>Q4-2010</v>
      </c>
      <c r="W161" t="s">
        <v>183</v>
      </c>
    </row>
    <row r="162" spans="1:23">
      <c r="A162" t="s">
        <v>619</v>
      </c>
      <c r="B162" t="s">
        <v>1167</v>
      </c>
      <c r="C162" t="s">
        <v>620</v>
      </c>
      <c r="D162" t="s">
        <v>779</v>
      </c>
      <c r="F162">
        <v>2008</v>
      </c>
      <c r="G162" s="1" t="s">
        <v>157</v>
      </c>
      <c r="H162" s="79" t="s">
        <v>1202</v>
      </c>
      <c r="L162">
        <v>1</v>
      </c>
      <c r="M162">
        <v>1</v>
      </c>
      <c r="R162" s="5">
        <v>39692</v>
      </c>
      <c r="S162" s="5">
        <v>39934</v>
      </c>
      <c r="T162" s="4">
        <v>4</v>
      </c>
      <c r="U162" t="str">
        <f t="shared" si="9"/>
        <v>Q3-2008</v>
      </c>
      <c r="V162" t="str">
        <f t="shared" si="10"/>
        <v>Q2-2009</v>
      </c>
      <c r="W162" t="s">
        <v>183</v>
      </c>
    </row>
    <row r="163" spans="1:23">
      <c r="A163" t="s">
        <v>171</v>
      </c>
      <c r="F163">
        <v>2008</v>
      </c>
      <c r="G163" s="1" t="s">
        <v>157</v>
      </c>
      <c r="H163" s="79" t="s">
        <v>1202</v>
      </c>
      <c r="L163">
        <v>1</v>
      </c>
      <c r="M163">
        <v>1</v>
      </c>
      <c r="R163" s="5">
        <v>39692</v>
      </c>
      <c r="S163" s="5">
        <v>40513</v>
      </c>
      <c r="T163" s="4">
        <f>FLOOR(((YEAR(S163)*12+MONTH(S163))-(YEAR(R163)*12+MONTH(R163)))/3,1)+1</f>
        <v>10</v>
      </c>
      <c r="U163" t="str">
        <f t="shared" si="9"/>
        <v>Q3-2008</v>
      </c>
      <c r="V163" t="str">
        <f t="shared" si="10"/>
        <v>Q4-2010</v>
      </c>
      <c r="W163" t="s">
        <v>183</v>
      </c>
    </row>
    <row r="164" spans="1:23">
      <c r="A164" t="s">
        <v>173</v>
      </c>
      <c r="F164">
        <v>2008</v>
      </c>
      <c r="G164" s="1" t="s">
        <v>157</v>
      </c>
      <c r="H164" s="79" t="s">
        <v>1202</v>
      </c>
      <c r="L164">
        <v>1</v>
      </c>
      <c r="M164">
        <v>1</v>
      </c>
      <c r="R164" s="5">
        <v>39692</v>
      </c>
      <c r="S164" s="5">
        <v>40513</v>
      </c>
      <c r="T164" s="4">
        <f>FLOOR(((YEAR(S164)*12+MONTH(S164))-(YEAR(R164)*12+MONTH(R164)))/3,1)+1</f>
        <v>10</v>
      </c>
      <c r="U164" t="str">
        <f t="shared" si="9"/>
        <v>Q3-2008</v>
      </c>
      <c r="V164" t="str">
        <f t="shared" si="10"/>
        <v>Q4-2010</v>
      </c>
      <c r="W164" t="s">
        <v>183</v>
      </c>
    </row>
    <row r="165" spans="1:23">
      <c r="A165" t="s">
        <v>1056</v>
      </c>
      <c r="B165" t="s">
        <v>1167</v>
      </c>
      <c r="C165" t="s">
        <v>620</v>
      </c>
      <c r="D165" t="s">
        <v>779</v>
      </c>
      <c r="E165">
        <v>1</v>
      </c>
      <c r="F165">
        <v>2008</v>
      </c>
      <c r="G165" s="1" t="s">
        <v>157</v>
      </c>
      <c r="H165" s="79" t="s">
        <v>1202</v>
      </c>
      <c r="L165">
        <v>1</v>
      </c>
      <c r="M165">
        <v>1</v>
      </c>
      <c r="R165" s="5">
        <v>39692</v>
      </c>
      <c r="S165" s="5">
        <v>39934</v>
      </c>
      <c r="T165" s="4">
        <v>4</v>
      </c>
      <c r="U165" t="str">
        <f t="shared" si="9"/>
        <v>Q3-2008</v>
      </c>
      <c r="V165" t="str">
        <f t="shared" si="10"/>
        <v>Q2-2009</v>
      </c>
      <c r="W165" t="s">
        <v>1057</v>
      </c>
    </row>
    <row r="166" spans="1:23">
      <c r="A166" t="s">
        <v>1056</v>
      </c>
      <c r="B166" t="s">
        <v>1167</v>
      </c>
      <c r="C166" t="s">
        <v>620</v>
      </c>
      <c r="D166" t="s">
        <v>779</v>
      </c>
      <c r="E166">
        <v>1</v>
      </c>
      <c r="F166">
        <v>2011</v>
      </c>
      <c r="G166" s="1" t="s">
        <v>157</v>
      </c>
      <c r="H166" s="79" t="s">
        <v>1202</v>
      </c>
      <c r="K166">
        <v>0</v>
      </c>
      <c r="L166">
        <v>1</v>
      </c>
      <c r="P166">
        <v>1</v>
      </c>
      <c r="R166" s="5">
        <v>40513</v>
      </c>
      <c r="S166" s="5">
        <v>40725</v>
      </c>
      <c r="T166" s="4">
        <v>4</v>
      </c>
      <c r="U166" t="str">
        <f t="shared" si="9"/>
        <v>Q4-2010</v>
      </c>
      <c r="V166" t="str">
        <f t="shared" si="10"/>
        <v>Q3-2011</v>
      </c>
      <c r="W166" t="s">
        <v>1039</v>
      </c>
    </row>
    <row r="167" spans="1:23">
      <c r="A167" t="s">
        <v>175</v>
      </c>
      <c r="F167">
        <v>2008</v>
      </c>
      <c r="G167" s="1" t="s">
        <v>157</v>
      </c>
      <c r="H167" s="79" t="s">
        <v>1202</v>
      </c>
      <c r="L167">
        <v>1</v>
      </c>
      <c r="M167">
        <v>1</v>
      </c>
      <c r="R167" s="5">
        <v>39692</v>
      </c>
      <c r="S167" s="5">
        <v>40513</v>
      </c>
      <c r="T167" s="4">
        <f t="shared" ref="T167:T179" si="12">FLOOR(((YEAR(S167)*12+MONTH(S167))-(YEAR(R167)*12+MONTH(R167)))/3,1)+1</f>
        <v>10</v>
      </c>
      <c r="U167" t="str">
        <f t="shared" si="9"/>
        <v>Q3-2008</v>
      </c>
      <c r="V167" t="str">
        <f t="shared" si="10"/>
        <v>Q4-2010</v>
      </c>
      <c r="W167" t="s">
        <v>354</v>
      </c>
    </row>
    <row r="168" spans="1:23">
      <c r="A168" t="s">
        <v>174</v>
      </c>
      <c r="C168" t="s">
        <v>936</v>
      </c>
      <c r="D168" t="s">
        <v>713</v>
      </c>
      <c r="E168">
        <v>1</v>
      </c>
      <c r="F168">
        <v>2008</v>
      </c>
      <c r="G168" s="1" t="s">
        <v>157</v>
      </c>
      <c r="H168" s="79" t="s">
        <v>1202</v>
      </c>
      <c r="L168">
        <v>1</v>
      </c>
      <c r="M168">
        <v>1</v>
      </c>
      <c r="R168" s="5">
        <v>39692</v>
      </c>
      <c r="S168" s="5">
        <v>40057</v>
      </c>
      <c r="T168" s="4">
        <f t="shared" si="12"/>
        <v>5</v>
      </c>
      <c r="U168" t="str">
        <f t="shared" si="9"/>
        <v>Q3-2008</v>
      </c>
      <c r="V168" t="str">
        <f t="shared" si="10"/>
        <v>Q3-2009</v>
      </c>
      <c r="W168" t="s">
        <v>855</v>
      </c>
    </row>
    <row r="169" spans="1:23">
      <c r="A169" t="s">
        <v>174</v>
      </c>
      <c r="C169" t="s">
        <v>936</v>
      </c>
      <c r="D169" t="s">
        <v>713</v>
      </c>
      <c r="E169">
        <v>1</v>
      </c>
      <c r="F169">
        <v>2010</v>
      </c>
      <c r="G169" s="1" t="s">
        <v>157</v>
      </c>
      <c r="H169" s="79" t="s">
        <v>1202</v>
      </c>
      <c r="J169">
        <v>1</v>
      </c>
      <c r="K169">
        <v>0</v>
      </c>
      <c r="R169" s="5">
        <v>40238</v>
      </c>
      <c r="S169" s="5">
        <v>40513</v>
      </c>
      <c r="T169" s="4">
        <f t="shared" si="12"/>
        <v>4</v>
      </c>
      <c r="U169" t="str">
        <f t="shared" si="9"/>
        <v>Q1-2010</v>
      </c>
      <c r="V169" t="str">
        <f t="shared" si="10"/>
        <v>Q4-2010</v>
      </c>
      <c r="W169" t="s">
        <v>1005</v>
      </c>
    </row>
    <row r="170" spans="1:23">
      <c r="A170" t="s">
        <v>174</v>
      </c>
      <c r="C170" t="s">
        <v>936</v>
      </c>
      <c r="D170" t="s">
        <v>713</v>
      </c>
      <c r="E170">
        <v>1</v>
      </c>
      <c r="F170">
        <v>2011</v>
      </c>
      <c r="G170" s="1" t="s">
        <v>157</v>
      </c>
      <c r="H170" s="79" t="s">
        <v>1202</v>
      </c>
      <c r="P170">
        <v>1</v>
      </c>
      <c r="R170" s="5">
        <v>40360</v>
      </c>
      <c r="S170" s="5">
        <v>40725</v>
      </c>
      <c r="T170" s="4">
        <f t="shared" si="12"/>
        <v>5</v>
      </c>
      <c r="U170" t="str">
        <f t="shared" si="9"/>
        <v>Q3-2010</v>
      </c>
      <c r="V170" t="str">
        <f t="shared" si="10"/>
        <v>Q3-2011</v>
      </c>
      <c r="W170" t="s">
        <v>886</v>
      </c>
    </row>
    <row r="171" spans="1:23">
      <c r="A171" t="s">
        <v>176</v>
      </c>
      <c r="B171" t="s">
        <v>1168</v>
      </c>
      <c r="C171" t="s">
        <v>621</v>
      </c>
      <c r="D171" t="s">
        <v>781</v>
      </c>
      <c r="E171">
        <v>1</v>
      </c>
      <c r="F171">
        <v>2008</v>
      </c>
      <c r="G171" s="1" t="s">
        <v>157</v>
      </c>
      <c r="H171" s="79" t="s">
        <v>1202</v>
      </c>
      <c r="L171">
        <v>1</v>
      </c>
      <c r="R171" s="5">
        <v>39692</v>
      </c>
      <c r="S171" s="5">
        <v>39873</v>
      </c>
      <c r="T171" s="4">
        <f t="shared" si="12"/>
        <v>3</v>
      </c>
      <c r="U171" t="str">
        <f t="shared" si="9"/>
        <v>Q3-2008</v>
      </c>
      <c r="V171" t="str">
        <f t="shared" si="10"/>
        <v>Q1-2009</v>
      </c>
      <c r="W171" t="s">
        <v>856</v>
      </c>
    </row>
    <row r="172" spans="1:23">
      <c r="A172" t="s">
        <v>176</v>
      </c>
      <c r="B172" t="s">
        <v>1168</v>
      </c>
      <c r="C172" t="s">
        <v>621</v>
      </c>
      <c r="D172" t="s">
        <v>781</v>
      </c>
      <c r="E172">
        <v>1</v>
      </c>
      <c r="F172">
        <v>2010</v>
      </c>
      <c r="G172" s="1" t="s">
        <v>157</v>
      </c>
      <c r="H172" s="79" t="s">
        <v>1202</v>
      </c>
      <c r="K172">
        <v>0</v>
      </c>
      <c r="L172">
        <v>1</v>
      </c>
      <c r="R172" s="5">
        <v>40269</v>
      </c>
      <c r="S172" s="5">
        <v>40695</v>
      </c>
      <c r="T172" s="4">
        <f t="shared" si="12"/>
        <v>5</v>
      </c>
      <c r="U172" t="str">
        <f t="shared" si="9"/>
        <v>Q2-2010</v>
      </c>
      <c r="V172" t="str">
        <f t="shared" si="10"/>
        <v>Q2-2011</v>
      </c>
      <c r="W172" t="s">
        <v>1006</v>
      </c>
    </row>
    <row r="173" spans="1:23">
      <c r="A173" t="s">
        <v>179</v>
      </c>
      <c r="F173">
        <v>2008</v>
      </c>
      <c r="G173" s="1" t="s">
        <v>157</v>
      </c>
      <c r="H173" s="79" t="s">
        <v>1202</v>
      </c>
      <c r="L173">
        <v>1</v>
      </c>
      <c r="R173" s="5">
        <v>39692</v>
      </c>
      <c r="S173" s="5">
        <v>40725</v>
      </c>
      <c r="T173" s="4">
        <f t="shared" si="12"/>
        <v>12</v>
      </c>
      <c r="U173" t="str">
        <f t="shared" si="9"/>
        <v>Q3-2008</v>
      </c>
      <c r="V173" t="str">
        <f t="shared" si="10"/>
        <v>Q3-2011</v>
      </c>
      <c r="W173" t="s">
        <v>187</v>
      </c>
    </row>
    <row r="174" spans="1:23">
      <c r="A174" t="s">
        <v>177</v>
      </c>
      <c r="F174">
        <v>2008</v>
      </c>
      <c r="G174" s="1" t="s">
        <v>157</v>
      </c>
      <c r="H174" s="79" t="s">
        <v>1202</v>
      </c>
      <c r="L174">
        <v>1</v>
      </c>
      <c r="R174" s="5">
        <v>39692</v>
      </c>
      <c r="S174" s="5">
        <v>40725</v>
      </c>
      <c r="T174" s="4">
        <f t="shared" si="12"/>
        <v>12</v>
      </c>
      <c r="U174" t="str">
        <f t="shared" si="9"/>
        <v>Q3-2008</v>
      </c>
      <c r="V174" t="str">
        <f t="shared" si="10"/>
        <v>Q3-2011</v>
      </c>
      <c r="W174" t="s">
        <v>187</v>
      </c>
    </row>
    <row r="175" spans="1:23">
      <c r="A175" t="s">
        <v>180</v>
      </c>
      <c r="F175">
        <v>2008</v>
      </c>
      <c r="G175" s="1" t="s">
        <v>157</v>
      </c>
      <c r="H175" s="79" t="s">
        <v>1202</v>
      </c>
      <c r="M175">
        <v>1</v>
      </c>
      <c r="R175" s="5">
        <v>39692</v>
      </c>
      <c r="S175" s="5">
        <v>40513</v>
      </c>
      <c r="T175" s="4">
        <f t="shared" si="12"/>
        <v>10</v>
      </c>
      <c r="U175" t="str">
        <f t="shared" si="9"/>
        <v>Q3-2008</v>
      </c>
      <c r="V175" t="str">
        <f t="shared" si="10"/>
        <v>Q4-2010</v>
      </c>
      <c r="W175" t="s">
        <v>185</v>
      </c>
    </row>
    <row r="176" spans="1:23">
      <c r="A176" t="s">
        <v>358</v>
      </c>
      <c r="C176" t="s">
        <v>809</v>
      </c>
      <c r="F176">
        <v>2011</v>
      </c>
      <c r="G176" s="1" t="s">
        <v>157</v>
      </c>
      <c r="H176" s="79" t="s">
        <v>1202</v>
      </c>
      <c r="K176">
        <v>1</v>
      </c>
      <c r="P176">
        <v>1</v>
      </c>
      <c r="R176" s="5">
        <v>40664</v>
      </c>
      <c r="S176" s="5">
        <v>40725</v>
      </c>
      <c r="T176" s="4">
        <f t="shared" si="12"/>
        <v>1</v>
      </c>
      <c r="U176" t="str">
        <f t="shared" si="9"/>
        <v>Q2-2011</v>
      </c>
      <c r="V176" t="str">
        <f t="shared" si="10"/>
        <v>Q3-2011</v>
      </c>
      <c r="W176" t="s">
        <v>1001</v>
      </c>
    </row>
    <row r="177" spans="1:24">
      <c r="A177" t="s">
        <v>358</v>
      </c>
      <c r="C177" t="s">
        <v>809</v>
      </c>
      <c r="F177">
        <v>2008</v>
      </c>
      <c r="G177" s="1" t="s">
        <v>157</v>
      </c>
      <c r="H177" s="79" t="s">
        <v>1202</v>
      </c>
      <c r="L177">
        <v>1</v>
      </c>
      <c r="M177">
        <v>1</v>
      </c>
      <c r="R177" s="5">
        <v>39692</v>
      </c>
      <c r="S177" s="5">
        <v>40513</v>
      </c>
      <c r="T177" s="4">
        <f t="shared" si="12"/>
        <v>10</v>
      </c>
      <c r="U177" t="str">
        <f t="shared" si="9"/>
        <v>Q3-2008</v>
      </c>
      <c r="V177" t="str">
        <f t="shared" si="10"/>
        <v>Q4-2010</v>
      </c>
      <c r="W177" t="s">
        <v>359</v>
      </c>
    </row>
    <row r="178" spans="1:24">
      <c r="A178" t="s">
        <v>178</v>
      </c>
      <c r="F178">
        <v>2008</v>
      </c>
      <c r="G178" s="1" t="s">
        <v>157</v>
      </c>
      <c r="H178" s="79" t="s">
        <v>1202</v>
      </c>
      <c r="L178">
        <v>1</v>
      </c>
      <c r="R178" s="5">
        <v>39692</v>
      </c>
      <c r="S178" s="5">
        <v>40725</v>
      </c>
      <c r="T178" s="4">
        <f t="shared" si="12"/>
        <v>12</v>
      </c>
      <c r="U178" t="str">
        <f t="shared" si="9"/>
        <v>Q3-2008</v>
      </c>
      <c r="V178" t="str">
        <f t="shared" si="10"/>
        <v>Q3-2011</v>
      </c>
      <c r="W178" t="s">
        <v>187</v>
      </c>
    </row>
    <row r="179" spans="1:24">
      <c r="A179" t="s">
        <v>355</v>
      </c>
      <c r="C179" t="s">
        <v>780</v>
      </c>
      <c r="F179">
        <v>2013</v>
      </c>
      <c r="G179" s="1" t="s">
        <v>157</v>
      </c>
      <c r="H179" s="79" t="s">
        <v>1202</v>
      </c>
      <c r="K179">
        <v>1</v>
      </c>
      <c r="R179" s="5">
        <v>41306</v>
      </c>
      <c r="S179" s="5">
        <v>41306</v>
      </c>
      <c r="T179" s="4">
        <f t="shared" si="12"/>
        <v>1</v>
      </c>
      <c r="U179" t="str">
        <f t="shared" si="9"/>
        <v>Q1-2013</v>
      </c>
      <c r="V179" t="str">
        <f t="shared" si="10"/>
        <v>Q1-2013</v>
      </c>
      <c r="W179" t="s">
        <v>988</v>
      </c>
    </row>
    <row r="180" spans="1:24">
      <c r="A180" t="s">
        <v>360</v>
      </c>
      <c r="B180" t="s">
        <v>1169</v>
      </c>
      <c r="C180" t="s">
        <v>782</v>
      </c>
      <c r="D180" t="s">
        <v>783</v>
      </c>
      <c r="E180">
        <v>1</v>
      </c>
      <c r="F180">
        <v>2008</v>
      </c>
      <c r="G180" s="1" t="s">
        <v>157</v>
      </c>
      <c r="H180" s="79" t="s">
        <v>1202</v>
      </c>
      <c r="L180">
        <v>1</v>
      </c>
      <c r="R180" s="5">
        <v>39692</v>
      </c>
      <c r="S180" s="5">
        <v>40725</v>
      </c>
      <c r="T180" s="4">
        <v>13</v>
      </c>
      <c r="U180" t="str">
        <f t="shared" si="9"/>
        <v>Q3-2008</v>
      </c>
      <c r="V180" t="str">
        <f t="shared" si="10"/>
        <v>Q3-2011</v>
      </c>
      <c r="W180" t="s">
        <v>1002</v>
      </c>
    </row>
    <row r="181" spans="1:24">
      <c r="A181" t="s">
        <v>360</v>
      </c>
      <c r="B181" t="s">
        <v>1169</v>
      </c>
      <c r="C181" t="s">
        <v>782</v>
      </c>
      <c r="D181" t="s">
        <v>783</v>
      </c>
      <c r="E181">
        <v>1</v>
      </c>
      <c r="F181">
        <v>2013</v>
      </c>
      <c r="G181" s="1" t="s">
        <v>157</v>
      </c>
      <c r="H181" s="79" t="s">
        <v>1202</v>
      </c>
      <c r="P181">
        <v>1</v>
      </c>
      <c r="R181" s="5">
        <v>41456</v>
      </c>
      <c r="S181" s="5">
        <v>41456</v>
      </c>
      <c r="T181" s="4">
        <f t="shared" ref="T181:T198" si="13">FLOOR(((YEAR(S181)*12+MONTH(S181))-(YEAR(R181)*12+MONTH(R181)))/3,1)+1</f>
        <v>1</v>
      </c>
      <c r="U181" t="str">
        <f t="shared" si="9"/>
        <v>Q3-2013</v>
      </c>
      <c r="V181" t="str">
        <f t="shared" si="10"/>
        <v>Q3-2013</v>
      </c>
      <c r="W181" t="s">
        <v>857</v>
      </c>
    </row>
    <row r="182" spans="1:24">
      <c r="A182" t="s">
        <v>182</v>
      </c>
      <c r="F182">
        <v>2008</v>
      </c>
      <c r="G182" s="1" t="s">
        <v>157</v>
      </c>
      <c r="H182" s="79" t="s">
        <v>1202</v>
      </c>
      <c r="L182">
        <v>1</v>
      </c>
      <c r="P182">
        <v>1</v>
      </c>
      <c r="R182" s="5">
        <v>39692</v>
      </c>
      <c r="S182" s="5">
        <v>40575</v>
      </c>
      <c r="T182" s="4">
        <f t="shared" si="13"/>
        <v>10</v>
      </c>
      <c r="U182" t="str">
        <f t="shared" si="9"/>
        <v>Q3-2008</v>
      </c>
      <c r="V182" t="str">
        <f t="shared" si="10"/>
        <v>Q1-2011</v>
      </c>
      <c r="W182" t="s">
        <v>361</v>
      </c>
    </row>
    <row r="183" spans="1:24">
      <c r="A183" t="s">
        <v>356</v>
      </c>
      <c r="F183">
        <v>2008</v>
      </c>
      <c r="G183" s="1" t="s">
        <v>157</v>
      </c>
      <c r="H183" s="79" t="s">
        <v>1202</v>
      </c>
      <c r="K183">
        <v>1</v>
      </c>
      <c r="L183">
        <v>1</v>
      </c>
      <c r="M183">
        <v>1</v>
      </c>
      <c r="P183">
        <v>1</v>
      </c>
      <c r="R183" s="5">
        <v>39692</v>
      </c>
      <c r="S183" s="5">
        <v>40575</v>
      </c>
      <c r="T183" s="4">
        <f t="shared" si="13"/>
        <v>10</v>
      </c>
      <c r="U183" t="str">
        <f t="shared" si="9"/>
        <v>Q3-2008</v>
      </c>
      <c r="V183" t="str">
        <f t="shared" si="10"/>
        <v>Q1-2011</v>
      </c>
      <c r="W183" t="s">
        <v>1003</v>
      </c>
    </row>
    <row r="184" spans="1:24">
      <c r="A184" t="s">
        <v>356</v>
      </c>
      <c r="F184">
        <v>2011</v>
      </c>
      <c r="G184" s="1" t="s">
        <v>157</v>
      </c>
      <c r="H184" s="79" t="s">
        <v>1202</v>
      </c>
      <c r="P184">
        <v>1</v>
      </c>
      <c r="R184" s="5">
        <v>40725</v>
      </c>
      <c r="S184" s="5">
        <v>40725</v>
      </c>
      <c r="T184" s="4">
        <f t="shared" si="13"/>
        <v>1</v>
      </c>
      <c r="U184" t="str">
        <f t="shared" si="9"/>
        <v>Q3-2011</v>
      </c>
      <c r="V184" t="str">
        <f t="shared" si="10"/>
        <v>Q3-2011</v>
      </c>
      <c r="W184" t="s">
        <v>357</v>
      </c>
    </row>
    <row r="185" spans="1:24">
      <c r="A185" t="s">
        <v>181</v>
      </c>
      <c r="F185">
        <v>2008</v>
      </c>
      <c r="G185" s="1" t="s">
        <v>157</v>
      </c>
      <c r="H185" s="79" t="s">
        <v>1202</v>
      </c>
      <c r="L185">
        <v>1</v>
      </c>
      <c r="R185" s="5">
        <v>39692</v>
      </c>
      <c r="S185" s="5">
        <v>40725</v>
      </c>
      <c r="T185" s="4">
        <f t="shared" si="13"/>
        <v>12</v>
      </c>
      <c r="U185" t="str">
        <f t="shared" si="9"/>
        <v>Q3-2008</v>
      </c>
      <c r="V185" t="str">
        <f t="shared" si="10"/>
        <v>Q3-2011</v>
      </c>
      <c r="W185" t="s">
        <v>186</v>
      </c>
    </row>
    <row r="186" spans="1:24" ht="17">
      <c r="A186" s="42" t="s">
        <v>213</v>
      </c>
      <c r="C186" t="s">
        <v>622</v>
      </c>
      <c r="D186" t="s">
        <v>784</v>
      </c>
      <c r="E186">
        <v>1</v>
      </c>
      <c r="F186">
        <v>2019</v>
      </c>
      <c r="G186" s="1" t="s">
        <v>200</v>
      </c>
      <c r="H186" s="79" t="s">
        <v>1203</v>
      </c>
      <c r="K186">
        <v>0</v>
      </c>
      <c r="O186">
        <v>1</v>
      </c>
      <c r="R186" s="5">
        <v>43405</v>
      </c>
      <c r="S186" s="5">
        <v>43466</v>
      </c>
      <c r="T186" s="4">
        <v>2</v>
      </c>
      <c r="U186" t="str">
        <f t="shared" si="9"/>
        <v>Q4-2018</v>
      </c>
      <c r="V186" t="str">
        <f t="shared" si="10"/>
        <v>Q1-2019</v>
      </c>
      <c r="W186" t="s">
        <v>977</v>
      </c>
      <c r="X186" t="s">
        <v>502</v>
      </c>
    </row>
    <row r="187" spans="1:24">
      <c r="A187" t="s">
        <v>510</v>
      </c>
      <c r="F187">
        <v>2010</v>
      </c>
      <c r="G187" s="1" t="s">
        <v>200</v>
      </c>
      <c r="H187" s="79" t="s">
        <v>1203</v>
      </c>
      <c r="J187">
        <v>1</v>
      </c>
      <c r="R187" s="5">
        <v>40422</v>
      </c>
      <c r="S187" s="5">
        <v>41153</v>
      </c>
      <c r="T187" s="4">
        <f t="shared" si="13"/>
        <v>9</v>
      </c>
      <c r="U187" t="str">
        <f t="shared" si="9"/>
        <v>Q3-2010</v>
      </c>
      <c r="V187" t="str">
        <f t="shared" si="10"/>
        <v>Q3-2012</v>
      </c>
      <c r="W187" t="s">
        <v>511</v>
      </c>
    </row>
    <row r="188" spans="1:24">
      <c r="A188" t="s">
        <v>196</v>
      </c>
      <c r="F188">
        <v>2010</v>
      </c>
      <c r="G188" s="1" t="s">
        <v>200</v>
      </c>
      <c r="H188" s="79" t="s">
        <v>1203</v>
      </c>
      <c r="J188">
        <v>1</v>
      </c>
      <c r="R188" s="5">
        <v>40299</v>
      </c>
      <c r="S188" s="5">
        <v>40969</v>
      </c>
      <c r="T188" s="4">
        <f t="shared" si="13"/>
        <v>8</v>
      </c>
      <c r="U188" t="str">
        <f t="shared" si="9"/>
        <v>Q2-2010</v>
      </c>
      <c r="V188" t="str">
        <f t="shared" si="10"/>
        <v>Q1-2012</v>
      </c>
      <c r="W188" t="s">
        <v>206</v>
      </c>
    </row>
    <row r="189" spans="1:24">
      <c r="A189" t="s">
        <v>194</v>
      </c>
      <c r="F189">
        <v>2009</v>
      </c>
      <c r="G189" s="1" t="s">
        <v>200</v>
      </c>
      <c r="H189" s="79" t="s">
        <v>1203</v>
      </c>
      <c r="J189">
        <v>1</v>
      </c>
      <c r="R189" s="5">
        <v>40118</v>
      </c>
      <c r="S189" s="5">
        <v>41183</v>
      </c>
      <c r="T189" s="4">
        <f t="shared" si="13"/>
        <v>12</v>
      </c>
      <c r="U189" t="str">
        <f t="shared" si="9"/>
        <v>Q4-2009</v>
      </c>
      <c r="V189" t="str">
        <f t="shared" si="10"/>
        <v>Q4-2012</v>
      </c>
      <c r="W189" t="s">
        <v>206</v>
      </c>
    </row>
    <row r="190" spans="1:24">
      <c r="A190" t="s">
        <v>197</v>
      </c>
      <c r="F190">
        <v>2011</v>
      </c>
      <c r="G190" s="1" t="s">
        <v>200</v>
      </c>
      <c r="H190" s="79" t="s">
        <v>1203</v>
      </c>
      <c r="J190">
        <v>1</v>
      </c>
      <c r="R190" s="5">
        <v>40817</v>
      </c>
      <c r="S190" s="5">
        <v>41334</v>
      </c>
      <c r="T190" s="4">
        <f t="shared" si="13"/>
        <v>6</v>
      </c>
      <c r="U190" t="str">
        <f t="shared" si="9"/>
        <v>Q4-2011</v>
      </c>
      <c r="V190" t="str">
        <f t="shared" si="10"/>
        <v>Q1-2013</v>
      </c>
      <c r="W190" t="s">
        <v>206</v>
      </c>
    </row>
    <row r="191" spans="1:24">
      <c r="A191" t="s">
        <v>520</v>
      </c>
      <c r="F191">
        <v>2011</v>
      </c>
      <c r="G191" s="1" t="s">
        <v>200</v>
      </c>
      <c r="H191" s="79" t="s">
        <v>1203</v>
      </c>
      <c r="J191">
        <v>1</v>
      </c>
      <c r="R191" s="5">
        <v>40787</v>
      </c>
      <c r="S191" s="5">
        <v>41214</v>
      </c>
      <c r="T191" s="4">
        <f t="shared" si="13"/>
        <v>5</v>
      </c>
      <c r="U191" t="str">
        <f t="shared" si="9"/>
        <v>Q3-2011</v>
      </c>
      <c r="V191" t="str">
        <f t="shared" si="10"/>
        <v>Q4-2012</v>
      </c>
      <c r="W191" t="s">
        <v>521</v>
      </c>
    </row>
    <row r="192" spans="1:24">
      <c r="A192" t="s">
        <v>190</v>
      </c>
      <c r="F192">
        <v>2009</v>
      </c>
      <c r="G192" s="1" t="s">
        <v>200</v>
      </c>
      <c r="H192" s="79" t="s">
        <v>1203</v>
      </c>
      <c r="J192">
        <v>1</v>
      </c>
      <c r="R192" s="5">
        <v>40118</v>
      </c>
      <c r="S192" s="5">
        <v>40664</v>
      </c>
      <c r="T192" s="4">
        <f t="shared" si="13"/>
        <v>7</v>
      </c>
      <c r="U192" t="str">
        <f t="shared" si="9"/>
        <v>Q4-2009</v>
      </c>
      <c r="V192" t="str">
        <f t="shared" si="10"/>
        <v>Q2-2011</v>
      </c>
      <c r="W192" t="s">
        <v>206</v>
      </c>
    </row>
    <row r="193" spans="1:23">
      <c r="A193" t="s">
        <v>199</v>
      </c>
      <c r="F193">
        <v>2010</v>
      </c>
      <c r="G193" s="1" t="s">
        <v>200</v>
      </c>
      <c r="H193" s="79" t="s">
        <v>1203</v>
      </c>
      <c r="J193">
        <v>1</v>
      </c>
      <c r="R193" s="5">
        <v>40483</v>
      </c>
      <c r="S193" s="5">
        <v>41153</v>
      </c>
      <c r="T193" s="4">
        <f t="shared" si="13"/>
        <v>8</v>
      </c>
      <c r="U193" t="str">
        <f t="shared" si="9"/>
        <v>Q4-2010</v>
      </c>
      <c r="V193" t="str">
        <f t="shared" si="10"/>
        <v>Q3-2012</v>
      </c>
      <c r="W193" t="s">
        <v>206</v>
      </c>
    </row>
    <row r="194" spans="1:23">
      <c r="A194" t="s">
        <v>195</v>
      </c>
      <c r="F194">
        <v>2010</v>
      </c>
      <c r="G194" s="1" t="s">
        <v>200</v>
      </c>
      <c r="H194" s="79" t="s">
        <v>1203</v>
      </c>
      <c r="J194">
        <v>1</v>
      </c>
      <c r="R194" s="5">
        <v>40238</v>
      </c>
      <c r="S194" s="5">
        <v>41183</v>
      </c>
      <c r="T194" s="4">
        <f t="shared" si="13"/>
        <v>11</v>
      </c>
      <c r="U194" t="str">
        <f t="shared" si="9"/>
        <v>Q1-2010</v>
      </c>
      <c r="V194" t="str">
        <f t="shared" si="10"/>
        <v>Q4-2012</v>
      </c>
      <c r="W194" t="s">
        <v>206</v>
      </c>
    </row>
    <row r="195" spans="1:23">
      <c r="A195" t="s">
        <v>522</v>
      </c>
      <c r="F195">
        <v>2011</v>
      </c>
      <c r="G195" s="1" t="s">
        <v>200</v>
      </c>
      <c r="H195" s="79" t="s">
        <v>1203</v>
      </c>
      <c r="J195">
        <v>1</v>
      </c>
      <c r="R195" s="5">
        <v>41030</v>
      </c>
      <c r="S195" s="5">
        <v>41609</v>
      </c>
      <c r="T195" s="4">
        <f t="shared" si="13"/>
        <v>7</v>
      </c>
      <c r="U195" t="str">
        <f t="shared" si="9"/>
        <v>Q2-2012</v>
      </c>
      <c r="V195" t="str">
        <f t="shared" si="10"/>
        <v>Q4-2013</v>
      </c>
      <c r="W195" t="s">
        <v>523</v>
      </c>
    </row>
    <row r="196" spans="1:23">
      <c r="A196" t="s">
        <v>192</v>
      </c>
      <c r="F196">
        <v>2009</v>
      </c>
      <c r="G196" s="1" t="s">
        <v>200</v>
      </c>
      <c r="H196" s="79" t="s">
        <v>1203</v>
      </c>
      <c r="J196">
        <v>1</v>
      </c>
      <c r="R196" s="5">
        <v>39995</v>
      </c>
      <c r="S196" s="5">
        <v>40664</v>
      </c>
      <c r="T196" s="4">
        <f t="shared" si="13"/>
        <v>8</v>
      </c>
      <c r="U196" t="str">
        <f t="shared" si="9"/>
        <v>Q3-2009</v>
      </c>
      <c r="V196" t="str">
        <f t="shared" si="10"/>
        <v>Q2-2011</v>
      </c>
      <c r="W196" t="s">
        <v>206</v>
      </c>
    </row>
    <row r="197" spans="1:23">
      <c r="A197" t="s">
        <v>1055</v>
      </c>
      <c r="B197" t="s">
        <v>1170</v>
      </c>
      <c r="C197" t="s">
        <v>625</v>
      </c>
      <c r="D197" t="s">
        <v>787</v>
      </c>
      <c r="E197">
        <v>1</v>
      </c>
      <c r="F197">
        <v>2009</v>
      </c>
      <c r="G197" s="1" t="s">
        <v>200</v>
      </c>
      <c r="H197" s="79" t="s">
        <v>1203</v>
      </c>
      <c r="L197">
        <v>1</v>
      </c>
      <c r="R197" s="5">
        <v>39722</v>
      </c>
      <c r="S197" s="5">
        <v>40148</v>
      </c>
      <c r="T197" s="4">
        <f t="shared" si="13"/>
        <v>5</v>
      </c>
      <c r="U197" t="str">
        <f t="shared" si="9"/>
        <v>Q4-2008</v>
      </c>
      <c r="V197" t="str">
        <f t="shared" si="10"/>
        <v>Q4-2009</v>
      </c>
      <c r="W197" t="s">
        <v>862</v>
      </c>
    </row>
    <row r="198" spans="1:23">
      <c r="A198" t="s">
        <v>1055</v>
      </c>
      <c r="B198" t="s">
        <v>1170</v>
      </c>
      <c r="C198" t="s">
        <v>625</v>
      </c>
      <c r="D198" t="s">
        <v>787</v>
      </c>
      <c r="E198">
        <v>1</v>
      </c>
      <c r="F198">
        <v>2011</v>
      </c>
      <c r="G198" s="1" t="s">
        <v>200</v>
      </c>
      <c r="H198" s="79" t="s">
        <v>1203</v>
      </c>
      <c r="N198">
        <v>1</v>
      </c>
      <c r="R198" s="5">
        <v>40878</v>
      </c>
      <c r="S198" s="5">
        <v>40969</v>
      </c>
      <c r="T198" s="4">
        <f t="shared" si="13"/>
        <v>2</v>
      </c>
      <c r="U198" t="str">
        <f t="shared" ref="U198:U261" si="14">"Q" &amp;INT((MONTH(R198)+2)/3) &amp; "-" &amp; YEAR(R198)</f>
        <v>Q4-2011</v>
      </c>
      <c r="V198" t="str">
        <f t="shared" ref="V198:V261" si="15">"Q" &amp;INT((MONTH(S198)+2)/3) &amp; "-" &amp; YEAR(S198)</f>
        <v>Q1-2012</v>
      </c>
      <c r="W198" t="s">
        <v>858</v>
      </c>
    </row>
    <row r="199" spans="1:23">
      <c r="A199" t="s">
        <v>1055</v>
      </c>
      <c r="B199" t="s">
        <v>1170</v>
      </c>
      <c r="C199" t="s">
        <v>625</v>
      </c>
      <c r="D199" t="s">
        <v>787</v>
      </c>
      <c r="E199">
        <v>1</v>
      </c>
      <c r="F199">
        <v>2012</v>
      </c>
      <c r="G199" s="1" t="s">
        <v>200</v>
      </c>
      <c r="H199" s="79" t="s">
        <v>1203</v>
      </c>
      <c r="L199">
        <v>1</v>
      </c>
      <c r="R199" s="5">
        <v>41244</v>
      </c>
      <c r="S199" s="5">
        <v>41306</v>
      </c>
      <c r="T199" s="4">
        <v>2</v>
      </c>
      <c r="U199" t="str">
        <f t="shared" si="14"/>
        <v>Q4-2012</v>
      </c>
      <c r="V199" t="str">
        <f t="shared" si="15"/>
        <v>Q1-2013</v>
      </c>
      <c r="W199" t="s">
        <v>861</v>
      </c>
    </row>
    <row r="200" spans="1:23">
      <c r="A200" t="s">
        <v>1055</v>
      </c>
      <c r="B200" t="s">
        <v>1170</v>
      </c>
      <c r="C200" t="s">
        <v>625</v>
      </c>
      <c r="D200" t="s">
        <v>787</v>
      </c>
      <c r="E200">
        <v>1</v>
      </c>
      <c r="F200">
        <v>2016</v>
      </c>
      <c r="G200" s="1" t="s">
        <v>200</v>
      </c>
      <c r="H200" s="79" t="s">
        <v>1203</v>
      </c>
      <c r="L200">
        <v>1</v>
      </c>
      <c r="R200" s="5">
        <v>42705</v>
      </c>
      <c r="S200" s="5">
        <v>42917</v>
      </c>
      <c r="T200" s="4">
        <v>4</v>
      </c>
      <c r="U200" t="str">
        <f t="shared" si="14"/>
        <v>Q4-2016</v>
      </c>
      <c r="V200" t="str">
        <f t="shared" si="15"/>
        <v>Q3-2017</v>
      </c>
      <c r="W200" t="s">
        <v>208</v>
      </c>
    </row>
    <row r="201" spans="1:23">
      <c r="A201" t="s">
        <v>198</v>
      </c>
      <c r="C201" t="s">
        <v>623</v>
      </c>
      <c r="E201" s="7"/>
      <c r="F201">
        <v>2011</v>
      </c>
      <c r="G201" s="1" t="s">
        <v>200</v>
      </c>
      <c r="H201" s="79" t="s">
        <v>1203</v>
      </c>
      <c r="J201">
        <v>1</v>
      </c>
      <c r="R201" s="5">
        <v>40848</v>
      </c>
      <c r="S201" s="5">
        <v>41091</v>
      </c>
      <c r="T201" s="4">
        <f t="shared" ref="T201:T220" si="16">FLOOR(((YEAR(S201)*12+MONTH(S201))-(YEAR(R201)*12+MONTH(R201)))/3,1)+1</f>
        <v>3</v>
      </c>
      <c r="U201" t="str">
        <f t="shared" si="14"/>
        <v>Q4-2011</v>
      </c>
      <c r="V201" t="str">
        <f t="shared" si="15"/>
        <v>Q3-2012</v>
      </c>
      <c r="W201" t="s">
        <v>206</v>
      </c>
    </row>
    <row r="202" spans="1:23" ht="16" customHeight="1">
      <c r="A202" t="s">
        <v>1058</v>
      </c>
      <c r="C202" t="s">
        <v>624</v>
      </c>
      <c r="D202" t="s">
        <v>786</v>
      </c>
      <c r="E202">
        <v>1</v>
      </c>
      <c r="F202">
        <v>2009</v>
      </c>
      <c r="G202" s="1" t="s">
        <v>200</v>
      </c>
      <c r="H202" s="79" t="s">
        <v>1203</v>
      </c>
      <c r="L202">
        <v>1</v>
      </c>
      <c r="N202">
        <v>1</v>
      </c>
      <c r="R202" s="5">
        <v>39722</v>
      </c>
      <c r="S202" s="5">
        <v>40148</v>
      </c>
      <c r="T202" s="4">
        <f t="shared" si="16"/>
        <v>5</v>
      </c>
      <c r="U202" t="str">
        <f t="shared" si="14"/>
        <v>Q4-2008</v>
      </c>
      <c r="V202" t="str">
        <f t="shared" si="15"/>
        <v>Q4-2009</v>
      </c>
      <c r="W202" t="s">
        <v>170</v>
      </c>
    </row>
    <row r="203" spans="1:23">
      <c r="A203" t="s">
        <v>1080</v>
      </c>
      <c r="C203" t="s">
        <v>1081</v>
      </c>
      <c r="E203">
        <v>1</v>
      </c>
      <c r="F203">
        <v>2006</v>
      </c>
      <c r="G203" s="1" t="s">
        <v>200</v>
      </c>
      <c r="H203" s="79" t="s">
        <v>1203</v>
      </c>
      <c r="P203">
        <v>1</v>
      </c>
      <c r="R203" s="5">
        <v>38718</v>
      </c>
      <c r="S203" s="5">
        <v>39173</v>
      </c>
      <c r="T203" s="4">
        <f t="shared" si="16"/>
        <v>6</v>
      </c>
      <c r="U203" t="str">
        <f t="shared" si="14"/>
        <v>Q1-2006</v>
      </c>
      <c r="V203" t="str">
        <f t="shared" si="15"/>
        <v>Q2-2007</v>
      </c>
      <c r="W203" t="s">
        <v>1095</v>
      </c>
    </row>
    <row r="204" spans="1:23">
      <c r="A204" t="s">
        <v>211</v>
      </c>
      <c r="F204">
        <v>2017</v>
      </c>
      <c r="G204" s="1" t="s">
        <v>200</v>
      </c>
      <c r="H204" s="79" t="s">
        <v>1203</v>
      </c>
      <c r="J204">
        <v>1</v>
      </c>
      <c r="R204" s="5">
        <v>42795</v>
      </c>
      <c r="S204" s="5">
        <v>42917</v>
      </c>
      <c r="T204" s="4">
        <f t="shared" si="16"/>
        <v>2</v>
      </c>
      <c r="U204" t="str">
        <f t="shared" si="14"/>
        <v>Q1-2017</v>
      </c>
      <c r="V204" t="str">
        <f t="shared" si="15"/>
        <v>Q3-2017</v>
      </c>
      <c r="W204" t="s">
        <v>212</v>
      </c>
    </row>
    <row r="205" spans="1:23">
      <c r="A205" t="s">
        <v>214</v>
      </c>
      <c r="F205">
        <v>2013</v>
      </c>
      <c r="G205" s="1" t="s">
        <v>200</v>
      </c>
      <c r="H205" s="79" t="s">
        <v>1203</v>
      </c>
      <c r="J205">
        <v>1</v>
      </c>
      <c r="R205" s="5">
        <v>41579</v>
      </c>
      <c r="S205" s="5">
        <v>42186</v>
      </c>
      <c r="T205" s="4">
        <f t="shared" si="16"/>
        <v>7</v>
      </c>
      <c r="U205" t="str">
        <f t="shared" si="14"/>
        <v>Q4-2013</v>
      </c>
      <c r="V205" t="str">
        <f t="shared" si="15"/>
        <v>Q3-2015</v>
      </c>
      <c r="W205" t="s">
        <v>206</v>
      </c>
    </row>
    <row r="206" spans="1:23">
      <c r="A206" t="s">
        <v>193</v>
      </c>
      <c r="F206">
        <v>2011</v>
      </c>
      <c r="G206" s="1" t="s">
        <v>200</v>
      </c>
      <c r="H206" s="79" t="s">
        <v>1203</v>
      </c>
      <c r="M206">
        <v>1</v>
      </c>
      <c r="Q206">
        <v>1</v>
      </c>
      <c r="R206" s="5">
        <v>40603</v>
      </c>
      <c r="S206" s="5">
        <v>40969</v>
      </c>
      <c r="T206" s="4">
        <f t="shared" si="16"/>
        <v>5</v>
      </c>
      <c r="U206" t="str">
        <f t="shared" si="14"/>
        <v>Q1-2011</v>
      </c>
      <c r="V206" t="str">
        <f t="shared" si="15"/>
        <v>Q1-2012</v>
      </c>
      <c r="W206" t="s">
        <v>207</v>
      </c>
    </row>
    <row r="207" spans="1:23">
      <c r="A207" t="s">
        <v>1059</v>
      </c>
      <c r="B207" t="s">
        <v>1172</v>
      </c>
      <c r="C207" t="s">
        <v>720</v>
      </c>
      <c r="D207" t="s">
        <v>785</v>
      </c>
      <c r="E207">
        <v>1</v>
      </c>
      <c r="F207">
        <v>2009</v>
      </c>
      <c r="G207" s="1" t="s">
        <v>200</v>
      </c>
      <c r="H207" s="79" t="s">
        <v>1203</v>
      </c>
      <c r="L207">
        <v>1</v>
      </c>
      <c r="N207">
        <v>1</v>
      </c>
      <c r="R207" s="5">
        <v>39722</v>
      </c>
      <c r="S207" s="5">
        <v>39995</v>
      </c>
      <c r="T207" s="4">
        <f t="shared" si="16"/>
        <v>4</v>
      </c>
      <c r="U207" t="str">
        <f t="shared" si="14"/>
        <v>Q4-2008</v>
      </c>
      <c r="V207" t="str">
        <f t="shared" si="15"/>
        <v>Q3-2009</v>
      </c>
      <c r="W207" t="s">
        <v>170</v>
      </c>
    </row>
    <row r="208" spans="1:23">
      <c r="A208" t="s">
        <v>533</v>
      </c>
      <c r="F208">
        <v>2010</v>
      </c>
      <c r="G208" s="1" t="s">
        <v>200</v>
      </c>
      <c r="H208" s="79" t="s">
        <v>1203</v>
      </c>
      <c r="J208">
        <v>1</v>
      </c>
      <c r="R208" s="5">
        <v>40513</v>
      </c>
      <c r="S208" s="5">
        <v>41244</v>
      </c>
      <c r="T208" s="4">
        <f t="shared" si="16"/>
        <v>9</v>
      </c>
      <c r="U208" t="str">
        <f t="shared" si="14"/>
        <v>Q4-2010</v>
      </c>
      <c r="V208" t="str">
        <f t="shared" si="15"/>
        <v>Q4-2012</v>
      </c>
      <c r="W208" t="s">
        <v>534</v>
      </c>
    </row>
    <row r="209" spans="1:25">
      <c r="A209" t="s">
        <v>189</v>
      </c>
      <c r="B209" t="s">
        <v>1171</v>
      </c>
      <c r="C209" t="s">
        <v>937</v>
      </c>
      <c r="D209" t="s">
        <v>714</v>
      </c>
      <c r="E209">
        <v>1</v>
      </c>
      <c r="F209">
        <v>2009</v>
      </c>
      <c r="G209" s="1" t="s">
        <v>200</v>
      </c>
      <c r="H209" s="79" t="s">
        <v>1203</v>
      </c>
      <c r="L209">
        <v>1</v>
      </c>
      <c r="P209">
        <v>1</v>
      </c>
      <c r="R209" s="5">
        <v>39722</v>
      </c>
      <c r="S209" s="5">
        <v>40057</v>
      </c>
      <c r="T209" s="4">
        <f t="shared" si="16"/>
        <v>4</v>
      </c>
      <c r="U209" t="str">
        <f t="shared" si="14"/>
        <v>Q4-2008</v>
      </c>
      <c r="V209" t="str">
        <f t="shared" si="15"/>
        <v>Q3-2009</v>
      </c>
      <c r="W209" t="s">
        <v>1065</v>
      </c>
    </row>
    <row r="210" spans="1:25">
      <c r="A210" t="s">
        <v>1064</v>
      </c>
      <c r="F210">
        <v>2011</v>
      </c>
      <c r="G210" s="1" t="s">
        <v>200</v>
      </c>
      <c r="H210" s="79" t="s">
        <v>1203</v>
      </c>
      <c r="Q210">
        <v>1</v>
      </c>
      <c r="R210" s="5">
        <v>40817</v>
      </c>
      <c r="S210" s="5">
        <v>43132</v>
      </c>
      <c r="T210" s="4">
        <f t="shared" si="16"/>
        <v>26</v>
      </c>
      <c r="U210" t="str">
        <f t="shared" si="14"/>
        <v>Q4-2011</v>
      </c>
      <c r="V210" t="str">
        <f t="shared" si="15"/>
        <v>Q1-2018</v>
      </c>
      <c r="W210" t="s">
        <v>207</v>
      </c>
    </row>
    <row r="211" spans="1:25" s="7" customFormat="1">
      <c r="A211" t="s">
        <v>191</v>
      </c>
      <c r="B211"/>
      <c r="C211"/>
      <c r="D211"/>
      <c r="E211"/>
      <c r="F211">
        <v>2010</v>
      </c>
      <c r="G211" s="1" t="s">
        <v>200</v>
      </c>
      <c r="H211" s="79" t="s">
        <v>1203</v>
      </c>
      <c r="I211"/>
      <c r="J211">
        <v>1</v>
      </c>
      <c r="K211"/>
      <c r="L211"/>
      <c r="M211"/>
      <c r="N211"/>
      <c r="O211"/>
      <c r="P211"/>
      <c r="Q211"/>
      <c r="R211" s="5">
        <v>40299</v>
      </c>
      <c r="S211" s="5">
        <v>40664</v>
      </c>
      <c r="T211" s="4">
        <f t="shared" si="16"/>
        <v>5</v>
      </c>
      <c r="U211" t="str">
        <f t="shared" si="14"/>
        <v>Q2-2010</v>
      </c>
      <c r="V211" t="str">
        <f t="shared" si="15"/>
        <v>Q2-2011</v>
      </c>
      <c r="W211" t="s">
        <v>205</v>
      </c>
      <c r="Y211"/>
    </row>
    <row r="212" spans="1:25">
      <c r="A212" t="s">
        <v>509</v>
      </c>
      <c r="F212">
        <v>2009</v>
      </c>
      <c r="G212" s="1" t="s">
        <v>200</v>
      </c>
      <c r="H212" s="79" t="s">
        <v>1203</v>
      </c>
      <c r="J212">
        <v>1</v>
      </c>
      <c r="R212" s="5">
        <v>39934</v>
      </c>
      <c r="S212" s="5">
        <v>41395</v>
      </c>
      <c r="T212" s="4">
        <f t="shared" si="16"/>
        <v>17</v>
      </c>
      <c r="U212" t="str">
        <f t="shared" si="14"/>
        <v>Q2-2009</v>
      </c>
      <c r="V212" t="str">
        <f t="shared" si="15"/>
        <v>Q2-2013</v>
      </c>
      <c r="W212" t="s">
        <v>206</v>
      </c>
    </row>
    <row r="213" spans="1:25">
      <c r="A213" t="s">
        <v>518</v>
      </c>
      <c r="C213" t="s">
        <v>965</v>
      </c>
      <c r="D213" s="7"/>
      <c r="F213">
        <v>2011</v>
      </c>
      <c r="G213" s="1" t="s">
        <v>200</v>
      </c>
      <c r="H213" s="79" t="s">
        <v>1203</v>
      </c>
      <c r="P213">
        <v>1</v>
      </c>
      <c r="R213" s="5">
        <v>41000</v>
      </c>
      <c r="S213" s="5">
        <v>41883</v>
      </c>
      <c r="T213" s="4">
        <f t="shared" si="16"/>
        <v>10</v>
      </c>
      <c r="U213" t="str">
        <f t="shared" si="14"/>
        <v>Q2-2012</v>
      </c>
      <c r="V213" t="str">
        <f t="shared" si="15"/>
        <v>Q3-2014</v>
      </c>
      <c r="W213" t="s">
        <v>519</v>
      </c>
      <c r="Y213" s="7"/>
    </row>
    <row r="214" spans="1:25">
      <c r="A214" t="s">
        <v>210</v>
      </c>
      <c r="F214">
        <v>2017</v>
      </c>
      <c r="G214" s="1" t="s">
        <v>200</v>
      </c>
      <c r="H214" s="79" t="s">
        <v>1203</v>
      </c>
      <c r="J214">
        <v>1</v>
      </c>
      <c r="R214" s="5">
        <v>42795</v>
      </c>
      <c r="S214" s="5">
        <v>42979</v>
      </c>
      <c r="T214" s="4">
        <f t="shared" si="16"/>
        <v>3</v>
      </c>
      <c r="U214" t="str">
        <f t="shared" si="14"/>
        <v>Q1-2017</v>
      </c>
      <c r="V214" t="str">
        <f t="shared" si="15"/>
        <v>Q3-2017</v>
      </c>
      <c r="W214" t="s">
        <v>212</v>
      </c>
    </row>
    <row r="215" spans="1:25">
      <c r="A215" t="s">
        <v>721</v>
      </c>
      <c r="F215">
        <v>2018</v>
      </c>
      <c r="G215" s="1" t="s">
        <v>217</v>
      </c>
      <c r="H215" s="79" t="s">
        <v>1204</v>
      </c>
      <c r="J215">
        <v>1</v>
      </c>
      <c r="R215" s="5">
        <v>43132</v>
      </c>
      <c r="S215" s="5">
        <v>43132</v>
      </c>
      <c r="T215" s="4">
        <f t="shared" si="16"/>
        <v>1</v>
      </c>
      <c r="U215" t="str">
        <f t="shared" si="14"/>
        <v>Q1-2018</v>
      </c>
      <c r="V215" t="str">
        <f t="shared" si="15"/>
        <v>Q1-2018</v>
      </c>
      <c r="W215" s="8" t="s">
        <v>222</v>
      </c>
    </row>
    <row r="216" spans="1:25">
      <c r="A216" t="s">
        <v>219</v>
      </c>
      <c r="F216">
        <v>2008</v>
      </c>
      <c r="G216" s="1" t="s">
        <v>217</v>
      </c>
      <c r="H216" s="79" t="s">
        <v>1204</v>
      </c>
      <c r="K216">
        <v>1</v>
      </c>
      <c r="L216">
        <v>1</v>
      </c>
      <c r="M216">
        <v>1</v>
      </c>
      <c r="R216" s="5">
        <v>39753</v>
      </c>
      <c r="S216" s="5">
        <v>40391</v>
      </c>
      <c r="T216" s="4">
        <f t="shared" si="16"/>
        <v>8</v>
      </c>
      <c r="U216" t="str">
        <f t="shared" si="14"/>
        <v>Q4-2008</v>
      </c>
      <c r="V216" t="str">
        <f t="shared" si="15"/>
        <v>Q3-2010</v>
      </c>
      <c r="W216" t="s">
        <v>976</v>
      </c>
    </row>
    <row r="217" spans="1:25">
      <c r="A217" t="s">
        <v>517</v>
      </c>
      <c r="C217" t="s">
        <v>938</v>
      </c>
      <c r="D217" t="s">
        <v>715</v>
      </c>
      <c r="E217" s="8"/>
      <c r="F217">
        <v>2011</v>
      </c>
      <c r="G217" s="1" t="s">
        <v>217</v>
      </c>
      <c r="H217" s="79" t="s">
        <v>1204</v>
      </c>
      <c r="I217">
        <v>1</v>
      </c>
      <c r="J217">
        <v>1</v>
      </c>
      <c r="K217">
        <v>1</v>
      </c>
      <c r="M217">
        <v>1</v>
      </c>
      <c r="R217" s="5">
        <v>40848</v>
      </c>
      <c r="S217" s="5">
        <v>41030</v>
      </c>
      <c r="T217" s="4">
        <f t="shared" si="16"/>
        <v>3</v>
      </c>
      <c r="U217" t="str">
        <f t="shared" si="14"/>
        <v>Q4-2011</v>
      </c>
      <c r="V217" t="str">
        <f t="shared" si="15"/>
        <v>Q2-2012</v>
      </c>
      <c r="W217" t="s">
        <v>516</v>
      </c>
    </row>
    <row r="218" spans="1:25">
      <c r="A218" t="s">
        <v>362</v>
      </c>
      <c r="F218">
        <v>2009</v>
      </c>
      <c r="G218" s="1" t="s">
        <v>217</v>
      </c>
      <c r="H218" s="79" t="s">
        <v>1204</v>
      </c>
      <c r="L218">
        <v>1</v>
      </c>
      <c r="R218" s="5">
        <v>39814</v>
      </c>
      <c r="S218" s="5">
        <v>40238</v>
      </c>
      <c r="T218" s="4">
        <f t="shared" si="16"/>
        <v>5</v>
      </c>
      <c r="U218" t="str">
        <f t="shared" si="14"/>
        <v>Q1-2009</v>
      </c>
      <c r="V218" t="str">
        <f t="shared" si="15"/>
        <v>Q1-2010</v>
      </c>
      <c r="W218" t="s">
        <v>363</v>
      </c>
    </row>
    <row r="219" spans="1:25">
      <c r="A219" t="s">
        <v>231</v>
      </c>
      <c r="F219">
        <v>2016</v>
      </c>
      <c r="G219" s="1" t="s">
        <v>217</v>
      </c>
      <c r="H219" s="79" t="s">
        <v>1204</v>
      </c>
      <c r="J219">
        <v>1</v>
      </c>
      <c r="R219" s="5">
        <v>42339</v>
      </c>
      <c r="S219" s="5">
        <v>42430</v>
      </c>
      <c r="T219" s="4">
        <f t="shared" si="16"/>
        <v>2</v>
      </c>
      <c r="U219" t="str">
        <f t="shared" si="14"/>
        <v>Q4-2015</v>
      </c>
      <c r="V219" t="str">
        <f t="shared" si="15"/>
        <v>Q1-2016</v>
      </c>
      <c r="W219" t="s">
        <v>232</v>
      </c>
    </row>
    <row r="220" spans="1:25">
      <c r="A220" t="s">
        <v>225</v>
      </c>
      <c r="C220" t="s">
        <v>939</v>
      </c>
      <c r="D220" t="s">
        <v>716</v>
      </c>
      <c r="E220" s="8"/>
      <c r="F220">
        <v>2012</v>
      </c>
      <c r="G220" s="1" t="s">
        <v>223</v>
      </c>
      <c r="H220" s="79" t="s">
        <v>1205</v>
      </c>
      <c r="J220">
        <v>1</v>
      </c>
      <c r="K220">
        <v>1</v>
      </c>
      <c r="R220" s="5">
        <v>40848</v>
      </c>
      <c r="S220" s="5">
        <v>40969</v>
      </c>
      <c r="T220" s="4">
        <f t="shared" si="16"/>
        <v>2</v>
      </c>
      <c r="U220" t="str">
        <f t="shared" si="14"/>
        <v>Q4-2011</v>
      </c>
      <c r="V220" t="str">
        <f t="shared" si="15"/>
        <v>Q1-2012</v>
      </c>
      <c r="W220" t="s">
        <v>970</v>
      </c>
    </row>
    <row r="221" spans="1:25">
      <c r="A221" t="s">
        <v>718</v>
      </c>
      <c r="C221" t="s">
        <v>940</v>
      </c>
      <c r="D221" t="s">
        <v>717</v>
      </c>
      <c r="E221">
        <v>1</v>
      </c>
      <c r="F221">
        <v>2013</v>
      </c>
      <c r="G221" s="1" t="s">
        <v>223</v>
      </c>
      <c r="H221" s="79" t="s">
        <v>1205</v>
      </c>
      <c r="J221">
        <v>1</v>
      </c>
      <c r="L221">
        <v>1</v>
      </c>
      <c r="R221" s="5">
        <v>41244</v>
      </c>
      <c r="S221" s="5">
        <v>41306</v>
      </c>
      <c r="T221" s="4">
        <v>2</v>
      </c>
      <c r="U221" t="str">
        <f t="shared" si="14"/>
        <v>Q4-2012</v>
      </c>
      <c r="V221" t="str">
        <f t="shared" si="15"/>
        <v>Q1-2013</v>
      </c>
      <c r="W221" t="s">
        <v>364</v>
      </c>
      <c r="Y221" t="s">
        <v>227</v>
      </c>
    </row>
    <row r="222" spans="1:25">
      <c r="A222" t="s">
        <v>1013</v>
      </c>
      <c r="C222" t="s">
        <v>1014</v>
      </c>
      <c r="D222" t="s">
        <v>1015</v>
      </c>
      <c r="F222">
        <v>2014</v>
      </c>
      <c r="G222" s="1" t="s">
        <v>240</v>
      </c>
      <c r="H222" s="79" t="s">
        <v>1206</v>
      </c>
      <c r="K222">
        <v>1</v>
      </c>
      <c r="R222" s="5">
        <v>41640</v>
      </c>
      <c r="S222" s="5">
        <v>41913</v>
      </c>
      <c r="T222" s="4">
        <f>FLOOR(((YEAR(S222)*12+MONTH(S222))-(YEAR(R222)*12+MONTH(R222)))/3,1)+1</f>
        <v>4</v>
      </c>
      <c r="U222" t="str">
        <f t="shared" si="14"/>
        <v>Q1-2014</v>
      </c>
      <c r="V222" t="str">
        <f t="shared" si="15"/>
        <v>Q4-2014</v>
      </c>
      <c r="W222" t="s">
        <v>1027</v>
      </c>
    </row>
    <row r="223" spans="1:25">
      <c r="A223" t="s">
        <v>239</v>
      </c>
      <c r="C223" t="s">
        <v>941</v>
      </c>
      <c r="D223" t="s">
        <v>719</v>
      </c>
      <c r="E223" s="7"/>
      <c r="F223">
        <v>2008</v>
      </c>
      <c r="G223" s="1" t="s">
        <v>240</v>
      </c>
      <c r="H223" s="79" t="s">
        <v>1206</v>
      </c>
      <c r="L223">
        <v>1</v>
      </c>
      <c r="M223">
        <v>1</v>
      </c>
      <c r="R223" s="5">
        <v>39692</v>
      </c>
      <c r="S223" s="5">
        <v>39783</v>
      </c>
      <c r="T223" s="4">
        <f>FLOOR(((YEAR(S223)*12+MONTH(S223))-(YEAR(R223)*12+MONTH(R223)))/3,1)+1</f>
        <v>2</v>
      </c>
      <c r="U223" t="str">
        <f t="shared" si="14"/>
        <v>Q3-2008</v>
      </c>
      <c r="V223" t="str">
        <f t="shared" si="15"/>
        <v>Q4-2008</v>
      </c>
      <c r="W223" t="s">
        <v>863</v>
      </c>
    </row>
    <row r="224" spans="1:25">
      <c r="A224" t="s">
        <v>239</v>
      </c>
      <c r="C224" t="s">
        <v>941</v>
      </c>
      <c r="D224" t="s">
        <v>719</v>
      </c>
      <c r="E224" s="7"/>
      <c r="F224">
        <v>2010</v>
      </c>
      <c r="G224" s="1" t="s">
        <v>240</v>
      </c>
      <c r="H224" s="79" t="s">
        <v>1206</v>
      </c>
      <c r="P224">
        <v>1</v>
      </c>
      <c r="R224" s="5">
        <v>40452</v>
      </c>
      <c r="S224" s="5">
        <v>40452</v>
      </c>
      <c r="T224" s="4">
        <f>FLOOR(((YEAR(S224)*12+MONTH(S224))-(YEAR(R224)*12+MONTH(R224)))/3,1)+1</f>
        <v>1</v>
      </c>
      <c r="U224" t="str">
        <f t="shared" si="14"/>
        <v>Q4-2010</v>
      </c>
      <c r="V224" t="str">
        <f t="shared" si="15"/>
        <v>Q4-2010</v>
      </c>
      <c r="W224" t="s">
        <v>864</v>
      </c>
    </row>
    <row r="225" spans="1:24">
      <c r="A225" t="s">
        <v>436</v>
      </c>
      <c r="B225" t="s">
        <v>1173</v>
      </c>
      <c r="C225" t="s">
        <v>626</v>
      </c>
      <c r="D225" t="s">
        <v>788</v>
      </c>
      <c r="E225">
        <v>1</v>
      </c>
      <c r="F225">
        <v>2007</v>
      </c>
      <c r="G225" s="1" t="s">
        <v>242</v>
      </c>
      <c r="H225" s="79" t="s">
        <v>1207</v>
      </c>
      <c r="L225">
        <v>1</v>
      </c>
      <c r="P225">
        <v>1</v>
      </c>
      <c r="R225" s="5">
        <v>39356</v>
      </c>
      <c r="S225" s="5">
        <v>39356</v>
      </c>
      <c r="T225" s="4">
        <f>FLOOR(((YEAR(S225)*12+MONTH(S225))-(YEAR(R225)*12+MONTH(R225)))/3,1)+1</f>
        <v>1</v>
      </c>
      <c r="U225" t="str">
        <f t="shared" si="14"/>
        <v>Q4-2007</v>
      </c>
      <c r="V225" t="str">
        <f t="shared" si="15"/>
        <v>Q4-2007</v>
      </c>
      <c r="W225" t="s">
        <v>865</v>
      </c>
    </row>
    <row r="226" spans="1:24">
      <c r="A226" t="s">
        <v>436</v>
      </c>
      <c r="B226" t="s">
        <v>1173</v>
      </c>
      <c r="C226" t="s">
        <v>626</v>
      </c>
      <c r="D226" t="s">
        <v>788</v>
      </c>
      <c r="E226">
        <v>1</v>
      </c>
      <c r="F226">
        <v>2009</v>
      </c>
      <c r="G226" s="1" t="s">
        <v>242</v>
      </c>
      <c r="H226" s="79" t="s">
        <v>1207</v>
      </c>
      <c r="L226">
        <v>1</v>
      </c>
      <c r="R226" s="5">
        <v>39995</v>
      </c>
      <c r="S226" s="5">
        <v>40179</v>
      </c>
      <c r="T226" s="4">
        <f>FLOOR(((YEAR(S226)*12+MONTH(S226))-(YEAR(R226)*12+MONTH(R226)))/3,1)+1</f>
        <v>3</v>
      </c>
      <c r="U226" t="str">
        <f t="shared" si="14"/>
        <v>Q3-2009</v>
      </c>
      <c r="V226" t="str">
        <f t="shared" si="15"/>
        <v>Q1-2010</v>
      </c>
      <c r="W226" t="s">
        <v>866</v>
      </c>
    </row>
    <row r="227" spans="1:24">
      <c r="A227" t="s">
        <v>436</v>
      </c>
      <c r="B227" t="s">
        <v>1173</v>
      </c>
      <c r="C227" t="s">
        <v>626</v>
      </c>
      <c r="D227" t="s">
        <v>788</v>
      </c>
      <c r="E227">
        <v>1</v>
      </c>
      <c r="F227">
        <v>2008</v>
      </c>
      <c r="G227" s="1" t="s">
        <v>242</v>
      </c>
      <c r="H227" s="79" t="s">
        <v>1207</v>
      </c>
      <c r="L227">
        <v>1</v>
      </c>
      <c r="M227">
        <v>1</v>
      </c>
      <c r="R227" s="5">
        <v>39692</v>
      </c>
      <c r="S227" s="5">
        <v>39753</v>
      </c>
      <c r="T227" s="4">
        <v>2</v>
      </c>
      <c r="U227" t="str">
        <f t="shared" si="14"/>
        <v>Q3-2008</v>
      </c>
      <c r="V227" t="str">
        <f t="shared" si="15"/>
        <v>Q4-2008</v>
      </c>
      <c r="W227" t="s">
        <v>1060</v>
      </c>
    </row>
    <row r="228" spans="1:24">
      <c r="A228" t="s">
        <v>593</v>
      </c>
      <c r="F228">
        <v>2008</v>
      </c>
      <c r="G228" s="1" t="s">
        <v>242</v>
      </c>
      <c r="H228" s="79" t="s">
        <v>1207</v>
      </c>
      <c r="L228">
        <v>1</v>
      </c>
      <c r="R228" s="5">
        <v>39722</v>
      </c>
      <c r="S228" s="5">
        <v>39722</v>
      </c>
      <c r="T228" s="4">
        <f t="shared" ref="T228:T259" si="17">FLOOR(((YEAR(S228)*12+MONTH(S228))-(YEAR(R228)*12+MONTH(R228)))/3,1)+1</f>
        <v>1</v>
      </c>
      <c r="U228" t="str">
        <f t="shared" si="14"/>
        <v>Q4-2008</v>
      </c>
      <c r="V228" t="str">
        <f t="shared" si="15"/>
        <v>Q4-2008</v>
      </c>
      <c r="W228" t="s">
        <v>234</v>
      </c>
      <c r="X228" t="s">
        <v>789</v>
      </c>
    </row>
    <row r="229" spans="1:24">
      <c r="A229" t="s">
        <v>252</v>
      </c>
      <c r="F229">
        <v>2009</v>
      </c>
      <c r="G229" s="1" t="s">
        <v>242</v>
      </c>
      <c r="H229" s="79" t="s">
        <v>1207</v>
      </c>
      <c r="I229">
        <v>1</v>
      </c>
      <c r="R229" s="5">
        <v>40087</v>
      </c>
      <c r="S229" s="5">
        <v>40087</v>
      </c>
      <c r="T229" s="4">
        <f t="shared" si="17"/>
        <v>1</v>
      </c>
      <c r="U229" t="str">
        <f t="shared" si="14"/>
        <v>Q4-2009</v>
      </c>
      <c r="V229" t="str">
        <f t="shared" si="15"/>
        <v>Q4-2009</v>
      </c>
      <c r="W229" t="s">
        <v>253</v>
      </c>
    </row>
    <row r="230" spans="1:24">
      <c r="A230" t="s">
        <v>1021</v>
      </c>
      <c r="E230" s="7"/>
      <c r="F230">
        <v>2009</v>
      </c>
      <c r="G230" s="1" t="s">
        <v>242</v>
      </c>
      <c r="H230" s="79" t="s">
        <v>1207</v>
      </c>
      <c r="K230">
        <v>1</v>
      </c>
      <c r="R230" s="5">
        <v>39448</v>
      </c>
      <c r="S230" s="5">
        <v>39783</v>
      </c>
      <c r="T230" s="4">
        <f t="shared" si="17"/>
        <v>4</v>
      </c>
      <c r="U230" t="str">
        <f t="shared" si="14"/>
        <v>Q1-2008</v>
      </c>
      <c r="V230" t="str">
        <f t="shared" si="15"/>
        <v>Q4-2008</v>
      </c>
      <c r="W230" t="s">
        <v>1024</v>
      </c>
    </row>
    <row r="231" spans="1:24">
      <c r="A231" t="s">
        <v>1025</v>
      </c>
      <c r="E231" s="7"/>
      <c r="F231">
        <v>2008</v>
      </c>
      <c r="G231" s="1" t="s">
        <v>242</v>
      </c>
      <c r="H231" s="79" t="s">
        <v>1207</v>
      </c>
      <c r="J231">
        <v>1</v>
      </c>
      <c r="K231">
        <v>1</v>
      </c>
      <c r="R231" s="5">
        <v>39783</v>
      </c>
      <c r="S231" s="5">
        <v>39783</v>
      </c>
      <c r="T231" s="4">
        <f t="shared" si="17"/>
        <v>1</v>
      </c>
      <c r="U231" t="str">
        <f t="shared" si="14"/>
        <v>Q4-2008</v>
      </c>
      <c r="V231" t="str">
        <f t="shared" si="15"/>
        <v>Q4-2008</v>
      </c>
      <c r="W231" t="s">
        <v>1026</v>
      </c>
    </row>
    <row r="232" spans="1:24">
      <c r="A232" t="s">
        <v>251</v>
      </c>
      <c r="B232" t="s">
        <v>1175</v>
      </c>
      <c r="C232" t="s">
        <v>627</v>
      </c>
      <c r="D232" t="s">
        <v>790</v>
      </c>
      <c r="E232">
        <v>1</v>
      </c>
      <c r="F232">
        <v>2008</v>
      </c>
      <c r="G232" s="1" t="s">
        <v>242</v>
      </c>
      <c r="H232" s="79" t="s">
        <v>1207</v>
      </c>
      <c r="L232">
        <v>1</v>
      </c>
      <c r="R232" s="5">
        <v>39722</v>
      </c>
      <c r="S232" s="5">
        <v>39814</v>
      </c>
      <c r="T232" s="4">
        <f t="shared" si="17"/>
        <v>2</v>
      </c>
      <c r="U232" t="str">
        <f t="shared" si="14"/>
        <v>Q4-2008</v>
      </c>
      <c r="V232" t="str">
        <f t="shared" si="15"/>
        <v>Q1-2009</v>
      </c>
      <c r="W232" t="s">
        <v>867</v>
      </c>
    </row>
    <row r="233" spans="1:24">
      <c r="A233" t="s">
        <v>243</v>
      </c>
      <c r="F233">
        <v>2008</v>
      </c>
      <c r="G233" s="1" t="s">
        <v>242</v>
      </c>
      <c r="H233" s="79" t="s">
        <v>1207</v>
      </c>
      <c r="N233">
        <v>1</v>
      </c>
      <c r="R233" s="5">
        <v>39722</v>
      </c>
      <c r="S233" s="5">
        <v>39904</v>
      </c>
      <c r="T233" s="4">
        <f t="shared" si="17"/>
        <v>3</v>
      </c>
      <c r="U233" t="str">
        <f t="shared" si="14"/>
        <v>Q4-2008</v>
      </c>
      <c r="V233" t="str">
        <f t="shared" si="15"/>
        <v>Q2-2009</v>
      </c>
      <c r="W233" t="s">
        <v>244</v>
      </c>
    </row>
    <row r="234" spans="1:24">
      <c r="A234" t="s">
        <v>245</v>
      </c>
      <c r="C234" t="s">
        <v>650</v>
      </c>
      <c r="D234" t="s">
        <v>791</v>
      </c>
      <c r="E234">
        <v>1</v>
      </c>
      <c r="F234">
        <v>2008</v>
      </c>
      <c r="G234" s="1" t="s">
        <v>242</v>
      </c>
      <c r="H234" s="79" t="s">
        <v>1207</v>
      </c>
      <c r="N234">
        <v>1</v>
      </c>
      <c r="R234" s="5">
        <v>39722</v>
      </c>
      <c r="S234" s="5">
        <v>39753</v>
      </c>
      <c r="T234" s="4">
        <f t="shared" si="17"/>
        <v>1</v>
      </c>
      <c r="U234" t="str">
        <f t="shared" si="14"/>
        <v>Q4-2008</v>
      </c>
      <c r="V234" t="str">
        <f t="shared" si="15"/>
        <v>Q4-2008</v>
      </c>
      <c r="W234" t="s">
        <v>170</v>
      </c>
    </row>
    <row r="235" spans="1:24">
      <c r="A235" t="s">
        <v>246</v>
      </c>
      <c r="B235" t="s">
        <v>1174</v>
      </c>
      <c r="C235" t="s">
        <v>942</v>
      </c>
      <c r="D235" t="s">
        <v>722</v>
      </c>
      <c r="E235">
        <v>1</v>
      </c>
      <c r="F235">
        <v>2009</v>
      </c>
      <c r="G235" s="1" t="s">
        <v>242</v>
      </c>
      <c r="H235" s="79" t="s">
        <v>1207</v>
      </c>
      <c r="L235">
        <v>1</v>
      </c>
      <c r="R235" s="5">
        <v>39722</v>
      </c>
      <c r="S235" s="5">
        <v>39783</v>
      </c>
      <c r="T235" s="4">
        <f t="shared" si="17"/>
        <v>1</v>
      </c>
      <c r="U235" t="str">
        <f t="shared" si="14"/>
        <v>Q4-2008</v>
      </c>
      <c r="V235" t="str">
        <f t="shared" si="15"/>
        <v>Q4-2008</v>
      </c>
      <c r="W235" t="s">
        <v>997</v>
      </c>
      <c r="X235" t="s">
        <v>346</v>
      </c>
    </row>
    <row r="236" spans="1:24">
      <c r="A236" t="s">
        <v>246</v>
      </c>
      <c r="B236" t="s">
        <v>1174</v>
      </c>
      <c r="C236" t="s">
        <v>942</v>
      </c>
      <c r="D236" t="s">
        <v>722</v>
      </c>
      <c r="E236">
        <v>1</v>
      </c>
      <c r="F236">
        <v>2013</v>
      </c>
      <c r="G236" s="1" t="s">
        <v>242</v>
      </c>
      <c r="H236" s="79" t="s">
        <v>1207</v>
      </c>
      <c r="K236">
        <v>1</v>
      </c>
      <c r="L236">
        <v>1</v>
      </c>
      <c r="R236" s="5">
        <v>41275</v>
      </c>
      <c r="S236" s="5">
        <v>41518</v>
      </c>
      <c r="T236" s="4">
        <f t="shared" si="17"/>
        <v>3</v>
      </c>
      <c r="U236" t="str">
        <f t="shared" si="14"/>
        <v>Q1-2013</v>
      </c>
      <c r="V236" t="str">
        <f t="shared" si="15"/>
        <v>Q3-2013</v>
      </c>
      <c r="W236" t="s">
        <v>998</v>
      </c>
      <c r="X236" t="s">
        <v>346</v>
      </c>
    </row>
    <row r="237" spans="1:24">
      <c r="A237" t="s">
        <v>264</v>
      </c>
      <c r="F237">
        <v>2008</v>
      </c>
      <c r="G237" s="1" t="s">
        <v>163</v>
      </c>
      <c r="H237" s="79" t="s">
        <v>1208</v>
      </c>
      <c r="N237">
        <v>1</v>
      </c>
      <c r="R237" s="5">
        <v>39722</v>
      </c>
      <c r="S237" s="5">
        <v>39904</v>
      </c>
      <c r="T237" s="4">
        <f t="shared" si="17"/>
        <v>3</v>
      </c>
      <c r="U237" t="str">
        <f t="shared" si="14"/>
        <v>Q4-2008</v>
      </c>
      <c r="V237" t="str">
        <f t="shared" si="15"/>
        <v>Q2-2009</v>
      </c>
      <c r="W237" t="s">
        <v>279</v>
      </c>
    </row>
    <row r="238" spans="1:24">
      <c r="A238" t="s">
        <v>264</v>
      </c>
      <c r="F238">
        <v>2014</v>
      </c>
      <c r="G238" s="1" t="s">
        <v>163</v>
      </c>
      <c r="H238" s="79" t="s">
        <v>1208</v>
      </c>
      <c r="P238">
        <v>1</v>
      </c>
      <c r="R238" s="5">
        <v>41974</v>
      </c>
      <c r="S238" s="5">
        <v>42156</v>
      </c>
      <c r="T238" s="4">
        <f t="shared" si="17"/>
        <v>3</v>
      </c>
      <c r="U238" t="str">
        <f t="shared" si="14"/>
        <v>Q4-2014</v>
      </c>
      <c r="V238" t="str">
        <f t="shared" si="15"/>
        <v>Q2-2015</v>
      </c>
      <c r="W238" t="s">
        <v>280</v>
      </c>
    </row>
    <row r="239" spans="1:24">
      <c r="A239" t="s">
        <v>164</v>
      </c>
      <c r="B239" t="s">
        <v>1178</v>
      </c>
      <c r="C239" t="s">
        <v>943</v>
      </c>
      <c r="D239" t="s">
        <v>723</v>
      </c>
      <c r="E239">
        <v>1</v>
      </c>
      <c r="F239">
        <v>2008</v>
      </c>
      <c r="G239" s="1" t="s">
        <v>163</v>
      </c>
      <c r="H239" s="79" t="s">
        <v>1208</v>
      </c>
      <c r="N239">
        <v>1</v>
      </c>
      <c r="R239" s="5">
        <v>39722</v>
      </c>
      <c r="S239" s="5">
        <v>39904</v>
      </c>
      <c r="T239" s="4">
        <f t="shared" si="17"/>
        <v>3</v>
      </c>
      <c r="U239" t="str">
        <f t="shared" si="14"/>
        <v>Q4-2008</v>
      </c>
      <c r="V239" t="str">
        <f t="shared" si="15"/>
        <v>Q2-2009</v>
      </c>
      <c r="W239" t="s">
        <v>170</v>
      </c>
    </row>
    <row r="240" spans="1:24">
      <c r="A240" t="s">
        <v>164</v>
      </c>
      <c r="B240" t="s">
        <v>1178</v>
      </c>
      <c r="C240" t="s">
        <v>943</v>
      </c>
      <c r="D240" t="s">
        <v>723</v>
      </c>
      <c r="E240">
        <v>1</v>
      </c>
      <c r="F240">
        <v>2014</v>
      </c>
      <c r="G240" s="1" t="s">
        <v>163</v>
      </c>
      <c r="H240" s="79" t="s">
        <v>1208</v>
      </c>
      <c r="J240">
        <v>1</v>
      </c>
      <c r="K240">
        <v>1</v>
      </c>
      <c r="L240">
        <v>1</v>
      </c>
      <c r="M240">
        <v>1</v>
      </c>
      <c r="R240" s="5">
        <v>41852</v>
      </c>
      <c r="S240" s="5">
        <v>41852</v>
      </c>
      <c r="T240" s="4">
        <f t="shared" si="17"/>
        <v>1</v>
      </c>
      <c r="U240" t="str">
        <f t="shared" si="14"/>
        <v>Q3-2014</v>
      </c>
      <c r="V240" t="str">
        <f t="shared" si="15"/>
        <v>Q3-2014</v>
      </c>
      <c r="W240" t="s">
        <v>982</v>
      </c>
    </row>
    <row r="241" spans="1:23">
      <c r="A241" t="s">
        <v>275</v>
      </c>
      <c r="F241">
        <v>2009</v>
      </c>
      <c r="G241" s="1" t="s">
        <v>163</v>
      </c>
      <c r="H241" s="79" t="s">
        <v>1208</v>
      </c>
      <c r="N241">
        <v>1</v>
      </c>
      <c r="R241" s="5">
        <v>39722</v>
      </c>
      <c r="S241" s="5">
        <v>39904</v>
      </c>
      <c r="T241" s="4">
        <f t="shared" si="17"/>
        <v>3</v>
      </c>
      <c r="U241" t="str">
        <f t="shared" si="14"/>
        <v>Q4-2008</v>
      </c>
      <c r="V241" t="str">
        <f t="shared" si="15"/>
        <v>Q2-2009</v>
      </c>
      <c r="W241" t="s">
        <v>170</v>
      </c>
    </row>
    <row r="242" spans="1:23">
      <c r="A242" t="s">
        <v>276</v>
      </c>
      <c r="C242" t="s">
        <v>944</v>
      </c>
      <c r="D242" t="s">
        <v>724</v>
      </c>
      <c r="E242">
        <v>1</v>
      </c>
      <c r="F242">
        <v>2008</v>
      </c>
      <c r="G242" s="1" t="s">
        <v>163</v>
      </c>
      <c r="H242" s="79" t="s">
        <v>1208</v>
      </c>
      <c r="N242">
        <v>1</v>
      </c>
      <c r="R242" s="5">
        <v>39722</v>
      </c>
      <c r="S242" s="5">
        <v>39904</v>
      </c>
      <c r="T242" s="4">
        <f t="shared" si="17"/>
        <v>3</v>
      </c>
      <c r="U242" t="str">
        <f t="shared" si="14"/>
        <v>Q4-2008</v>
      </c>
      <c r="V242" t="str">
        <f t="shared" si="15"/>
        <v>Q2-2009</v>
      </c>
      <c r="W242" t="s">
        <v>170</v>
      </c>
    </row>
    <row r="243" spans="1:23">
      <c r="A243" t="s">
        <v>276</v>
      </c>
      <c r="C243" t="s">
        <v>944</v>
      </c>
      <c r="D243" t="s">
        <v>724</v>
      </c>
      <c r="E243">
        <v>1</v>
      </c>
      <c r="F243">
        <v>2011</v>
      </c>
      <c r="G243" s="1" t="s">
        <v>163</v>
      </c>
      <c r="H243" s="79" t="s">
        <v>1208</v>
      </c>
      <c r="L243">
        <v>1</v>
      </c>
      <c r="R243" s="5">
        <v>40634</v>
      </c>
      <c r="S243" s="5">
        <v>41275</v>
      </c>
      <c r="T243" s="4">
        <f t="shared" si="17"/>
        <v>8</v>
      </c>
      <c r="U243" t="str">
        <f t="shared" si="14"/>
        <v>Q2-2011</v>
      </c>
      <c r="V243" t="str">
        <f t="shared" si="15"/>
        <v>Q1-2013</v>
      </c>
      <c r="W243" t="s">
        <v>868</v>
      </c>
    </row>
    <row r="244" spans="1:23">
      <c r="A244" t="s">
        <v>276</v>
      </c>
      <c r="C244" t="s">
        <v>944</v>
      </c>
      <c r="D244" t="s">
        <v>724</v>
      </c>
      <c r="E244">
        <v>1</v>
      </c>
      <c r="F244">
        <v>2015</v>
      </c>
      <c r="G244" s="1" t="s">
        <v>163</v>
      </c>
      <c r="H244" s="79" t="s">
        <v>1208</v>
      </c>
      <c r="J244">
        <v>1</v>
      </c>
      <c r="K244">
        <v>0</v>
      </c>
      <c r="P244">
        <v>1</v>
      </c>
      <c r="R244" s="5">
        <v>42339</v>
      </c>
      <c r="S244" s="5">
        <v>42339</v>
      </c>
      <c r="T244" s="4">
        <f t="shared" si="17"/>
        <v>1</v>
      </c>
      <c r="U244" t="str">
        <f t="shared" si="14"/>
        <v>Q4-2015</v>
      </c>
      <c r="V244" t="str">
        <f t="shared" si="15"/>
        <v>Q4-2015</v>
      </c>
      <c r="W244" t="s">
        <v>979</v>
      </c>
    </row>
    <row r="245" spans="1:23">
      <c r="A245" t="s">
        <v>628</v>
      </c>
      <c r="F245">
        <v>2009</v>
      </c>
      <c r="G245" s="1" t="s">
        <v>163</v>
      </c>
      <c r="H245" s="79" t="s">
        <v>1208</v>
      </c>
      <c r="N245">
        <v>1</v>
      </c>
      <c r="R245" s="5">
        <v>39722</v>
      </c>
      <c r="S245" s="5">
        <v>39904</v>
      </c>
      <c r="T245" s="4">
        <f t="shared" si="17"/>
        <v>3</v>
      </c>
      <c r="U245" t="str">
        <f t="shared" si="14"/>
        <v>Q4-2008</v>
      </c>
      <c r="V245" t="str">
        <f t="shared" si="15"/>
        <v>Q2-2009</v>
      </c>
      <c r="W245" t="s">
        <v>170</v>
      </c>
    </row>
    <row r="246" spans="1:23">
      <c r="A246" t="s">
        <v>272</v>
      </c>
      <c r="B246" t="s">
        <v>1176</v>
      </c>
      <c r="C246" t="s">
        <v>945</v>
      </c>
      <c r="D246" t="s">
        <v>725</v>
      </c>
      <c r="E246">
        <v>1</v>
      </c>
      <c r="F246">
        <v>2011</v>
      </c>
      <c r="G246" s="1" t="s">
        <v>163</v>
      </c>
      <c r="H246" s="79" t="s">
        <v>1208</v>
      </c>
      <c r="L246">
        <v>1</v>
      </c>
      <c r="R246" s="5">
        <v>40878</v>
      </c>
      <c r="S246" s="5">
        <v>41061</v>
      </c>
      <c r="T246" s="4">
        <f t="shared" si="17"/>
        <v>3</v>
      </c>
      <c r="U246" t="str">
        <f t="shared" si="14"/>
        <v>Q4-2011</v>
      </c>
      <c r="V246" t="str">
        <f t="shared" si="15"/>
        <v>Q2-2012</v>
      </c>
      <c r="W246" t="s">
        <v>869</v>
      </c>
    </row>
    <row r="247" spans="1:23">
      <c r="A247" t="s">
        <v>265</v>
      </c>
      <c r="F247">
        <v>2008</v>
      </c>
      <c r="G247" s="1" t="s">
        <v>163</v>
      </c>
      <c r="H247" s="79" t="s">
        <v>1208</v>
      </c>
      <c r="L247">
        <v>1</v>
      </c>
      <c r="M247">
        <v>1</v>
      </c>
      <c r="R247" s="5">
        <v>39722</v>
      </c>
      <c r="S247" s="5">
        <v>40969</v>
      </c>
      <c r="T247" s="4">
        <f t="shared" si="17"/>
        <v>14</v>
      </c>
      <c r="U247" t="str">
        <f t="shared" si="14"/>
        <v>Q4-2008</v>
      </c>
      <c r="V247" t="str">
        <f t="shared" si="15"/>
        <v>Q1-2012</v>
      </c>
      <c r="W247" t="s">
        <v>266</v>
      </c>
    </row>
    <row r="248" spans="1:23">
      <c r="A248" t="s">
        <v>513</v>
      </c>
      <c r="C248" t="s">
        <v>966</v>
      </c>
      <c r="E248" s="7"/>
      <c r="F248">
        <v>2008</v>
      </c>
      <c r="G248" s="1" t="s">
        <v>163</v>
      </c>
      <c r="H248" s="79" t="s">
        <v>1208</v>
      </c>
      <c r="N248">
        <v>1</v>
      </c>
      <c r="R248" s="5">
        <v>39722</v>
      </c>
      <c r="S248" s="5">
        <v>39783</v>
      </c>
      <c r="T248" s="4">
        <f t="shared" si="17"/>
        <v>1</v>
      </c>
      <c r="U248" t="str">
        <f t="shared" si="14"/>
        <v>Q4-2008</v>
      </c>
      <c r="V248" t="str">
        <f t="shared" si="15"/>
        <v>Q4-2008</v>
      </c>
      <c r="W248" t="s">
        <v>170</v>
      </c>
    </row>
    <row r="249" spans="1:23">
      <c r="A249" t="s">
        <v>513</v>
      </c>
      <c r="C249" t="s">
        <v>966</v>
      </c>
      <c r="E249" s="7"/>
      <c r="F249">
        <v>2010</v>
      </c>
      <c r="G249" s="1" t="s">
        <v>163</v>
      </c>
      <c r="H249" s="79" t="s">
        <v>1208</v>
      </c>
      <c r="J249">
        <v>1</v>
      </c>
      <c r="R249" s="5">
        <v>40269</v>
      </c>
      <c r="S249" s="5">
        <v>40360</v>
      </c>
      <c r="T249" s="4">
        <f t="shared" si="17"/>
        <v>2</v>
      </c>
      <c r="U249" t="str">
        <f t="shared" si="14"/>
        <v>Q2-2010</v>
      </c>
      <c r="V249" t="str">
        <f t="shared" si="15"/>
        <v>Q3-2010</v>
      </c>
      <c r="W249" t="s">
        <v>967</v>
      </c>
    </row>
    <row r="250" spans="1:23">
      <c r="A250" t="s">
        <v>368</v>
      </c>
      <c r="F250">
        <v>2008</v>
      </c>
      <c r="G250" s="1" t="s">
        <v>163</v>
      </c>
      <c r="H250" s="79" t="s">
        <v>1208</v>
      </c>
      <c r="N250">
        <v>1</v>
      </c>
      <c r="R250" s="5">
        <v>39722</v>
      </c>
      <c r="S250" s="5">
        <v>39783</v>
      </c>
      <c r="T250" s="4">
        <f t="shared" si="17"/>
        <v>1</v>
      </c>
      <c r="U250" t="str">
        <f t="shared" si="14"/>
        <v>Q4-2008</v>
      </c>
      <c r="V250" t="str">
        <f t="shared" si="15"/>
        <v>Q4-2008</v>
      </c>
      <c r="W250" t="s">
        <v>170</v>
      </c>
    </row>
    <row r="251" spans="1:23">
      <c r="A251" t="s">
        <v>630</v>
      </c>
      <c r="F251">
        <v>2009</v>
      </c>
      <c r="G251" s="1" t="s">
        <v>163</v>
      </c>
      <c r="H251" s="79" t="s">
        <v>1208</v>
      </c>
      <c r="N251">
        <v>1</v>
      </c>
      <c r="R251" s="5">
        <v>39722</v>
      </c>
      <c r="S251" s="5">
        <v>39904</v>
      </c>
      <c r="T251" s="4">
        <f t="shared" si="17"/>
        <v>3</v>
      </c>
      <c r="U251" t="str">
        <f t="shared" si="14"/>
        <v>Q4-2008</v>
      </c>
      <c r="V251" t="str">
        <f t="shared" si="15"/>
        <v>Q2-2009</v>
      </c>
      <c r="W251" t="s">
        <v>279</v>
      </c>
    </row>
    <row r="252" spans="1:23">
      <c r="A252" t="s">
        <v>369</v>
      </c>
      <c r="F252">
        <v>2008</v>
      </c>
      <c r="G252" s="1" t="s">
        <v>163</v>
      </c>
      <c r="H252" s="79" t="s">
        <v>1208</v>
      </c>
      <c r="N252">
        <v>1</v>
      </c>
      <c r="R252" s="5">
        <v>39722</v>
      </c>
      <c r="S252" s="5">
        <v>39783</v>
      </c>
      <c r="T252" s="4">
        <f t="shared" si="17"/>
        <v>1</v>
      </c>
      <c r="U252" t="str">
        <f t="shared" si="14"/>
        <v>Q4-2008</v>
      </c>
      <c r="V252" t="str">
        <f t="shared" si="15"/>
        <v>Q4-2008</v>
      </c>
      <c r="W252" t="s">
        <v>170</v>
      </c>
    </row>
    <row r="253" spans="1:23">
      <c r="A253" t="s">
        <v>263</v>
      </c>
      <c r="F253">
        <v>2008</v>
      </c>
      <c r="G253" s="1" t="s">
        <v>163</v>
      </c>
      <c r="H253" s="79" t="s">
        <v>1208</v>
      </c>
      <c r="L253">
        <v>1</v>
      </c>
      <c r="R253" s="5">
        <v>39722</v>
      </c>
      <c r="S253" s="5">
        <v>41456</v>
      </c>
      <c r="T253" s="4">
        <f t="shared" si="17"/>
        <v>20</v>
      </c>
      <c r="U253" t="str">
        <f t="shared" si="14"/>
        <v>Q4-2008</v>
      </c>
      <c r="V253" t="str">
        <f t="shared" si="15"/>
        <v>Q3-2013</v>
      </c>
      <c r="W253" t="s">
        <v>370</v>
      </c>
    </row>
    <row r="254" spans="1:23">
      <c r="A254" t="s">
        <v>262</v>
      </c>
      <c r="B254" t="s">
        <v>1177</v>
      </c>
      <c r="C254" t="s">
        <v>629</v>
      </c>
      <c r="D254" t="s">
        <v>792</v>
      </c>
      <c r="E254">
        <v>1</v>
      </c>
      <c r="F254">
        <v>2011</v>
      </c>
      <c r="G254" s="1" t="s">
        <v>163</v>
      </c>
      <c r="H254" s="79" t="s">
        <v>1208</v>
      </c>
      <c r="L254">
        <v>1</v>
      </c>
      <c r="R254" s="5">
        <v>40878</v>
      </c>
      <c r="S254" s="5">
        <v>41061</v>
      </c>
      <c r="T254" s="4">
        <f t="shared" si="17"/>
        <v>3</v>
      </c>
      <c r="U254" t="str">
        <f t="shared" si="14"/>
        <v>Q4-2011</v>
      </c>
      <c r="V254" t="str">
        <f t="shared" si="15"/>
        <v>Q2-2012</v>
      </c>
      <c r="W254" t="s">
        <v>869</v>
      </c>
    </row>
    <row r="255" spans="1:23">
      <c r="A255" t="s">
        <v>162</v>
      </c>
      <c r="F255">
        <v>2015</v>
      </c>
      <c r="G255" s="1" t="s">
        <v>163</v>
      </c>
      <c r="H255" s="79" t="s">
        <v>1208</v>
      </c>
      <c r="K255">
        <v>1</v>
      </c>
      <c r="R255" s="5">
        <v>42339</v>
      </c>
      <c r="S255" s="5">
        <v>43009</v>
      </c>
      <c r="T255" s="4">
        <f t="shared" si="17"/>
        <v>8</v>
      </c>
      <c r="U255" t="str">
        <f t="shared" si="14"/>
        <v>Q4-2015</v>
      </c>
      <c r="V255" t="str">
        <f t="shared" si="15"/>
        <v>Q4-2017</v>
      </c>
      <c r="W255" t="s">
        <v>980</v>
      </c>
    </row>
    <row r="256" spans="1:23">
      <c r="A256" t="s">
        <v>559</v>
      </c>
      <c r="F256">
        <v>2001</v>
      </c>
      <c r="G256" s="1" t="s">
        <v>541</v>
      </c>
      <c r="H256" s="79" t="s">
        <v>1209</v>
      </c>
      <c r="J256">
        <v>1</v>
      </c>
      <c r="R256" s="5">
        <v>36951</v>
      </c>
      <c r="S256" s="5">
        <v>36951</v>
      </c>
      <c r="T256" s="4">
        <f t="shared" si="17"/>
        <v>1</v>
      </c>
      <c r="U256" t="str">
        <f t="shared" si="14"/>
        <v>Q1-2001</v>
      </c>
      <c r="V256" t="str">
        <f t="shared" si="15"/>
        <v>Q1-2001</v>
      </c>
      <c r="W256" t="s">
        <v>560</v>
      </c>
    </row>
    <row r="257" spans="1:23">
      <c r="A257" t="s">
        <v>540</v>
      </c>
      <c r="F257">
        <v>2002</v>
      </c>
      <c r="G257" s="1" t="s">
        <v>541</v>
      </c>
      <c r="H257" s="79" t="s">
        <v>1209</v>
      </c>
      <c r="J257">
        <v>1</v>
      </c>
      <c r="R257" s="5">
        <v>37316</v>
      </c>
      <c r="S257" s="5">
        <v>37316</v>
      </c>
      <c r="T257" s="4">
        <f t="shared" si="17"/>
        <v>1</v>
      </c>
      <c r="U257" t="str">
        <f t="shared" si="14"/>
        <v>Q1-2002</v>
      </c>
      <c r="V257" t="str">
        <f t="shared" si="15"/>
        <v>Q1-2002</v>
      </c>
      <c r="W257" t="s">
        <v>543</v>
      </c>
    </row>
    <row r="258" spans="1:23">
      <c r="A258" t="s">
        <v>542</v>
      </c>
      <c r="F258">
        <v>2000</v>
      </c>
      <c r="G258" s="1" t="s">
        <v>541</v>
      </c>
      <c r="H258" s="79" t="s">
        <v>1209</v>
      </c>
      <c r="I258">
        <v>1</v>
      </c>
      <c r="R258" s="5">
        <v>36708</v>
      </c>
      <c r="S258" s="5">
        <v>36708</v>
      </c>
      <c r="T258" s="4">
        <f t="shared" si="17"/>
        <v>1</v>
      </c>
      <c r="U258" t="str">
        <f t="shared" si="14"/>
        <v>Q3-2000</v>
      </c>
      <c r="V258" t="str">
        <f t="shared" si="15"/>
        <v>Q3-2000</v>
      </c>
      <c r="W258" t="s">
        <v>554</v>
      </c>
    </row>
    <row r="259" spans="1:23">
      <c r="A259" t="s">
        <v>544</v>
      </c>
      <c r="F259">
        <v>2002</v>
      </c>
      <c r="G259" s="1" t="s">
        <v>541</v>
      </c>
      <c r="H259" s="79" t="s">
        <v>1209</v>
      </c>
      <c r="I259">
        <v>1</v>
      </c>
      <c r="R259" s="5">
        <v>37316</v>
      </c>
      <c r="S259" s="5">
        <v>37316</v>
      </c>
      <c r="T259" s="4">
        <f t="shared" si="17"/>
        <v>1</v>
      </c>
      <c r="U259" t="str">
        <f t="shared" si="14"/>
        <v>Q1-2002</v>
      </c>
      <c r="V259" t="str">
        <f t="shared" si="15"/>
        <v>Q1-2002</v>
      </c>
      <c r="W259" t="s">
        <v>553</v>
      </c>
    </row>
    <row r="260" spans="1:23">
      <c r="A260" t="s">
        <v>546</v>
      </c>
      <c r="C260" t="s">
        <v>968</v>
      </c>
      <c r="D260" t="s">
        <v>726</v>
      </c>
      <c r="E260" s="7"/>
      <c r="F260">
        <v>2000</v>
      </c>
      <c r="G260" s="1" t="s">
        <v>541</v>
      </c>
      <c r="H260" s="79" t="s">
        <v>1209</v>
      </c>
      <c r="J260">
        <v>1</v>
      </c>
      <c r="R260" s="5">
        <v>36770</v>
      </c>
      <c r="S260" s="5">
        <v>37316</v>
      </c>
      <c r="T260" s="4">
        <f t="shared" ref="T260:T285" si="18">FLOOR(((YEAR(S260)*12+MONTH(S260))-(YEAR(R260)*12+MONTH(R260)))/3,1)+1</f>
        <v>7</v>
      </c>
      <c r="U260" t="str">
        <f t="shared" si="14"/>
        <v>Q3-2000</v>
      </c>
      <c r="V260" t="str">
        <f t="shared" si="15"/>
        <v>Q1-2002</v>
      </c>
      <c r="W260" t="s">
        <v>547</v>
      </c>
    </row>
    <row r="261" spans="1:23">
      <c r="A261" t="s">
        <v>552</v>
      </c>
      <c r="F261">
        <v>2002</v>
      </c>
      <c r="G261" s="1" t="s">
        <v>541</v>
      </c>
      <c r="H261" s="79" t="s">
        <v>1209</v>
      </c>
      <c r="I261">
        <v>1</v>
      </c>
      <c r="R261" s="5">
        <v>36557</v>
      </c>
      <c r="S261" s="5">
        <v>36557</v>
      </c>
      <c r="T261" s="4">
        <f t="shared" si="18"/>
        <v>1</v>
      </c>
      <c r="U261" t="str">
        <f t="shared" si="14"/>
        <v>Q1-2000</v>
      </c>
      <c r="V261" t="str">
        <f t="shared" si="15"/>
        <v>Q1-2000</v>
      </c>
      <c r="W261" t="s">
        <v>551</v>
      </c>
    </row>
    <row r="262" spans="1:23">
      <c r="A262" t="s">
        <v>550</v>
      </c>
      <c r="F262">
        <v>2000</v>
      </c>
      <c r="G262" s="1" t="s">
        <v>541</v>
      </c>
      <c r="H262" s="79" t="s">
        <v>1209</v>
      </c>
      <c r="I262">
        <v>1</v>
      </c>
      <c r="J262">
        <v>1</v>
      </c>
      <c r="R262" s="5">
        <v>36678</v>
      </c>
      <c r="S262" s="5">
        <v>37681</v>
      </c>
      <c r="T262" s="4">
        <f t="shared" si="18"/>
        <v>12</v>
      </c>
      <c r="U262" t="str">
        <f t="shared" ref="U262:U325" si="19">"Q" &amp;INT((MONTH(R262)+2)/3) &amp; "-" &amp; YEAR(R262)</f>
        <v>Q2-2000</v>
      </c>
      <c r="V262" t="str">
        <f t="shared" ref="V262:V325" si="20">"Q" &amp;INT((MONTH(S262)+2)/3) &amp; "-" &amp; YEAR(S262)</f>
        <v>Q1-2003</v>
      </c>
      <c r="W262" t="s">
        <v>551</v>
      </c>
    </row>
    <row r="263" spans="1:23">
      <c r="A263" t="s">
        <v>548</v>
      </c>
      <c r="F263">
        <v>2000</v>
      </c>
      <c r="G263" s="1" t="s">
        <v>541</v>
      </c>
      <c r="H263" s="79" t="s">
        <v>1209</v>
      </c>
      <c r="I263">
        <v>1</v>
      </c>
      <c r="R263" s="5">
        <v>36526</v>
      </c>
      <c r="S263" s="5">
        <v>36831</v>
      </c>
      <c r="T263" s="4">
        <f t="shared" si="18"/>
        <v>4</v>
      </c>
      <c r="U263" t="str">
        <f t="shared" si="19"/>
        <v>Q1-2000</v>
      </c>
      <c r="V263" t="str">
        <f t="shared" si="20"/>
        <v>Q4-2000</v>
      </c>
      <c r="W263" t="s">
        <v>555</v>
      </c>
    </row>
    <row r="264" spans="1:23">
      <c r="A264" t="s">
        <v>549</v>
      </c>
      <c r="F264">
        <v>2006</v>
      </c>
      <c r="G264" s="1" t="s">
        <v>541</v>
      </c>
      <c r="H264" s="79" t="s">
        <v>1209</v>
      </c>
      <c r="J264">
        <v>1</v>
      </c>
      <c r="R264" s="5">
        <v>38930</v>
      </c>
      <c r="S264" s="5">
        <v>38930</v>
      </c>
      <c r="T264" s="4">
        <f t="shared" si="18"/>
        <v>1</v>
      </c>
      <c r="U264" t="str">
        <f t="shared" si="19"/>
        <v>Q3-2006</v>
      </c>
      <c r="V264" t="str">
        <f t="shared" si="20"/>
        <v>Q3-2006</v>
      </c>
      <c r="W264" t="s">
        <v>558</v>
      </c>
    </row>
    <row r="265" spans="1:23">
      <c r="A265" t="s">
        <v>287</v>
      </c>
      <c r="C265" t="s">
        <v>946</v>
      </c>
      <c r="D265" t="s">
        <v>728</v>
      </c>
      <c r="F265">
        <v>2013</v>
      </c>
      <c r="G265" s="1" t="s">
        <v>283</v>
      </c>
      <c r="H265" s="79" t="s">
        <v>1210</v>
      </c>
      <c r="L265">
        <v>1</v>
      </c>
      <c r="M265">
        <v>1</v>
      </c>
      <c r="R265" s="5">
        <v>41306</v>
      </c>
      <c r="S265" s="5">
        <v>41609</v>
      </c>
      <c r="T265" s="4">
        <f t="shared" si="18"/>
        <v>4</v>
      </c>
      <c r="U265" t="str">
        <f t="shared" si="19"/>
        <v>Q1-2013</v>
      </c>
      <c r="V265" t="str">
        <f t="shared" si="20"/>
        <v>Q4-2013</v>
      </c>
      <c r="W265" t="s">
        <v>871</v>
      </c>
    </row>
    <row r="266" spans="1:23">
      <c r="A266" t="s">
        <v>287</v>
      </c>
      <c r="C266" t="s">
        <v>946</v>
      </c>
      <c r="D266" t="s">
        <v>728</v>
      </c>
      <c r="F266">
        <v>2014</v>
      </c>
      <c r="G266" s="1" t="s">
        <v>283</v>
      </c>
      <c r="H266" s="79" t="s">
        <v>1210</v>
      </c>
      <c r="J266">
        <v>1</v>
      </c>
      <c r="L266">
        <v>1</v>
      </c>
      <c r="P266">
        <v>1</v>
      </c>
      <c r="R266" s="5">
        <v>41913</v>
      </c>
      <c r="S266" s="5">
        <v>41913</v>
      </c>
      <c r="T266" s="4">
        <f t="shared" si="18"/>
        <v>1</v>
      </c>
      <c r="U266" t="str">
        <f t="shared" si="19"/>
        <v>Q4-2014</v>
      </c>
      <c r="V266" t="str">
        <f t="shared" si="20"/>
        <v>Q4-2014</v>
      </c>
      <c r="W266" t="s">
        <v>870</v>
      </c>
    </row>
    <row r="267" spans="1:23">
      <c r="A267" t="s">
        <v>302</v>
      </c>
      <c r="F267">
        <v>2014</v>
      </c>
      <c r="G267" s="1" t="s">
        <v>283</v>
      </c>
      <c r="H267" s="79" t="s">
        <v>1210</v>
      </c>
      <c r="L267">
        <v>1</v>
      </c>
      <c r="P267">
        <v>1</v>
      </c>
      <c r="R267" s="5">
        <v>41974</v>
      </c>
      <c r="S267" s="5">
        <v>42339</v>
      </c>
      <c r="T267" s="4">
        <f t="shared" si="18"/>
        <v>5</v>
      </c>
      <c r="U267" t="str">
        <f t="shared" si="19"/>
        <v>Q4-2014</v>
      </c>
      <c r="V267" t="str">
        <f t="shared" si="20"/>
        <v>Q4-2015</v>
      </c>
      <c r="W267" t="s">
        <v>304</v>
      </c>
    </row>
    <row r="268" spans="1:23">
      <c r="A268" t="s">
        <v>285</v>
      </c>
      <c r="F268">
        <v>2013</v>
      </c>
      <c r="G268" s="1" t="s">
        <v>283</v>
      </c>
      <c r="H268" s="79" t="s">
        <v>1210</v>
      </c>
      <c r="J268">
        <v>1</v>
      </c>
      <c r="L268">
        <v>1</v>
      </c>
      <c r="M268">
        <v>1</v>
      </c>
      <c r="R268" s="5">
        <v>41518</v>
      </c>
      <c r="S268" s="5">
        <v>42401</v>
      </c>
      <c r="T268" s="4">
        <f t="shared" si="18"/>
        <v>10</v>
      </c>
      <c r="U268" t="str">
        <f t="shared" si="19"/>
        <v>Q3-2013</v>
      </c>
      <c r="V268" t="str">
        <f t="shared" si="20"/>
        <v>Q1-2016</v>
      </c>
      <c r="W268" t="s">
        <v>297</v>
      </c>
    </row>
    <row r="269" spans="1:23">
      <c r="A269" t="s">
        <v>284</v>
      </c>
      <c r="B269" t="s">
        <v>1181</v>
      </c>
      <c r="C269" t="s">
        <v>947</v>
      </c>
      <c r="D269" t="s">
        <v>727</v>
      </c>
      <c r="E269">
        <v>1</v>
      </c>
      <c r="F269">
        <v>2011</v>
      </c>
      <c r="G269" s="1" t="s">
        <v>283</v>
      </c>
      <c r="H269" s="79" t="s">
        <v>1210</v>
      </c>
      <c r="L269">
        <v>1</v>
      </c>
      <c r="R269" s="5">
        <v>40878</v>
      </c>
      <c r="S269" s="5">
        <v>41609</v>
      </c>
      <c r="T269" s="4">
        <f t="shared" si="18"/>
        <v>9</v>
      </c>
      <c r="U269" t="str">
        <f t="shared" si="19"/>
        <v>Q4-2011</v>
      </c>
      <c r="V269" t="str">
        <f t="shared" si="20"/>
        <v>Q4-2013</v>
      </c>
      <c r="W269" t="s">
        <v>371</v>
      </c>
    </row>
    <row r="270" spans="1:23">
      <c r="A270" t="s">
        <v>282</v>
      </c>
      <c r="B270" t="s">
        <v>1182</v>
      </c>
      <c r="C270" t="s">
        <v>631</v>
      </c>
      <c r="D270" t="s">
        <v>793</v>
      </c>
      <c r="E270">
        <v>1</v>
      </c>
      <c r="F270">
        <v>2008</v>
      </c>
      <c r="G270" s="1" t="s">
        <v>283</v>
      </c>
      <c r="H270" s="79" t="s">
        <v>1210</v>
      </c>
      <c r="L270">
        <v>1</v>
      </c>
      <c r="R270" s="5">
        <v>39783</v>
      </c>
      <c r="S270" s="5">
        <v>40603</v>
      </c>
      <c r="T270" s="4">
        <f t="shared" si="18"/>
        <v>10</v>
      </c>
      <c r="U270" t="str">
        <f t="shared" si="19"/>
        <v>Q4-2008</v>
      </c>
      <c r="V270" t="str">
        <f t="shared" si="20"/>
        <v>Q1-2011</v>
      </c>
      <c r="W270" t="s">
        <v>872</v>
      </c>
    </row>
    <row r="271" spans="1:23">
      <c r="A271" t="s">
        <v>282</v>
      </c>
      <c r="B271" t="s">
        <v>1182</v>
      </c>
      <c r="C271" t="s">
        <v>631</v>
      </c>
      <c r="D271" t="s">
        <v>793</v>
      </c>
      <c r="E271">
        <v>1</v>
      </c>
      <c r="F271">
        <v>2011</v>
      </c>
      <c r="G271" s="1" t="s">
        <v>283</v>
      </c>
      <c r="H271" s="79" t="s">
        <v>1210</v>
      </c>
      <c r="J271">
        <v>1</v>
      </c>
      <c r="K271">
        <v>0</v>
      </c>
      <c r="L271">
        <v>1</v>
      </c>
      <c r="M271">
        <v>1</v>
      </c>
      <c r="R271" s="5">
        <v>41061</v>
      </c>
      <c r="S271" s="5">
        <v>41609</v>
      </c>
      <c r="T271" s="4">
        <f t="shared" si="18"/>
        <v>7</v>
      </c>
      <c r="U271" t="str">
        <f t="shared" si="19"/>
        <v>Q2-2012</v>
      </c>
      <c r="V271" t="str">
        <f t="shared" si="20"/>
        <v>Q4-2013</v>
      </c>
      <c r="W271" t="s">
        <v>996</v>
      </c>
    </row>
    <row r="272" spans="1:23">
      <c r="A272" t="s">
        <v>282</v>
      </c>
      <c r="B272" t="s">
        <v>1182</v>
      </c>
      <c r="C272" t="s">
        <v>631</v>
      </c>
      <c r="D272" t="s">
        <v>793</v>
      </c>
      <c r="E272">
        <v>1</v>
      </c>
      <c r="F272">
        <v>2018</v>
      </c>
      <c r="G272" s="1" t="s">
        <v>283</v>
      </c>
      <c r="H272" s="79" t="s">
        <v>1210</v>
      </c>
      <c r="L272">
        <v>1</v>
      </c>
      <c r="R272" s="5">
        <v>43160</v>
      </c>
      <c r="S272" s="5">
        <v>43617</v>
      </c>
      <c r="T272" s="4">
        <f t="shared" si="18"/>
        <v>6</v>
      </c>
      <c r="U272" t="str">
        <f t="shared" si="19"/>
        <v>Q1-2018</v>
      </c>
      <c r="V272" t="str">
        <f t="shared" si="20"/>
        <v>Q2-2019</v>
      </c>
      <c r="W272" t="s">
        <v>288</v>
      </c>
    </row>
    <row r="273" spans="1:23">
      <c r="A273" t="s">
        <v>286</v>
      </c>
      <c r="C273" t="s">
        <v>948</v>
      </c>
      <c r="D273" t="s">
        <v>729</v>
      </c>
      <c r="F273">
        <v>2013</v>
      </c>
      <c r="G273" s="1" t="s">
        <v>283</v>
      </c>
      <c r="H273" s="79" t="s">
        <v>1210</v>
      </c>
      <c r="J273">
        <v>1</v>
      </c>
      <c r="L273">
        <v>1</v>
      </c>
      <c r="M273">
        <v>1</v>
      </c>
      <c r="R273" s="5">
        <v>41487</v>
      </c>
      <c r="S273" s="5">
        <v>41609</v>
      </c>
      <c r="T273" s="4">
        <f t="shared" si="18"/>
        <v>2</v>
      </c>
      <c r="U273" t="str">
        <f t="shared" si="19"/>
        <v>Q3-2013</v>
      </c>
      <c r="V273" t="str">
        <f t="shared" si="20"/>
        <v>Q4-2013</v>
      </c>
      <c r="W273" t="s">
        <v>873</v>
      </c>
    </row>
    <row r="274" spans="1:23">
      <c r="A274" t="s">
        <v>1076</v>
      </c>
      <c r="C274" t="s">
        <v>1077</v>
      </c>
      <c r="D274" t="s">
        <v>1088</v>
      </c>
      <c r="E274">
        <v>1</v>
      </c>
      <c r="F274">
        <v>2011</v>
      </c>
      <c r="G274" s="1" t="s">
        <v>161</v>
      </c>
      <c r="H274" s="79" t="s">
        <v>1211</v>
      </c>
      <c r="P274">
        <v>1</v>
      </c>
      <c r="R274" s="5">
        <v>40575</v>
      </c>
      <c r="S274" s="5">
        <v>41124</v>
      </c>
      <c r="T274" s="4">
        <f t="shared" si="18"/>
        <v>7</v>
      </c>
      <c r="U274" t="str">
        <f t="shared" si="19"/>
        <v>Q1-2011</v>
      </c>
      <c r="V274" t="str">
        <f t="shared" si="20"/>
        <v>Q3-2012</v>
      </c>
      <c r="W274" t="s">
        <v>1097</v>
      </c>
    </row>
    <row r="275" spans="1:23">
      <c r="A275" t="s">
        <v>372</v>
      </c>
      <c r="F275">
        <v>2010</v>
      </c>
      <c r="G275" s="1" t="s">
        <v>161</v>
      </c>
      <c r="H275" s="79" t="s">
        <v>1211</v>
      </c>
      <c r="L275">
        <v>1</v>
      </c>
      <c r="N275">
        <v>1</v>
      </c>
      <c r="P275">
        <v>1</v>
      </c>
      <c r="R275" s="5">
        <v>40513</v>
      </c>
      <c r="S275" s="5">
        <v>41913</v>
      </c>
      <c r="T275" s="4">
        <f t="shared" si="18"/>
        <v>16</v>
      </c>
      <c r="U275" t="str">
        <f t="shared" si="19"/>
        <v>Q4-2010</v>
      </c>
      <c r="V275" t="str">
        <f t="shared" si="20"/>
        <v>Q4-2014</v>
      </c>
      <c r="W275" t="s">
        <v>1033</v>
      </c>
    </row>
    <row r="276" spans="1:23">
      <c r="A276" t="s">
        <v>373</v>
      </c>
      <c r="F276">
        <v>2010</v>
      </c>
      <c r="G276" s="1" t="s">
        <v>161</v>
      </c>
      <c r="H276" s="79" t="s">
        <v>1211</v>
      </c>
      <c r="L276">
        <v>1</v>
      </c>
      <c r="M276">
        <v>1</v>
      </c>
      <c r="P276">
        <v>1</v>
      </c>
      <c r="R276" s="5">
        <v>40513</v>
      </c>
      <c r="S276" s="5">
        <v>41244</v>
      </c>
      <c r="T276" s="4">
        <f t="shared" si="18"/>
        <v>9</v>
      </c>
      <c r="U276" t="str">
        <f t="shared" si="19"/>
        <v>Q4-2010</v>
      </c>
      <c r="V276" t="str">
        <f t="shared" si="20"/>
        <v>Q4-2012</v>
      </c>
      <c r="W276" t="s">
        <v>375</v>
      </c>
    </row>
    <row r="277" spans="1:23">
      <c r="A277" t="s">
        <v>374</v>
      </c>
      <c r="F277">
        <v>2010</v>
      </c>
      <c r="G277" s="1" t="s">
        <v>161</v>
      </c>
      <c r="H277" s="79" t="s">
        <v>1211</v>
      </c>
      <c r="K277">
        <v>1</v>
      </c>
      <c r="L277">
        <v>1</v>
      </c>
      <c r="M277">
        <v>1</v>
      </c>
      <c r="N277">
        <v>1</v>
      </c>
      <c r="P277">
        <v>1</v>
      </c>
      <c r="R277" s="5">
        <v>40238</v>
      </c>
      <c r="S277" s="5">
        <v>41640</v>
      </c>
      <c r="T277" s="4">
        <f t="shared" si="18"/>
        <v>16</v>
      </c>
      <c r="U277" t="str">
        <f t="shared" si="19"/>
        <v>Q1-2010</v>
      </c>
      <c r="V277" t="str">
        <f t="shared" si="20"/>
        <v>Q1-2014</v>
      </c>
      <c r="W277" t="s">
        <v>985</v>
      </c>
    </row>
    <row r="278" spans="1:23">
      <c r="A278" t="s">
        <v>310</v>
      </c>
      <c r="C278" t="s">
        <v>949</v>
      </c>
      <c r="D278" t="s">
        <v>730</v>
      </c>
      <c r="E278">
        <v>1</v>
      </c>
      <c r="F278">
        <v>2011</v>
      </c>
      <c r="G278" s="1" t="s">
        <v>161</v>
      </c>
      <c r="H278" s="79" t="s">
        <v>1211</v>
      </c>
      <c r="L278">
        <v>1</v>
      </c>
      <c r="M278">
        <v>1</v>
      </c>
      <c r="N278">
        <v>1</v>
      </c>
      <c r="P278">
        <v>1</v>
      </c>
      <c r="R278" s="5">
        <v>40544</v>
      </c>
      <c r="S278" s="5">
        <v>41306</v>
      </c>
      <c r="T278" s="4">
        <f t="shared" si="18"/>
        <v>9</v>
      </c>
      <c r="U278" t="str">
        <f t="shared" si="19"/>
        <v>Q1-2011</v>
      </c>
      <c r="V278" t="str">
        <f t="shared" si="20"/>
        <v>Q1-2013</v>
      </c>
      <c r="W278" t="s">
        <v>887</v>
      </c>
    </row>
    <row r="279" spans="1:23">
      <c r="A279" t="s">
        <v>1028</v>
      </c>
      <c r="F279">
        <v>2013</v>
      </c>
      <c r="G279" s="1" t="s">
        <v>161</v>
      </c>
      <c r="H279" s="79" t="s">
        <v>1211</v>
      </c>
      <c r="J279">
        <v>1</v>
      </c>
      <c r="R279" s="5">
        <v>41275</v>
      </c>
      <c r="S279" s="5">
        <v>41609</v>
      </c>
      <c r="T279" s="4">
        <f t="shared" si="18"/>
        <v>4</v>
      </c>
      <c r="U279" t="str">
        <f t="shared" si="19"/>
        <v>Q1-2013</v>
      </c>
      <c r="V279" t="str">
        <f t="shared" si="20"/>
        <v>Q4-2013</v>
      </c>
      <c r="W279" t="s">
        <v>1031</v>
      </c>
    </row>
    <row r="280" spans="1:23">
      <c r="A280" t="s">
        <v>308</v>
      </c>
      <c r="F280">
        <v>2011</v>
      </c>
      <c r="G280" s="1" t="s">
        <v>161</v>
      </c>
      <c r="H280" s="79" t="s">
        <v>1211</v>
      </c>
      <c r="L280">
        <v>1</v>
      </c>
      <c r="P280">
        <v>1</v>
      </c>
      <c r="R280" s="5">
        <v>40848</v>
      </c>
      <c r="S280" s="5">
        <v>41579</v>
      </c>
      <c r="T280" s="4">
        <f t="shared" si="18"/>
        <v>9</v>
      </c>
      <c r="U280" t="str">
        <f t="shared" si="19"/>
        <v>Q4-2011</v>
      </c>
      <c r="V280" t="str">
        <f t="shared" si="20"/>
        <v>Q4-2013</v>
      </c>
      <c r="W280" t="s">
        <v>376</v>
      </c>
    </row>
    <row r="281" spans="1:23">
      <c r="A281" t="s">
        <v>383</v>
      </c>
      <c r="C281" t="s">
        <v>810</v>
      </c>
      <c r="F281">
        <v>2010</v>
      </c>
      <c r="G281" s="1" t="s">
        <v>161</v>
      </c>
      <c r="H281" s="79" t="s">
        <v>1211</v>
      </c>
      <c r="L281">
        <v>1</v>
      </c>
      <c r="M281">
        <v>1</v>
      </c>
      <c r="N281">
        <v>1</v>
      </c>
      <c r="R281" s="5">
        <v>40330</v>
      </c>
      <c r="S281" s="5">
        <v>41334</v>
      </c>
      <c r="T281" s="4">
        <f t="shared" si="18"/>
        <v>12</v>
      </c>
      <c r="U281" t="str">
        <f t="shared" si="19"/>
        <v>Q2-2010</v>
      </c>
      <c r="V281" t="str">
        <f t="shared" si="20"/>
        <v>Q1-2013</v>
      </c>
      <c r="W281" t="s">
        <v>377</v>
      </c>
    </row>
    <row r="282" spans="1:23">
      <c r="A282" t="s">
        <v>1078</v>
      </c>
      <c r="B282" t="s">
        <v>1151</v>
      </c>
      <c r="C282" t="s">
        <v>1079</v>
      </c>
      <c r="D282" t="s">
        <v>1089</v>
      </c>
      <c r="E282">
        <v>1</v>
      </c>
      <c r="F282">
        <v>2011</v>
      </c>
      <c r="G282" s="1" t="s">
        <v>161</v>
      </c>
      <c r="H282" s="79" t="s">
        <v>1211</v>
      </c>
      <c r="P282">
        <v>1</v>
      </c>
      <c r="R282" s="5">
        <v>40817</v>
      </c>
      <c r="S282" s="5">
        <v>41214</v>
      </c>
      <c r="T282" s="4">
        <f t="shared" si="18"/>
        <v>5</v>
      </c>
      <c r="U282" t="str">
        <f t="shared" si="19"/>
        <v>Q4-2011</v>
      </c>
      <c r="V282" t="str">
        <f t="shared" si="20"/>
        <v>Q4-2012</v>
      </c>
      <c r="W282" t="s">
        <v>1096</v>
      </c>
    </row>
    <row r="283" spans="1:23">
      <c r="A283" t="s">
        <v>160</v>
      </c>
      <c r="B283" t="s">
        <v>1152</v>
      </c>
      <c r="C283" t="s">
        <v>950</v>
      </c>
      <c r="D283" t="s">
        <v>731</v>
      </c>
      <c r="E283">
        <v>1</v>
      </c>
      <c r="F283">
        <v>2017</v>
      </c>
      <c r="G283" s="1" t="s">
        <v>161</v>
      </c>
      <c r="H283" s="79" t="s">
        <v>1211</v>
      </c>
      <c r="K283">
        <v>1</v>
      </c>
      <c r="P283">
        <v>1</v>
      </c>
      <c r="R283" s="5">
        <v>42887</v>
      </c>
      <c r="S283" s="5">
        <v>43344</v>
      </c>
      <c r="T283" s="4">
        <f t="shared" si="18"/>
        <v>6</v>
      </c>
      <c r="U283" t="str">
        <f t="shared" si="19"/>
        <v>Q2-2017</v>
      </c>
      <c r="V283" t="str">
        <f t="shared" si="20"/>
        <v>Q3-2018</v>
      </c>
      <c r="W283" t="s">
        <v>392</v>
      </c>
    </row>
    <row r="284" spans="1:23">
      <c r="A284" t="s">
        <v>418</v>
      </c>
      <c r="B284" t="s">
        <v>1150</v>
      </c>
      <c r="C284" t="s">
        <v>632</v>
      </c>
      <c r="D284" t="s">
        <v>794</v>
      </c>
      <c r="E284">
        <v>1</v>
      </c>
      <c r="F284">
        <v>2011</v>
      </c>
      <c r="G284" s="1" t="s">
        <v>161</v>
      </c>
      <c r="H284" s="79" t="s">
        <v>1211</v>
      </c>
      <c r="L284">
        <v>1</v>
      </c>
      <c r="R284" s="5">
        <v>40878</v>
      </c>
      <c r="S284" s="5">
        <v>40878</v>
      </c>
      <c r="T284" s="4">
        <f t="shared" si="18"/>
        <v>1</v>
      </c>
      <c r="U284" t="str">
        <f t="shared" si="19"/>
        <v>Q4-2011</v>
      </c>
      <c r="V284" t="str">
        <f t="shared" si="20"/>
        <v>Q4-2011</v>
      </c>
      <c r="W284" t="s">
        <v>419</v>
      </c>
    </row>
    <row r="285" spans="1:23">
      <c r="A285" t="s">
        <v>378</v>
      </c>
      <c r="C285" t="s">
        <v>633</v>
      </c>
      <c r="D285" t="s">
        <v>795</v>
      </c>
      <c r="E285">
        <v>1</v>
      </c>
      <c r="F285">
        <v>2010</v>
      </c>
      <c r="G285" s="1" t="s">
        <v>161</v>
      </c>
      <c r="H285" s="79" t="s">
        <v>1211</v>
      </c>
      <c r="L285">
        <v>1</v>
      </c>
      <c r="R285" s="5">
        <v>40330</v>
      </c>
      <c r="S285" s="5">
        <v>40330</v>
      </c>
      <c r="T285" s="4">
        <f t="shared" si="18"/>
        <v>1</v>
      </c>
      <c r="U285" t="str">
        <f t="shared" si="19"/>
        <v>Q2-2010</v>
      </c>
      <c r="V285" t="str">
        <f t="shared" si="20"/>
        <v>Q2-2010</v>
      </c>
      <c r="W285" t="s">
        <v>874</v>
      </c>
    </row>
    <row r="286" spans="1:23">
      <c r="A286" t="s">
        <v>378</v>
      </c>
      <c r="C286" t="s">
        <v>633</v>
      </c>
      <c r="D286" t="s">
        <v>795</v>
      </c>
      <c r="E286">
        <v>1</v>
      </c>
      <c r="F286">
        <v>2012</v>
      </c>
      <c r="G286" s="1" t="s">
        <v>161</v>
      </c>
      <c r="H286" s="79" t="s">
        <v>1211</v>
      </c>
      <c r="L286">
        <v>1</v>
      </c>
      <c r="M286">
        <v>1</v>
      </c>
      <c r="R286" s="5">
        <v>41030</v>
      </c>
      <c r="S286" s="5">
        <v>41275</v>
      </c>
      <c r="T286" s="4">
        <v>4</v>
      </c>
      <c r="U286" t="str">
        <f t="shared" si="19"/>
        <v>Q2-2012</v>
      </c>
      <c r="V286" t="str">
        <f t="shared" si="20"/>
        <v>Q1-2013</v>
      </c>
      <c r="W286" t="s">
        <v>875</v>
      </c>
    </row>
    <row r="287" spans="1:23">
      <c r="A287" t="s">
        <v>415</v>
      </c>
      <c r="B287" t="s">
        <v>1153</v>
      </c>
      <c r="C287" t="s">
        <v>634</v>
      </c>
      <c r="D287" t="s">
        <v>796</v>
      </c>
      <c r="E287">
        <v>1</v>
      </c>
      <c r="F287">
        <v>2010</v>
      </c>
      <c r="G287" s="1" t="s">
        <v>161</v>
      </c>
      <c r="H287" s="79" t="s">
        <v>1211</v>
      </c>
      <c r="L287">
        <v>1</v>
      </c>
      <c r="R287" s="5">
        <v>40269</v>
      </c>
      <c r="S287" s="5">
        <v>40269</v>
      </c>
      <c r="T287" s="4">
        <f t="shared" ref="T287:T311" si="21">FLOOR(((YEAR(S287)*12+MONTH(S287))-(YEAR(R287)*12+MONTH(R287)))/3,1)+1</f>
        <v>1</v>
      </c>
      <c r="U287" t="str">
        <f t="shared" si="19"/>
        <v>Q2-2010</v>
      </c>
      <c r="V287" t="str">
        <f t="shared" si="20"/>
        <v>Q2-2010</v>
      </c>
      <c r="W287" t="s">
        <v>416</v>
      </c>
    </row>
    <row r="288" spans="1:23">
      <c r="A288" t="s">
        <v>415</v>
      </c>
      <c r="B288" t="s">
        <v>1153</v>
      </c>
      <c r="C288" t="s">
        <v>634</v>
      </c>
      <c r="D288" t="s">
        <v>796</v>
      </c>
      <c r="E288">
        <v>1</v>
      </c>
      <c r="F288">
        <v>2011</v>
      </c>
      <c r="G288" s="1" t="s">
        <v>161</v>
      </c>
      <c r="H288" s="79" t="s">
        <v>1211</v>
      </c>
      <c r="L288">
        <v>1</v>
      </c>
      <c r="R288" s="5">
        <v>40575</v>
      </c>
      <c r="S288" s="5">
        <v>40575</v>
      </c>
      <c r="T288" s="4">
        <f t="shared" si="21"/>
        <v>1</v>
      </c>
      <c r="U288" t="str">
        <f t="shared" si="19"/>
        <v>Q1-2011</v>
      </c>
      <c r="V288" t="str">
        <f t="shared" si="20"/>
        <v>Q1-2011</v>
      </c>
      <c r="W288" t="s">
        <v>1066</v>
      </c>
    </row>
    <row r="289" spans="1:23">
      <c r="A289" t="s">
        <v>306</v>
      </c>
      <c r="F289">
        <v>2009</v>
      </c>
      <c r="G289" s="1" t="s">
        <v>161</v>
      </c>
      <c r="H289" s="79" t="s">
        <v>1211</v>
      </c>
      <c r="L289">
        <v>1</v>
      </c>
      <c r="N289">
        <v>1</v>
      </c>
      <c r="P289">
        <v>1</v>
      </c>
      <c r="R289" s="5">
        <v>39722</v>
      </c>
      <c r="S289" s="5">
        <v>40452</v>
      </c>
      <c r="T289" s="4">
        <f t="shared" si="21"/>
        <v>9</v>
      </c>
      <c r="U289" t="str">
        <f t="shared" si="19"/>
        <v>Q4-2008</v>
      </c>
      <c r="V289" t="str">
        <f t="shared" si="20"/>
        <v>Q4-2010</v>
      </c>
      <c r="W289" t="s">
        <v>379</v>
      </c>
    </row>
    <row r="290" spans="1:23">
      <c r="A290" t="s">
        <v>417</v>
      </c>
      <c r="B290" t="s">
        <v>1154</v>
      </c>
      <c r="C290" t="s">
        <v>653</v>
      </c>
      <c r="D290" t="s">
        <v>797</v>
      </c>
      <c r="F290">
        <v>2011</v>
      </c>
      <c r="G290" s="1" t="s">
        <v>161</v>
      </c>
      <c r="H290" s="79" t="s">
        <v>1211</v>
      </c>
      <c r="M290">
        <v>1</v>
      </c>
      <c r="P290">
        <v>1</v>
      </c>
      <c r="R290" s="5">
        <v>40544</v>
      </c>
      <c r="S290" s="5">
        <v>41061</v>
      </c>
      <c r="T290" s="4">
        <f t="shared" si="21"/>
        <v>6</v>
      </c>
      <c r="U290" t="str">
        <f t="shared" si="19"/>
        <v>Q1-2011</v>
      </c>
      <c r="V290" t="str">
        <f t="shared" si="20"/>
        <v>Q2-2012</v>
      </c>
      <c r="W290" t="s">
        <v>888</v>
      </c>
    </row>
    <row r="291" spans="1:23">
      <c r="A291" t="s">
        <v>410</v>
      </c>
      <c r="F291">
        <v>2013</v>
      </c>
      <c r="G291" s="1" t="s">
        <v>161</v>
      </c>
      <c r="H291" s="79" t="s">
        <v>1211</v>
      </c>
      <c r="P291">
        <v>1</v>
      </c>
      <c r="R291" s="5">
        <v>41609</v>
      </c>
      <c r="S291" s="5">
        <v>41730</v>
      </c>
      <c r="T291" s="4">
        <f t="shared" si="21"/>
        <v>2</v>
      </c>
      <c r="U291" t="str">
        <f t="shared" si="19"/>
        <v>Q4-2013</v>
      </c>
      <c r="V291" t="str">
        <f t="shared" si="20"/>
        <v>Q2-2014</v>
      </c>
      <c r="W291" t="s">
        <v>411</v>
      </c>
    </row>
    <row r="292" spans="1:23">
      <c r="A292" t="s">
        <v>381</v>
      </c>
      <c r="F292">
        <v>2009</v>
      </c>
      <c r="G292" s="1" t="s">
        <v>161</v>
      </c>
      <c r="H292" s="79" t="s">
        <v>1211</v>
      </c>
      <c r="L292">
        <v>1</v>
      </c>
      <c r="N292">
        <v>1</v>
      </c>
      <c r="P292">
        <v>1</v>
      </c>
      <c r="R292" s="5">
        <v>39995</v>
      </c>
      <c r="S292" s="5">
        <v>40360</v>
      </c>
      <c r="T292" s="4">
        <f t="shared" si="21"/>
        <v>5</v>
      </c>
      <c r="U292" t="str">
        <f t="shared" si="19"/>
        <v>Q3-2009</v>
      </c>
      <c r="V292" t="str">
        <f t="shared" si="20"/>
        <v>Q3-2010</v>
      </c>
      <c r="W292" t="s">
        <v>380</v>
      </c>
    </row>
    <row r="293" spans="1:23">
      <c r="A293" t="s">
        <v>309</v>
      </c>
      <c r="F293">
        <v>2008</v>
      </c>
      <c r="G293" s="1" t="s">
        <v>161</v>
      </c>
      <c r="H293" s="79" t="s">
        <v>1211</v>
      </c>
      <c r="K293">
        <v>1</v>
      </c>
      <c r="L293">
        <v>1</v>
      </c>
      <c r="N293">
        <v>1</v>
      </c>
      <c r="P293">
        <v>1</v>
      </c>
      <c r="R293" s="5">
        <v>39722</v>
      </c>
      <c r="S293" s="5">
        <v>41821</v>
      </c>
      <c r="T293" s="4">
        <f t="shared" si="21"/>
        <v>24</v>
      </c>
      <c r="U293" t="str">
        <f t="shared" si="19"/>
        <v>Q4-2008</v>
      </c>
      <c r="V293" t="str">
        <f t="shared" si="20"/>
        <v>Q3-2014</v>
      </c>
      <c r="W293" t="s">
        <v>987</v>
      </c>
    </row>
    <row r="294" spans="1:23">
      <c r="A294" t="s">
        <v>1032</v>
      </c>
      <c r="F294">
        <v>2012</v>
      </c>
      <c r="G294" s="1" t="s">
        <v>161</v>
      </c>
      <c r="H294" s="79" t="s">
        <v>1211</v>
      </c>
      <c r="J294">
        <v>1</v>
      </c>
      <c r="R294" s="5">
        <v>40909</v>
      </c>
      <c r="S294" s="5">
        <v>41244</v>
      </c>
      <c r="T294" s="4">
        <f t="shared" si="21"/>
        <v>4</v>
      </c>
      <c r="U294" t="str">
        <f t="shared" si="19"/>
        <v>Q1-2012</v>
      </c>
      <c r="V294" t="str">
        <f t="shared" si="20"/>
        <v>Q4-2012</v>
      </c>
      <c r="W294" t="s">
        <v>1031</v>
      </c>
    </row>
    <row r="295" spans="1:23">
      <c r="A295" t="s">
        <v>307</v>
      </c>
      <c r="C295" t="s">
        <v>635</v>
      </c>
      <c r="D295" t="s">
        <v>798</v>
      </c>
      <c r="E295">
        <v>1</v>
      </c>
      <c r="F295">
        <v>2012</v>
      </c>
      <c r="G295" s="1" t="s">
        <v>161</v>
      </c>
      <c r="H295" s="79" t="s">
        <v>1211</v>
      </c>
      <c r="K295">
        <v>0</v>
      </c>
      <c r="L295">
        <v>1</v>
      </c>
      <c r="N295">
        <v>1</v>
      </c>
      <c r="P295">
        <v>1</v>
      </c>
      <c r="R295" s="5">
        <v>40695</v>
      </c>
      <c r="S295" s="5">
        <v>41214</v>
      </c>
      <c r="T295" s="4">
        <f t="shared" si="21"/>
        <v>6</v>
      </c>
      <c r="U295" t="str">
        <f t="shared" si="19"/>
        <v>Q2-2011</v>
      </c>
      <c r="V295" t="str">
        <f t="shared" si="20"/>
        <v>Q4-2012</v>
      </c>
      <c r="W295" t="s">
        <v>989</v>
      </c>
    </row>
    <row r="296" spans="1:23">
      <c r="A296" t="s">
        <v>991</v>
      </c>
      <c r="B296" t="s">
        <v>1149</v>
      </c>
      <c r="C296" t="s">
        <v>990</v>
      </c>
      <c r="D296" t="s">
        <v>995</v>
      </c>
      <c r="F296">
        <v>2010</v>
      </c>
      <c r="G296" s="1" t="s">
        <v>161</v>
      </c>
      <c r="H296" s="79" t="s">
        <v>1211</v>
      </c>
      <c r="L296">
        <v>1</v>
      </c>
      <c r="N296">
        <v>1</v>
      </c>
      <c r="R296" s="5">
        <v>40330</v>
      </c>
      <c r="S296" s="5">
        <v>40787</v>
      </c>
      <c r="T296" s="4">
        <f t="shared" si="21"/>
        <v>6</v>
      </c>
      <c r="U296" t="str">
        <f t="shared" si="19"/>
        <v>Q2-2010</v>
      </c>
      <c r="V296" t="str">
        <f t="shared" si="20"/>
        <v>Q3-2011</v>
      </c>
      <c r="W296" t="s">
        <v>992</v>
      </c>
    </row>
    <row r="297" spans="1:23">
      <c r="A297" t="s">
        <v>991</v>
      </c>
      <c r="B297" t="s">
        <v>1149</v>
      </c>
      <c r="C297" t="s">
        <v>990</v>
      </c>
      <c r="D297" t="s">
        <v>995</v>
      </c>
      <c r="F297">
        <v>2012</v>
      </c>
      <c r="G297" s="1" t="s">
        <v>161</v>
      </c>
      <c r="H297" s="79" t="s">
        <v>1211</v>
      </c>
      <c r="K297">
        <v>1</v>
      </c>
      <c r="L297">
        <v>1</v>
      </c>
      <c r="R297" s="5">
        <v>41214</v>
      </c>
      <c r="S297" s="5">
        <v>41334</v>
      </c>
      <c r="T297" s="4">
        <f t="shared" si="21"/>
        <v>2</v>
      </c>
      <c r="U297" t="str">
        <f t="shared" si="19"/>
        <v>Q4-2012</v>
      </c>
      <c r="V297" t="str">
        <f t="shared" si="20"/>
        <v>Q1-2013</v>
      </c>
      <c r="W297" t="s">
        <v>993</v>
      </c>
    </row>
    <row r="298" spans="1:23">
      <c r="A298" t="s">
        <v>991</v>
      </c>
      <c r="B298" t="s">
        <v>1149</v>
      </c>
      <c r="C298" t="s">
        <v>990</v>
      </c>
      <c r="D298" t="s">
        <v>995</v>
      </c>
      <c r="F298">
        <v>2014</v>
      </c>
      <c r="G298" s="1" t="s">
        <v>161</v>
      </c>
      <c r="H298" s="79" t="s">
        <v>1211</v>
      </c>
      <c r="P298">
        <v>1</v>
      </c>
      <c r="R298" s="5">
        <v>41821</v>
      </c>
      <c r="S298" s="5">
        <v>41974</v>
      </c>
      <c r="T298" s="4">
        <f t="shared" si="21"/>
        <v>2</v>
      </c>
      <c r="U298" t="str">
        <f t="shared" si="19"/>
        <v>Q3-2014</v>
      </c>
      <c r="V298" t="str">
        <f t="shared" si="20"/>
        <v>Q4-2014</v>
      </c>
      <c r="W298" t="s">
        <v>994</v>
      </c>
    </row>
    <row r="299" spans="1:23">
      <c r="A299" t="s">
        <v>384</v>
      </c>
      <c r="F299">
        <v>2010</v>
      </c>
      <c r="G299" s="1" t="s">
        <v>161</v>
      </c>
      <c r="H299" s="79" t="s">
        <v>1211</v>
      </c>
      <c r="L299">
        <v>1</v>
      </c>
      <c r="N299">
        <v>1</v>
      </c>
      <c r="P299">
        <v>1</v>
      </c>
      <c r="R299" s="5">
        <v>40238</v>
      </c>
      <c r="S299" s="5">
        <v>41395</v>
      </c>
      <c r="T299" s="4">
        <f t="shared" si="21"/>
        <v>13</v>
      </c>
      <c r="U299" t="str">
        <f t="shared" si="19"/>
        <v>Q1-2010</v>
      </c>
      <c r="V299" t="str">
        <f t="shared" si="20"/>
        <v>Q2-2013</v>
      </c>
      <c r="W299" t="s">
        <v>385</v>
      </c>
    </row>
    <row r="300" spans="1:23">
      <c r="A300" t="s">
        <v>1038</v>
      </c>
      <c r="C300" t="s">
        <v>951</v>
      </c>
      <c r="D300" t="s">
        <v>732</v>
      </c>
      <c r="F300">
        <v>2008</v>
      </c>
      <c r="G300" s="1" t="s">
        <v>395</v>
      </c>
      <c r="H300" s="79" t="s">
        <v>1212</v>
      </c>
      <c r="M300">
        <v>1</v>
      </c>
      <c r="P300">
        <v>1</v>
      </c>
      <c r="R300" s="5">
        <v>39722</v>
      </c>
      <c r="S300" s="5">
        <v>39934</v>
      </c>
      <c r="T300" s="4">
        <f t="shared" si="21"/>
        <v>3</v>
      </c>
      <c r="U300" t="str">
        <f t="shared" si="19"/>
        <v>Q4-2008</v>
      </c>
      <c r="V300" t="str">
        <f t="shared" si="20"/>
        <v>Q2-2009</v>
      </c>
      <c r="W300" t="s">
        <v>422</v>
      </c>
    </row>
    <row r="301" spans="1:23">
      <c r="A301" t="s">
        <v>421</v>
      </c>
      <c r="C301" t="s">
        <v>952</v>
      </c>
      <c r="D301" t="s">
        <v>734</v>
      </c>
      <c r="F301">
        <v>2010</v>
      </c>
      <c r="G301" s="1" t="s">
        <v>395</v>
      </c>
      <c r="H301" s="79" t="s">
        <v>1212</v>
      </c>
      <c r="K301">
        <v>1</v>
      </c>
      <c r="P301">
        <v>1</v>
      </c>
      <c r="R301" s="5">
        <v>40299</v>
      </c>
      <c r="S301" s="5">
        <v>40422</v>
      </c>
      <c r="T301" s="4">
        <f t="shared" si="21"/>
        <v>2</v>
      </c>
      <c r="U301" t="str">
        <f t="shared" si="19"/>
        <v>Q2-2010</v>
      </c>
      <c r="V301" t="str">
        <f t="shared" si="20"/>
        <v>Q3-2010</v>
      </c>
      <c r="W301" t="s">
        <v>427</v>
      </c>
    </row>
    <row r="302" spans="1:23">
      <c r="A302" t="s">
        <v>424</v>
      </c>
      <c r="C302" t="s">
        <v>953</v>
      </c>
      <c r="D302" t="s">
        <v>733</v>
      </c>
      <c r="E302">
        <v>1</v>
      </c>
      <c r="F302">
        <v>2008</v>
      </c>
      <c r="G302" s="1" t="s">
        <v>395</v>
      </c>
      <c r="H302" s="79" t="s">
        <v>1212</v>
      </c>
      <c r="N302">
        <v>1</v>
      </c>
      <c r="R302" s="5">
        <v>39722</v>
      </c>
      <c r="S302" s="5">
        <v>39722</v>
      </c>
      <c r="T302" s="4">
        <f t="shared" si="21"/>
        <v>1</v>
      </c>
      <c r="U302" t="str">
        <f t="shared" si="19"/>
        <v>Q4-2008</v>
      </c>
      <c r="V302" t="str">
        <f t="shared" si="20"/>
        <v>Q4-2008</v>
      </c>
      <c r="W302" t="s">
        <v>170</v>
      </c>
    </row>
    <row r="303" spans="1:23" ht="19" customHeight="1">
      <c r="A303" t="s">
        <v>399</v>
      </c>
      <c r="F303">
        <v>2008</v>
      </c>
      <c r="G303" s="1" t="s">
        <v>395</v>
      </c>
      <c r="H303" s="79" t="s">
        <v>1212</v>
      </c>
      <c r="L303">
        <v>1</v>
      </c>
      <c r="M303">
        <v>1</v>
      </c>
      <c r="P303">
        <v>1</v>
      </c>
      <c r="R303" s="5">
        <v>39722</v>
      </c>
      <c r="S303" s="5">
        <v>39934</v>
      </c>
      <c r="T303" s="4">
        <f t="shared" si="21"/>
        <v>3</v>
      </c>
      <c r="U303" t="str">
        <f t="shared" si="19"/>
        <v>Q4-2008</v>
      </c>
      <c r="V303" t="str">
        <f t="shared" si="20"/>
        <v>Q2-2009</v>
      </c>
      <c r="W303" t="s">
        <v>423</v>
      </c>
    </row>
    <row r="304" spans="1:23">
      <c r="A304" t="s">
        <v>430</v>
      </c>
      <c r="B304" t="s">
        <v>1179</v>
      </c>
      <c r="C304" t="s">
        <v>636</v>
      </c>
      <c r="D304" t="s">
        <v>799</v>
      </c>
      <c r="E304">
        <v>1</v>
      </c>
      <c r="F304">
        <v>2009</v>
      </c>
      <c r="G304" s="1" t="s">
        <v>395</v>
      </c>
      <c r="H304" s="79" t="s">
        <v>1212</v>
      </c>
      <c r="N304">
        <v>1</v>
      </c>
      <c r="R304" s="5">
        <v>39904</v>
      </c>
      <c r="S304" s="5">
        <v>40087</v>
      </c>
      <c r="T304" s="4">
        <f t="shared" si="21"/>
        <v>3</v>
      </c>
      <c r="U304" t="str">
        <f t="shared" si="19"/>
        <v>Q2-2009</v>
      </c>
      <c r="V304" t="str">
        <f t="shared" si="20"/>
        <v>Q4-2009</v>
      </c>
      <c r="W304" t="s">
        <v>433</v>
      </c>
    </row>
    <row r="305" spans="1:24" ht="16" customHeight="1">
      <c r="A305" t="s">
        <v>432</v>
      </c>
      <c r="F305">
        <v>2009</v>
      </c>
      <c r="G305" s="1" t="s">
        <v>395</v>
      </c>
      <c r="H305" s="79" t="s">
        <v>1212</v>
      </c>
      <c r="N305">
        <v>1</v>
      </c>
      <c r="P305">
        <v>1</v>
      </c>
      <c r="R305" s="5">
        <v>39904</v>
      </c>
      <c r="S305" s="5">
        <v>40483</v>
      </c>
      <c r="T305" s="4">
        <f t="shared" si="21"/>
        <v>7</v>
      </c>
      <c r="U305" t="str">
        <f t="shared" si="19"/>
        <v>Q2-2009</v>
      </c>
      <c r="V305" t="str">
        <f t="shared" si="20"/>
        <v>Q4-2010</v>
      </c>
      <c r="W305" t="s">
        <v>434</v>
      </c>
    </row>
    <row r="306" spans="1:24">
      <c r="A306" t="s">
        <v>431</v>
      </c>
      <c r="F306">
        <v>2009</v>
      </c>
      <c r="G306" s="1" t="s">
        <v>395</v>
      </c>
      <c r="H306" s="79" t="s">
        <v>1212</v>
      </c>
      <c r="N306">
        <v>1</v>
      </c>
      <c r="R306" s="5">
        <v>39722</v>
      </c>
      <c r="S306" s="5">
        <v>39845</v>
      </c>
      <c r="T306" s="4">
        <f t="shared" si="21"/>
        <v>2</v>
      </c>
      <c r="U306" t="str">
        <f t="shared" si="19"/>
        <v>Q4-2008</v>
      </c>
      <c r="V306" t="str">
        <f t="shared" si="20"/>
        <v>Q1-2009</v>
      </c>
      <c r="W306" t="s">
        <v>170</v>
      </c>
    </row>
    <row r="307" spans="1:24">
      <c r="A307" t="s">
        <v>396</v>
      </c>
      <c r="B307" t="s">
        <v>1180</v>
      </c>
      <c r="C307" t="s">
        <v>637</v>
      </c>
      <c r="D307" t="s">
        <v>800</v>
      </c>
      <c r="E307">
        <v>1</v>
      </c>
      <c r="F307">
        <v>2008</v>
      </c>
      <c r="G307" s="1" t="s">
        <v>395</v>
      </c>
      <c r="H307" s="79" t="s">
        <v>1212</v>
      </c>
      <c r="N307">
        <v>1</v>
      </c>
      <c r="R307" s="5">
        <v>39722</v>
      </c>
      <c r="S307" s="5">
        <v>39722</v>
      </c>
      <c r="T307" s="4">
        <f t="shared" si="21"/>
        <v>1</v>
      </c>
      <c r="U307" t="str">
        <f t="shared" si="19"/>
        <v>Q4-2008</v>
      </c>
      <c r="V307" t="str">
        <f t="shared" si="20"/>
        <v>Q4-2008</v>
      </c>
      <c r="W307" t="s">
        <v>170</v>
      </c>
    </row>
    <row r="308" spans="1:24">
      <c r="A308" t="s">
        <v>397</v>
      </c>
      <c r="F308">
        <v>2008</v>
      </c>
      <c r="G308" s="1" t="s">
        <v>395</v>
      </c>
      <c r="H308" s="79" t="s">
        <v>1212</v>
      </c>
      <c r="N308">
        <v>1</v>
      </c>
      <c r="R308" s="5">
        <v>39722</v>
      </c>
      <c r="S308" s="5">
        <v>39722</v>
      </c>
      <c r="T308" s="4">
        <f t="shared" si="21"/>
        <v>1</v>
      </c>
      <c r="U308" t="str">
        <f t="shared" si="19"/>
        <v>Q4-2008</v>
      </c>
      <c r="V308" t="str">
        <f t="shared" si="20"/>
        <v>Q4-2008</v>
      </c>
      <c r="W308" t="s">
        <v>170</v>
      </c>
    </row>
    <row r="309" spans="1:24">
      <c r="A309" t="s">
        <v>398</v>
      </c>
      <c r="F309">
        <v>2008</v>
      </c>
      <c r="G309" s="1" t="s">
        <v>395</v>
      </c>
      <c r="H309" s="79" t="s">
        <v>1212</v>
      </c>
      <c r="N309">
        <v>1</v>
      </c>
      <c r="R309" s="5">
        <v>39508</v>
      </c>
      <c r="S309" s="5">
        <v>39508</v>
      </c>
      <c r="T309" s="4">
        <f t="shared" si="21"/>
        <v>1</v>
      </c>
      <c r="U309" t="str">
        <f t="shared" si="19"/>
        <v>Q1-2008</v>
      </c>
      <c r="V309" t="str">
        <f t="shared" si="20"/>
        <v>Q1-2008</v>
      </c>
      <c r="W309" t="s">
        <v>1070</v>
      </c>
    </row>
    <row r="310" spans="1:24">
      <c r="A310" t="s">
        <v>487</v>
      </c>
      <c r="C310" t="s">
        <v>638</v>
      </c>
      <c r="D310" t="s">
        <v>801</v>
      </c>
      <c r="E310">
        <v>1</v>
      </c>
      <c r="F310">
        <v>2008</v>
      </c>
      <c r="G310" s="1" t="s">
        <v>461</v>
      </c>
      <c r="H310" s="79" t="s">
        <v>1213</v>
      </c>
      <c r="O310">
        <v>1</v>
      </c>
      <c r="R310" s="5">
        <v>39722</v>
      </c>
      <c r="S310" s="5">
        <v>39722</v>
      </c>
      <c r="T310" s="4">
        <f t="shared" si="21"/>
        <v>1</v>
      </c>
      <c r="U310" t="str">
        <f t="shared" si="19"/>
        <v>Q4-2008</v>
      </c>
      <c r="V310" t="str">
        <f t="shared" si="20"/>
        <v>Q4-2008</v>
      </c>
      <c r="W310" t="s">
        <v>488</v>
      </c>
    </row>
    <row r="311" spans="1:24">
      <c r="A311" t="s">
        <v>483</v>
      </c>
      <c r="C311" t="s">
        <v>639</v>
      </c>
      <c r="D311" t="s">
        <v>802</v>
      </c>
      <c r="E311">
        <v>1</v>
      </c>
      <c r="F311">
        <v>2008</v>
      </c>
      <c r="G311" s="1" t="s">
        <v>461</v>
      </c>
      <c r="H311" s="79" t="s">
        <v>1213</v>
      </c>
      <c r="L311">
        <v>1</v>
      </c>
      <c r="R311" s="5">
        <v>39539</v>
      </c>
      <c r="S311" s="5">
        <v>39722</v>
      </c>
      <c r="T311" s="4">
        <f t="shared" si="21"/>
        <v>3</v>
      </c>
      <c r="U311" t="str">
        <f t="shared" si="19"/>
        <v>Q2-2008</v>
      </c>
      <c r="V311" t="str">
        <f t="shared" si="20"/>
        <v>Q4-2008</v>
      </c>
      <c r="W311" t="s">
        <v>485</v>
      </c>
    </row>
    <row r="312" spans="1:24">
      <c r="A312" t="s">
        <v>581</v>
      </c>
      <c r="C312" t="s">
        <v>954</v>
      </c>
      <c r="D312" t="s">
        <v>735</v>
      </c>
      <c r="E312">
        <v>1</v>
      </c>
      <c r="F312">
        <v>2007</v>
      </c>
      <c r="G312" s="1" t="s">
        <v>438</v>
      </c>
      <c r="H312" s="79" t="s">
        <v>1214</v>
      </c>
      <c r="L312">
        <v>1</v>
      </c>
      <c r="R312" s="5">
        <v>39387</v>
      </c>
      <c r="S312" s="5">
        <v>39722</v>
      </c>
      <c r="T312" s="4">
        <v>5</v>
      </c>
      <c r="U312" t="str">
        <f t="shared" si="19"/>
        <v>Q4-2007</v>
      </c>
      <c r="V312" t="str">
        <f t="shared" si="20"/>
        <v>Q4-2008</v>
      </c>
      <c r="W312" t="s">
        <v>879</v>
      </c>
    </row>
    <row r="313" spans="1:24">
      <c r="A313" t="s">
        <v>581</v>
      </c>
      <c r="C313" t="s">
        <v>954</v>
      </c>
      <c r="D313" t="s">
        <v>735</v>
      </c>
      <c r="E313">
        <v>1</v>
      </c>
      <c r="F313">
        <v>2007</v>
      </c>
      <c r="G313" s="1" t="s">
        <v>438</v>
      </c>
      <c r="H313" s="79" t="s">
        <v>1214</v>
      </c>
      <c r="P313">
        <v>1</v>
      </c>
      <c r="R313" s="5">
        <v>40299</v>
      </c>
      <c r="S313" s="5">
        <v>40299</v>
      </c>
      <c r="T313" s="4">
        <f>FLOOR(((YEAR(S313)*12+MONTH(S313))-(YEAR(R313)*12+MONTH(R313)))/3,1)+1</f>
        <v>1</v>
      </c>
      <c r="U313" t="str">
        <f t="shared" si="19"/>
        <v>Q2-2010</v>
      </c>
      <c r="V313" t="str">
        <f t="shared" si="20"/>
        <v>Q2-2010</v>
      </c>
      <c r="W313" t="s">
        <v>878</v>
      </c>
    </row>
    <row r="314" spans="1:24">
      <c r="A314" t="s">
        <v>477</v>
      </c>
      <c r="C314" t="s">
        <v>955</v>
      </c>
      <c r="D314" t="s">
        <v>736</v>
      </c>
      <c r="E314">
        <v>1</v>
      </c>
      <c r="F314">
        <v>2008</v>
      </c>
      <c r="G314" s="1" t="s">
        <v>438</v>
      </c>
      <c r="H314" s="79" t="s">
        <v>1214</v>
      </c>
      <c r="N314">
        <v>1</v>
      </c>
      <c r="R314" s="5">
        <v>39722</v>
      </c>
      <c r="S314" s="5">
        <v>39722</v>
      </c>
      <c r="T314" s="4">
        <f>FLOOR(((YEAR(S314)*12+MONTH(S314))-(YEAR(R314)*12+MONTH(R314)))/3,1)+1</f>
        <v>1</v>
      </c>
      <c r="U314" t="str">
        <f t="shared" si="19"/>
        <v>Q4-2008</v>
      </c>
      <c r="V314" t="str">
        <f t="shared" si="20"/>
        <v>Q4-2008</v>
      </c>
      <c r="W314" t="s">
        <v>170</v>
      </c>
      <c r="X314" t="s">
        <v>482</v>
      </c>
    </row>
    <row r="315" spans="1:24">
      <c r="A315" t="s">
        <v>469</v>
      </c>
      <c r="B315" t="s">
        <v>1159</v>
      </c>
      <c r="C315" t="s">
        <v>640</v>
      </c>
      <c r="D315" t="s">
        <v>803</v>
      </c>
      <c r="E315">
        <v>1</v>
      </c>
      <c r="F315">
        <v>2008</v>
      </c>
      <c r="G315" s="1" t="s">
        <v>438</v>
      </c>
      <c r="H315" s="79" t="s">
        <v>1214</v>
      </c>
      <c r="N315">
        <v>1</v>
      </c>
      <c r="R315" s="5">
        <v>39722</v>
      </c>
      <c r="S315" s="5">
        <v>39722</v>
      </c>
      <c r="T315" s="4">
        <f>FLOOR(((YEAR(S315)*12+MONTH(S315))-(YEAR(R315)*12+MONTH(R315)))/3,1)+1</f>
        <v>1</v>
      </c>
      <c r="U315" t="str">
        <f t="shared" si="19"/>
        <v>Q4-2008</v>
      </c>
      <c r="V315" t="str">
        <f t="shared" si="20"/>
        <v>Q4-2008</v>
      </c>
      <c r="W315" t="s">
        <v>876</v>
      </c>
    </row>
    <row r="316" spans="1:24">
      <c r="A316" t="s">
        <v>569</v>
      </c>
      <c r="F316">
        <v>2008</v>
      </c>
      <c r="G316" s="1" t="s">
        <v>438</v>
      </c>
      <c r="H316" s="79" t="s">
        <v>1214</v>
      </c>
      <c r="P316">
        <v>1</v>
      </c>
      <c r="R316" s="5">
        <v>39722</v>
      </c>
      <c r="S316" s="5">
        <v>39783</v>
      </c>
      <c r="T316" s="4">
        <f>FLOOR(((YEAR(S316)*12+MONTH(S316))-(YEAR(R316)*12+MONTH(R316)))/3,1)+1</f>
        <v>1</v>
      </c>
      <c r="U316" t="str">
        <f t="shared" si="19"/>
        <v>Q4-2008</v>
      </c>
      <c r="V316" t="str">
        <f t="shared" si="20"/>
        <v>Q4-2008</v>
      </c>
      <c r="W316" t="s">
        <v>570</v>
      </c>
    </row>
    <row r="317" spans="1:24">
      <c r="A317" t="s">
        <v>437</v>
      </c>
      <c r="C317" t="s">
        <v>956</v>
      </c>
      <c r="D317" t="s">
        <v>737</v>
      </c>
      <c r="E317">
        <v>1</v>
      </c>
      <c r="F317">
        <v>2008</v>
      </c>
      <c r="G317" s="1" t="s">
        <v>438</v>
      </c>
      <c r="H317" s="79" t="s">
        <v>1214</v>
      </c>
      <c r="K317">
        <v>0</v>
      </c>
      <c r="L317">
        <v>1</v>
      </c>
      <c r="M317">
        <v>1</v>
      </c>
      <c r="P317">
        <v>1</v>
      </c>
      <c r="R317" s="5">
        <v>39600</v>
      </c>
      <c r="S317" s="5">
        <v>39873</v>
      </c>
      <c r="T317" s="4">
        <v>3</v>
      </c>
      <c r="U317" t="str">
        <f t="shared" si="19"/>
        <v>Q2-2008</v>
      </c>
      <c r="V317" t="str">
        <f t="shared" si="20"/>
        <v>Q1-2009</v>
      </c>
      <c r="W317" t="s">
        <v>1109</v>
      </c>
      <c r="X317"/>
    </row>
    <row r="318" spans="1:24">
      <c r="A318" t="s">
        <v>1062</v>
      </c>
      <c r="C318" t="s">
        <v>1016</v>
      </c>
      <c r="D318" t="s">
        <v>1017</v>
      </c>
      <c r="E318">
        <v>1</v>
      </c>
      <c r="F318">
        <v>2009</v>
      </c>
      <c r="G318" s="1" t="s">
        <v>438</v>
      </c>
      <c r="H318" s="79" t="s">
        <v>1214</v>
      </c>
      <c r="K318">
        <v>0</v>
      </c>
      <c r="P318">
        <v>1</v>
      </c>
      <c r="R318" s="5">
        <v>39873</v>
      </c>
      <c r="S318" s="5">
        <v>40575</v>
      </c>
      <c r="T318" s="4">
        <v>9</v>
      </c>
      <c r="U318" t="str">
        <f t="shared" si="19"/>
        <v>Q1-2009</v>
      </c>
      <c r="V318" t="str">
        <f t="shared" si="20"/>
        <v>Q1-2011</v>
      </c>
      <c r="W318" t="s">
        <v>1063</v>
      </c>
    </row>
    <row r="319" spans="1:24">
      <c r="A319" t="s">
        <v>562</v>
      </c>
      <c r="F319">
        <v>2008</v>
      </c>
      <c r="G319" s="1" t="s">
        <v>438</v>
      </c>
      <c r="H319" s="79" t="s">
        <v>1214</v>
      </c>
      <c r="K319">
        <v>1</v>
      </c>
      <c r="P319">
        <v>1</v>
      </c>
      <c r="R319" s="5">
        <v>39722</v>
      </c>
      <c r="S319" s="5">
        <v>40269</v>
      </c>
      <c r="T319" s="4">
        <f t="shared" ref="T319:T328" si="22">FLOOR(((YEAR(S319)*12+MONTH(S319))-(YEAR(R319)*12+MONTH(R319)))/3,1)+1</f>
        <v>7</v>
      </c>
      <c r="U319" t="str">
        <f t="shared" si="19"/>
        <v>Q4-2008</v>
      </c>
      <c r="V319" t="str">
        <f t="shared" si="20"/>
        <v>Q2-2010</v>
      </c>
      <c r="W319" t="s">
        <v>1007</v>
      </c>
      <c r="X319" t="s">
        <v>564</v>
      </c>
    </row>
    <row r="320" spans="1:24">
      <c r="A320" t="s">
        <v>572</v>
      </c>
      <c r="F320">
        <v>2008</v>
      </c>
      <c r="G320" s="1" t="s">
        <v>438</v>
      </c>
      <c r="H320" s="79" t="s">
        <v>1214</v>
      </c>
      <c r="P320">
        <v>1</v>
      </c>
      <c r="R320" s="5">
        <v>39692</v>
      </c>
      <c r="S320" s="5">
        <v>39783</v>
      </c>
      <c r="T320" s="4">
        <f t="shared" si="22"/>
        <v>2</v>
      </c>
      <c r="U320" t="str">
        <f t="shared" si="19"/>
        <v>Q3-2008</v>
      </c>
      <c r="V320" t="str">
        <f t="shared" si="20"/>
        <v>Q4-2008</v>
      </c>
      <c r="W320" t="s">
        <v>574</v>
      </c>
    </row>
    <row r="321" spans="1:24">
      <c r="A321" t="s">
        <v>470</v>
      </c>
      <c r="F321">
        <v>2008</v>
      </c>
      <c r="G321" s="1" t="s">
        <v>438</v>
      </c>
      <c r="H321" s="79" t="s">
        <v>1214</v>
      </c>
      <c r="N321">
        <v>1</v>
      </c>
      <c r="R321" s="5">
        <v>39722</v>
      </c>
      <c r="S321" s="5">
        <v>39783</v>
      </c>
      <c r="T321" s="4">
        <f t="shared" si="22"/>
        <v>1</v>
      </c>
      <c r="U321" t="str">
        <f t="shared" si="19"/>
        <v>Q4-2008</v>
      </c>
      <c r="V321" t="str">
        <f t="shared" si="20"/>
        <v>Q4-2008</v>
      </c>
      <c r="W321" t="s">
        <v>170</v>
      </c>
    </row>
    <row r="322" spans="1:24">
      <c r="A322" t="s">
        <v>471</v>
      </c>
      <c r="C322" t="s">
        <v>652</v>
      </c>
      <c r="D322" t="s">
        <v>811</v>
      </c>
      <c r="F322">
        <v>2008</v>
      </c>
      <c r="G322" s="1" t="s">
        <v>438</v>
      </c>
      <c r="H322" s="79" t="s">
        <v>1214</v>
      </c>
      <c r="N322">
        <v>1</v>
      </c>
      <c r="R322" s="5">
        <v>39722</v>
      </c>
      <c r="S322" s="5">
        <v>39722</v>
      </c>
      <c r="T322" s="4">
        <f t="shared" si="22"/>
        <v>1</v>
      </c>
      <c r="U322" t="str">
        <f t="shared" si="19"/>
        <v>Q4-2008</v>
      </c>
      <c r="V322" t="str">
        <f t="shared" si="20"/>
        <v>Q4-2008</v>
      </c>
      <c r="W322" t="s">
        <v>481</v>
      </c>
    </row>
    <row r="323" spans="1:24">
      <c r="A323" t="s">
        <v>571</v>
      </c>
      <c r="F323">
        <v>2008</v>
      </c>
      <c r="G323" s="1" t="s">
        <v>438</v>
      </c>
      <c r="H323" s="79" t="s">
        <v>1214</v>
      </c>
      <c r="P323">
        <v>1</v>
      </c>
      <c r="R323" s="5">
        <v>39692</v>
      </c>
      <c r="S323" s="5">
        <v>39783</v>
      </c>
      <c r="T323" s="4">
        <f t="shared" si="22"/>
        <v>2</v>
      </c>
      <c r="U323" t="str">
        <f t="shared" si="19"/>
        <v>Q3-2008</v>
      </c>
      <c r="V323" t="str">
        <f t="shared" si="20"/>
        <v>Q4-2008</v>
      </c>
      <c r="W323" t="s">
        <v>574</v>
      </c>
    </row>
    <row r="324" spans="1:24">
      <c r="A324" t="s">
        <v>573</v>
      </c>
      <c r="F324">
        <v>2009</v>
      </c>
      <c r="G324" s="1" t="s">
        <v>438</v>
      </c>
      <c r="H324" s="79" t="s">
        <v>1214</v>
      </c>
      <c r="K324">
        <v>1</v>
      </c>
      <c r="P324">
        <v>1</v>
      </c>
      <c r="R324" s="5">
        <v>39873</v>
      </c>
      <c r="S324" s="5">
        <v>39873</v>
      </c>
      <c r="T324" s="4">
        <f t="shared" si="22"/>
        <v>1</v>
      </c>
      <c r="U324" t="str">
        <f t="shared" si="19"/>
        <v>Q1-2009</v>
      </c>
      <c r="V324" t="str">
        <f t="shared" si="20"/>
        <v>Q1-2009</v>
      </c>
      <c r="W324" t="s">
        <v>1008</v>
      </c>
    </row>
    <row r="325" spans="1:24">
      <c r="A325" t="s">
        <v>439</v>
      </c>
      <c r="C325" t="s">
        <v>957</v>
      </c>
      <c r="D325" t="s">
        <v>439</v>
      </c>
      <c r="E325">
        <v>1</v>
      </c>
      <c r="F325">
        <v>2008</v>
      </c>
      <c r="G325" s="1" t="s">
        <v>438</v>
      </c>
      <c r="H325" s="79" t="s">
        <v>1214</v>
      </c>
      <c r="L325">
        <v>1</v>
      </c>
      <c r="P325">
        <v>1</v>
      </c>
      <c r="R325" s="5">
        <v>39722</v>
      </c>
      <c r="S325" s="5">
        <v>39814</v>
      </c>
      <c r="T325" s="4">
        <f t="shared" si="22"/>
        <v>2</v>
      </c>
      <c r="U325" t="str">
        <f t="shared" si="19"/>
        <v>Q4-2008</v>
      </c>
      <c r="V325" t="str">
        <f t="shared" si="20"/>
        <v>Q1-2009</v>
      </c>
      <c r="W325" t="s">
        <v>441</v>
      </c>
    </row>
    <row r="326" spans="1:24">
      <c r="A326" t="s">
        <v>472</v>
      </c>
      <c r="C326" t="s">
        <v>740</v>
      </c>
      <c r="D326" t="s">
        <v>804</v>
      </c>
      <c r="E326">
        <v>1</v>
      </c>
      <c r="F326">
        <v>2008</v>
      </c>
      <c r="G326" s="1" t="s">
        <v>438</v>
      </c>
      <c r="H326" s="79" t="s">
        <v>1214</v>
      </c>
      <c r="N326">
        <v>1</v>
      </c>
      <c r="R326" s="5">
        <v>39722</v>
      </c>
      <c r="S326" s="5">
        <v>39722</v>
      </c>
      <c r="T326" s="4">
        <f t="shared" si="22"/>
        <v>1</v>
      </c>
      <c r="U326" t="str">
        <f t="shared" ref="U326:U344" si="23">"Q" &amp;INT((MONTH(R326)+2)/3) &amp; "-" &amp; YEAR(R326)</f>
        <v>Q4-2008</v>
      </c>
      <c r="V326" t="str">
        <f t="shared" ref="V326:V344" si="24">"Q" &amp;INT((MONTH(S326)+2)/3) &amp; "-" &amp; YEAR(S326)</f>
        <v>Q4-2008</v>
      </c>
      <c r="W326" t="s">
        <v>170</v>
      </c>
    </row>
    <row r="327" spans="1:24">
      <c r="A327" t="s">
        <v>537</v>
      </c>
      <c r="D327" s="40">
        <v>911944</v>
      </c>
      <c r="F327">
        <v>2008</v>
      </c>
      <c r="G327" s="1" t="s">
        <v>438</v>
      </c>
      <c r="H327" s="79" t="s">
        <v>1214</v>
      </c>
      <c r="J327">
        <v>1</v>
      </c>
      <c r="R327" s="5">
        <v>39722</v>
      </c>
      <c r="S327" s="5">
        <v>39722</v>
      </c>
      <c r="T327" s="4">
        <f t="shared" si="22"/>
        <v>1</v>
      </c>
      <c r="U327" t="str">
        <f t="shared" si="23"/>
        <v>Q4-2008</v>
      </c>
      <c r="V327" t="str">
        <f t="shared" si="24"/>
        <v>Q4-2008</v>
      </c>
      <c r="W327" t="s">
        <v>538</v>
      </c>
    </row>
    <row r="328" spans="1:24">
      <c r="A328" t="s">
        <v>440</v>
      </c>
      <c r="B328" t="s">
        <v>1160</v>
      </c>
      <c r="C328" t="s">
        <v>641</v>
      </c>
      <c r="D328" t="s">
        <v>806</v>
      </c>
      <c r="F328">
        <v>2008</v>
      </c>
      <c r="G328" s="1" t="s">
        <v>438</v>
      </c>
      <c r="H328" s="79" t="s">
        <v>1214</v>
      </c>
      <c r="L328">
        <v>1</v>
      </c>
      <c r="M328">
        <v>1</v>
      </c>
      <c r="R328" s="5">
        <v>39722</v>
      </c>
      <c r="S328" s="5">
        <v>39965</v>
      </c>
      <c r="T328" s="4">
        <f t="shared" si="22"/>
        <v>3</v>
      </c>
      <c r="U328" t="str">
        <f t="shared" si="23"/>
        <v>Q4-2008</v>
      </c>
      <c r="V328" t="str">
        <f t="shared" si="24"/>
        <v>Q2-2009</v>
      </c>
      <c r="W328" t="s">
        <v>442</v>
      </c>
    </row>
    <row r="329" spans="1:24">
      <c r="A329" t="s">
        <v>443</v>
      </c>
      <c r="B329" t="s">
        <v>1160</v>
      </c>
      <c r="C329" t="s">
        <v>641</v>
      </c>
      <c r="D329" t="s">
        <v>806</v>
      </c>
      <c r="E329">
        <v>1</v>
      </c>
      <c r="F329">
        <v>2013</v>
      </c>
      <c r="G329" s="1" t="s">
        <v>438</v>
      </c>
      <c r="H329" s="79" t="s">
        <v>1214</v>
      </c>
      <c r="L329">
        <v>1</v>
      </c>
      <c r="Q329">
        <v>1</v>
      </c>
      <c r="R329" s="5">
        <v>40695</v>
      </c>
      <c r="S329" s="5">
        <v>41365</v>
      </c>
      <c r="T329" s="4">
        <v>9</v>
      </c>
      <c r="U329" t="str">
        <f t="shared" si="23"/>
        <v>Q2-2011</v>
      </c>
      <c r="V329" t="str">
        <f t="shared" si="24"/>
        <v>Q2-2013</v>
      </c>
      <c r="W329" t="s">
        <v>446</v>
      </c>
    </row>
    <row r="330" spans="1:24">
      <c r="A330" t="s">
        <v>583</v>
      </c>
      <c r="C330" t="s">
        <v>958</v>
      </c>
      <c r="D330" t="s">
        <v>738</v>
      </c>
      <c r="F330">
        <v>2008</v>
      </c>
      <c r="G330" s="1" t="s">
        <v>438</v>
      </c>
      <c r="H330" s="79" t="s">
        <v>1214</v>
      </c>
      <c r="J330">
        <v>1</v>
      </c>
      <c r="R330" s="5">
        <v>39479</v>
      </c>
      <c r="S330" s="5">
        <v>39753</v>
      </c>
      <c r="T330" s="4">
        <f>FLOOR(((YEAR(S330)*12+MONTH(S330))-(YEAR(R330)*12+MONTH(R330)))/3,1)+1</f>
        <v>4</v>
      </c>
      <c r="U330" t="str">
        <f t="shared" si="23"/>
        <v>Q1-2008</v>
      </c>
      <c r="V330" t="str">
        <f t="shared" si="24"/>
        <v>Q4-2008</v>
      </c>
      <c r="W330" t="s">
        <v>584</v>
      </c>
    </row>
    <row r="331" spans="1:24">
      <c r="A331" t="s">
        <v>473</v>
      </c>
      <c r="C331" t="s">
        <v>651</v>
      </c>
      <c r="D331" t="s">
        <v>812</v>
      </c>
      <c r="F331">
        <v>2008</v>
      </c>
      <c r="G331" s="1" t="s">
        <v>438</v>
      </c>
      <c r="H331" s="79" t="s">
        <v>1214</v>
      </c>
      <c r="N331">
        <v>1</v>
      </c>
      <c r="R331" s="5">
        <v>39722</v>
      </c>
      <c r="S331" s="5">
        <v>39722</v>
      </c>
      <c r="T331" s="4">
        <f>FLOOR(((YEAR(S331)*12+MONTH(S331))-(YEAR(R331)*12+MONTH(R331)))/3,1)+1</f>
        <v>1</v>
      </c>
      <c r="U331" t="str">
        <f t="shared" si="23"/>
        <v>Q4-2008</v>
      </c>
      <c r="V331" t="str">
        <f t="shared" si="24"/>
        <v>Q4-2008</v>
      </c>
      <c r="W331" t="s">
        <v>481</v>
      </c>
    </row>
    <row r="332" spans="1:24">
      <c r="A332" t="s">
        <v>1061</v>
      </c>
      <c r="B332" t="s">
        <v>1161</v>
      </c>
      <c r="C332" t="s">
        <v>741</v>
      </c>
      <c r="D332" t="s">
        <v>813</v>
      </c>
      <c r="E332">
        <v>1</v>
      </c>
      <c r="F332">
        <v>2008</v>
      </c>
      <c r="G332" s="1" t="s">
        <v>438</v>
      </c>
      <c r="H332" s="79" t="s">
        <v>1214</v>
      </c>
      <c r="L332">
        <v>1</v>
      </c>
      <c r="M332">
        <v>1</v>
      </c>
      <c r="R332" s="5">
        <v>39722</v>
      </c>
      <c r="S332" s="5">
        <v>40148</v>
      </c>
      <c r="T332" s="4">
        <f>FLOOR(((YEAR(S332)*12+MONTH(S332))-(YEAR(R332)*12+MONTH(R332)))/3,1)+1</f>
        <v>5</v>
      </c>
      <c r="U332" t="str">
        <f t="shared" si="23"/>
        <v>Q4-2008</v>
      </c>
      <c r="V332" t="str">
        <f t="shared" si="24"/>
        <v>Q4-2009</v>
      </c>
      <c r="W332" t="s">
        <v>448</v>
      </c>
      <c r="X332" t="s">
        <v>960</v>
      </c>
    </row>
    <row r="333" spans="1:24">
      <c r="A333" t="s">
        <v>447</v>
      </c>
      <c r="C333" t="s">
        <v>959</v>
      </c>
      <c r="D333" t="s">
        <v>739</v>
      </c>
      <c r="E333">
        <v>1</v>
      </c>
      <c r="F333">
        <v>2007</v>
      </c>
      <c r="G333" s="1" t="s">
        <v>438</v>
      </c>
      <c r="H333" s="79" t="s">
        <v>1214</v>
      </c>
      <c r="J333">
        <v>1</v>
      </c>
      <c r="L333">
        <v>1</v>
      </c>
      <c r="M333">
        <v>1</v>
      </c>
      <c r="R333" s="5">
        <v>39326</v>
      </c>
      <c r="S333" s="5">
        <v>39479</v>
      </c>
      <c r="T333" s="4">
        <v>3</v>
      </c>
      <c r="U333" t="str">
        <f t="shared" si="23"/>
        <v>Q3-2007</v>
      </c>
      <c r="V333" t="str">
        <f t="shared" si="24"/>
        <v>Q1-2008</v>
      </c>
      <c r="W333" t="s">
        <v>877</v>
      </c>
    </row>
    <row r="334" spans="1:24">
      <c r="A334" t="s">
        <v>447</v>
      </c>
      <c r="C334" t="s">
        <v>959</v>
      </c>
      <c r="D334" t="s">
        <v>739</v>
      </c>
      <c r="E334">
        <v>1</v>
      </c>
      <c r="F334">
        <v>2010</v>
      </c>
      <c r="G334" s="1" t="s">
        <v>438</v>
      </c>
      <c r="H334" s="79" t="s">
        <v>1214</v>
      </c>
      <c r="J334">
        <v>1</v>
      </c>
      <c r="K334">
        <v>0</v>
      </c>
      <c r="R334" s="5">
        <v>40179</v>
      </c>
      <c r="S334" s="5">
        <v>40909</v>
      </c>
      <c r="T334" s="4">
        <f t="shared" ref="T334:T344" si="25">FLOOR(((YEAR(S334)*12+MONTH(S334))-(YEAR(R334)*12+MONTH(R334)))/3,1)+1</f>
        <v>9</v>
      </c>
      <c r="U334" t="str">
        <f t="shared" si="23"/>
        <v>Q1-2010</v>
      </c>
      <c r="V334" t="str">
        <f t="shared" si="24"/>
        <v>Q1-2012</v>
      </c>
      <c r="W334" t="s">
        <v>1004</v>
      </c>
    </row>
    <row r="335" spans="1:24">
      <c r="A335" t="s">
        <v>576</v>
      </c>
      <c r="F335">
        <v>2011</v>
      </c>
      <c r="G335" s="1" t="s">
        <v>438</v>
      </c>
      <c r="H335" s="79" t="s">
        <v>1214</v>
      </c>
      <c r="L335">
        <v>1</v>
      </c>
      <c r="P335">
        <v>1</v>
      </c>
      <c r="R335" s="5">
        <v>40634</v>
      </c>
      <c r="S335" s="5">
        <v>40848</v>
      </c>
      <c r="T335" s="4">
        <f t="shared" si="25"/>
        <v>3</v>
      </c>
      <c r="U335" t="str">
        <f t="shared" si="23"/>
        <v>Q2-2011</v>
      </c>
      <c r="V335" t="str">
        <f t="shared" si="24"/>
        <v>Q4-2011</v>
      </c>
      <c r="W335" t="s">
        <v>577</v>
      </c>
    </row>
    <row r="336" spans="1:24">
      <c r="A336" t="s">
        <v>1040</v>
      </c>
      <c r="C336" t="s">
        <v>642</v>
      </c>
      <c r="D336" s="40">
        <v>399937</v>
      </c>
      <c r="F336">
        <v>2008</v>
      </c>
      <c r="G336" s="1" t="s">
        <v>438</v>
      </c>
      <c r="H336" s="79" t="s">
        <v>1214</v>
      </c>
      <c r="N336">
        <v>1</v>
      </c>
      <c r="R336" s="5">
        <v>39722</v>
      </c>
      <c r="S336" s="5">
        <v>39722</v>
      </c>
      <c r="T336" s="4">
        <f t="shared" si="25"/>
        <v>1</v>
      </c>
      <c r="U336" t="str">
        <f t="shared" si="23"/>
        <v>Q4-2008</v>
      </c>
      <c r="V336" t="str">
        <f t="shared" si="24"/>
        <v>Q4-2008</v>
      </c>
      <c r="W336" t="s">
        <v>1041</v>
      </c>
    </row>
    <row r="337" spans="1:24">
      <c r="A337" t="s">
        <v>565</v>
      </c>
      <c r="F337">
        <v>2008</v>
      </c>
      <c r="G337" s="1" t="s">
        <v>438</v>
      </c>
      <c r="H337" s="79" t="s">
        <v>1214</v>
      </c>
      <c r="P337">
        <v>1</v>
      </c>
      <c r="R337" s="5">
        <v>39508</v>
      </c>
      <c r="S337" s="5">
        <v>39873</v>
      </c>
      <c r="T337" s="4">
        <f t="shared" si="25"/>
        <v>5</v>
      </c>
      <c r="U337" t="str">
        <f t="shared" si="23"/>
        <v>Q1-2008</v>
      </c>
      <c r="V337" t="str">
        <f t="shared" si="24"/>
        <v>Q1-2009</v>
      </c>
      <c r="W337" t="s">
        <v>568</v>
      </c>
    </row>
    <row r="338" spans="1:24">
      <c r="A338" t="s">
        <v>474</v>
      </c>
      <c r="F338">
        <v>2008</v>
      </c>
      <c r="G338" s="1" t="s">
        <v>438</v>
      </c>
      <c r="H338" s="79" t="s">
        <v>1214</v>
      </c>
      <c r="N338">
        <v>1</v>
      </c>
      <c r="R338" s="5">
        <v>39722</v>
      </c>
      <c r="S338" s="5">
        <v>39722</v>
      </c>
      <c r="T338" s="4">
        <f t="shared" si="25"/>
        <v>1</v>
      </c>
      <c r="U338" t="str">
        <f t="shared" si="23"/>
        <v>Q4-2008</v>
      </c>
      <c r="V338" t="str">
        <f t="shared" si="24"/>
        <v>Q4-2008</v>
      </c>
      <c r="W338" t="s">
        <v>481</v>
      </c>
    </row>
    <row r="339" spans="1:24">
      <c r="A339" t="s">
        <v>475</v>
      </c>
      <c r="C339" t="s">
        <v>643</v>
      </c>
      <c r="D339" t="s">
        <v>807</v>
      </c>
      <c r="E339">
        <v>1</v>
      </c>
      <c r="F339">
        <v>2008</v>
      </c>
      <c r="G339" s="1" t="s">
        <v>438</v>
      </c>
      <c r="H339" s="79" t="s">
        <v>1214</v>
      </c>
      <c r="N339">
        <v>1</v>
      </c>
      <c r="R339" s="5">
        <v>39722</v>
      </c>
      <c r="S339" s="5">
        <v>39722</v>
      </c>
      <c r="T339" s="4">
        <f t="shared" si="25"/>
        <v>1</v>
      </c>
      <c r="U339" t="str">
        <f t="shared" si="23"/>
        <v>Q4-2008</v>
      </c>
      <c r="V339" t="str">
        <f t="shared" si="24"/>
        <v>Q4-2008</v>
      </c>
      <c r="W339" t="s">
        <v>481</v>
      </c>
    </row>
    <row r="340" spans="1:24">
      <c r="A340" t="s">
        <v>579</v>
      </c>
      <c r="F340">
        <v>2010</v>
      </c>
      <c r="G340" s="1" t="s">
        <v>438</v>
      </c>
      <c r="H340" s="79" t="s">
        <v>1214</v>
      </c>
      <c r="P340">
        <v>1</v>
      </c>
      <c r="R340" s="5">
        <v>40238</v>
      </c>
      <c r="S340" s="5">
        <v>40422</v>
      </c>
      <c r="T340" s="4">
        <f t="shared" si="25"/>
        <v>3</v>
      </c>
      <c r="U340" t="str">
        <f t="shared" si="23"/>
        <v>Q1-2010</v>
      </c>
      <c r="V340" t="str">
        <f t="shared" si="24"/>
        <v>Q3-2010</v>
      </c>
      <c r="W340" t="s">
        <v>580</v>
      </c>
    </row>
    <row r="341" spans="1:24">
      <c r="A341" t="s">
        <v>476</v>
      </c>
      <c r="F341">
        <v>2008</v>
      </c>
      <c r="G341" s="1" t="s">
        <v>438</v>
      </c>
      <c r="H341" s="79" t="s">
        <v>1214</v>
      </c>
      <c r="N341">
        <v>1</v>
      </c>
      <c r="R341" s="5">
        <v>39722</v>
      </c>
      <c r="S341" s="5">
        <v>39722</v>
      </c>
      <c r="T341" s="4">
        <f t="shared" si="25"/>
        <v>1</v>
      </c>
      <c r="U341" t="str">
        <f t="shared" si="23"/>
        <v>Q4-2008</v>
      </c>
      <c r="V341" t="str">
        <f t="shared" si="24"/>
        <v>Q4-2008</v>
      </c>
      <c r="W341" t="s">
        <v>481</v>
      </c>
    </row>
    <row r="342" spans="1:24">
      <c r="A342" t="s">
        <v>449</v>
      </c>
      <c r="F342">
        <v>2008</v>
      </c>
      <c r="G342" s="1" t="s">
        <v>438</v>
      </c>
      <c r="H342" s="79" t="s">
        <v>1214</v>
      </c>
      <c r="N342">
        <v>1</v>
      </c>
      <c r="R342" s="5">
        <v>39661</v>
      </c>
      <c r="S342" s="5">
        <v>39722</v>
      </c>
      <c r="T342" s="4">
        <f t="shared" si="25"/>
        <v>1</v>
      </c>
      <c r="U342" t="str">
        <f t="shared" si="23"/>
        <v>Q3-2008</v>
      </c>
      <c r="V342" t="str">
        <f t="shared" si="24"/>
        <v>Q4-2008</v>
      </c>
      <c r="W342" t="s">
        <v>450</v>
      </c>
    </row>
    <row r="343" spans="1:24">
      <c r="A343" t="s">
        <v>478</v>
      </c>
      <c r="C343" t="s">
        <v>805</v>
      </c>
      <c r="F343">
        <v>2008</v>
      </c>
      <c r="G343" s="1" t="s">
        <v>438</v>
      </c>
      <c r="H343" s="79" t="s">
        <v>1214</v>
      </c>
      <c r="K343">
        <v>1</v>
      </c>
      <c r="N343">
        <v>1</v>
      </c>
      <c r="R343" s="5">
        <v>39722</v>
      </c>
      <c r="S343" s="5">
        <v>39814</v>
      </c>
      <c r="T343" s="4">
        <f t="shared" si="25"/>
        <v>2</v>
      </c>
      <c r="U343" t="str">
        <f t="shared" si="23"/>
        <v>Q4-2008</v>
      </c>
      <c r="V343" t="str">
        <f t="shared" si="24"/>
        <v>Q1-2009</v>
      </c>
      <c r="W343" t="s">
        <v>1011</v>
      </c>
    </row>
    <row r="344" spans="1:24">
      <c r="A344" t="s">
        <v>479</v>
      </c>
      <c r="C344" t="s">
        <v>969</v>
      </c>
      <c r="F344">
        <v>2008</v>
      </c>
      <c r="G344" s="1" t="s">
        <v>438</v>
      </c>
      <c r="H344" s="79" t="s">
        <v>1214</v>
      </c>
      <c r="N344">
        <v>1</v>
      </c>
      <c r="R344" s="5">
        <v>39722</v>
      </c>
      <c r="S344" s="5">
        <v>39722</v>
      </c>
      <c r="T344" s="4">
        <f t="shared" si="25"/>
        <v>1</v>
      </c>
      <c r="U344" t="str">
        <f t="shared" si="23"/>
        <v>Q4-2008</v>
      </c>
      <c r="V344" t="str">
        <f t="shared" si="24"/>
        <v>Q4-2008</v>
      </c>
      <c r="W344" t="s">
        <v>481</v>
      </c>
    </row>
    <row r="345" spans="1:24">
      <c r="R345" s="5"/>
      <c r="S345" s="5"/>
      <c r="T345" s="4"/>
    </row>
    <row r="346" spans="1:24">
      <c r="A346" s="37" t="str">
        <f>"Sum distress events: " &amp; SUM(I347:Q347)</f>
        <v>Sum distress events: 194</v>
      </c>
      <c r="B346" s="37"/>
      <c r="C346" s="37"/>
      <c r="D346" s="37"/>
      <c r="E346" s="37">
        <f>COUNTIF(E5:E344,"&lt;&gt;")</f>
        <v>134</v>
      </c>
      <c r="F346" s="37"/>
      <c r="G346" s="37"/>
      <c r="H346" s="29"/>
      <c r="I346" s="37">
        <f>SUM(I5:I344)</f>
        <v>10</v>
      </c>
      <c r="J346" s="37">
        <f t="shared" ref="J346:T346" si="26">SUM(J5:J344)</f>
        <v>74</v>
      </c>
      <c r="K346" s="37">
        <f t="shared" si="26"/>
        <v>31</v>
      </c>
      <c r="L346" s="37">
        <f t="shared" si="26"/>
        <v>165</v>
      </c>
      <c r="M346" s="37">
        <f t="shared" si="26"/>
        <v>47</v>
      </c>
      <c r="N346" s="37">
        <f t="shared" si="26"/>
        <v>80</v>
      </c>
      <c r="O346" s="37">
        <f t="shared" si="26"/>
        <v>15</v>
      </c>
      <c r="P346" s="37">
        <f t="shared" si="26"/>
        <v>74</v>
      </c>
      <c r="Q346" s="37">
        <f t="shared" si="26"/>
        <v>3</v>
      </c>
      <c r="R346" s="37"/>
      <c r="S346" s="37"/>
      <c r="T346" s="37">
        <f t="shared" si="26"/>
        <v>1378</v>
      </c>
      <c r="X346"/>
    </row>
    <row r="347" spans="1:24">
      <c r="A347" s="38" t="str">
        <f>"Sum distress events (no double counting): " &amp; E347</f>
        <v>Sum distress events (no double counting): 134</v>
      </c>
      <c r="B347" s="38"/>
      <c r="C347" s="37"/>
      <c r="D347" s="37"/>
      <c r="E347" s="37">
        <f>SUM(E5:E344)</f>
        <v>134</v>
      </c>
      <c r="F347" s="37"/>
      <c r="G347" s="37"/>
      <c r="H347" s="29"/>
      <c r="I347" s="37">
        <f t="shared" ref="I347:N347" si="27">COUNTIFS($E$5:$E$344,"&lt;&gt;",I5:I344,"1")</f>
        <v>1</v>
      </c>
      <c r="J347" s="37">
        <f t="shared" si="27"/>
        <v>16</v>
      </c>
      <c r="K347" s="37">
        <f t="shared" si="27"/>
        <v>8</v>
      </c>
      <c r="L347" s="37">
        <f t="shared" si="27"/>
        <v>85</v>
      </c>
      <c r="M347" s="37">
        <f>COUNTIFS($E$5:$E$344,"&lt;&gt;",M5:M344,"1")</f>
        <v>19</v>
      </c>
      <c r="N347" s="37">
        <f t="shared" si="27"/>
        <v>30</v>
      </c>
      <c r="O347" s="37">
        <f>COUNTIFS($E$5:$E$344,"&lt;&gt;",O5:O344,"1")</f>
        <v>6</v>
      </c>
      <c r="P347" s="37">
        <f>COUNTIFS($E$5:$E$344,"&lt;&gt;",P5:P344,"1")</f>
        <v>28</v>
      </c>
      <c r="Q347" s="37">
        <f>COUNTIFS($E$5:$E$344,"&lt;&gt;",Q5:Q344,"1")</f>
        <v>1</v>
      </c>
      <c r="R347" s="37"/>
      <c r="S347" s="37"/>
      <c r="T347" s="37">
        <f>SUMIF($E$5:$E$344,"&lt;&gt;",$T$5:$T$344)</f>
        <v>452</v>
      </c>
    </row>
    <row r="348" spans="1:24">
      <c r="A348" s="34"/>
      <c r="B348" s="34"/>
      <c r="C348" s="34"/>
      <c r="D348" s="34"/>
      <c r="E348" s="34"/>
      <c r="F348" s="34"/>
      <c r="G348" s="34"/>
      <c r="H348" s="81"/>
      <c r="I348" s="37">
        <f>SUMIFS(I5:I344,E5:E344,"&lt;&gt;",J5:J344,"=",K5:K344,"=",L5:L344,"=",M5:M344,"=",N5:N344,"=",O5:O344,"=",P5:P344,"=",Q5:Q344,"=")</f>
        <v>0</v>
      </c>
      <c r="J348" s="37">
        <f>SUMIFS(J5:J344,I5:I344,"=",K5:K344,"=",L5:L344,"=",M5:M344,"=",N5:N344,"=",O5:O344,"=",P5:P344,"=",Q5:Q344,"=",E5:E344,"&lt;&gt;")</f>
        <v>0</v>
      </c>
      <c r="K348" s="37">
        <f>SUMIFS(K5:K344,E5:E344,"&lt;&gt;",I5:I344,"=",J5:J344,"=",L5:L344,"=",M5:M344,"=",N5:N344,"=",O5:O344,"=",P5:P344,"=",Q5:Q344,"=")</f>
        <v>3</v>
      </c>
      <c r="L348" s="37">
        <f>SUMIFS(L5:L344,E5:E344,"&lt;&gt;",I5:I344,"=",J5:J344,"=",K5:K344,"=",M5:M344,"=",N5:N344,"=",O5:O344,"=",P5:P344,"=",Q5:Q344,"=")</f>
        <v>45</v>
      </c>
      <c r="M348" s="37">
        <f>SUMIFS(M5:M344,E5:E344,"&lt;&gt;",I5:I344,"=",J5:J344,"=",K5:K344,"=",L5:L344,"=",N5:N344,"=",O5:O344,"=",P5:P344,"=",Q5:Q344,"=")</f>
        <v>1</v>
      </c>
      <c r="N348" s="37">
        <f>SUMIFS(N5:N344,E5:E344,"&lt;&gt;",O5:O344,"=",P5:P344,"=",Q5:Q344,"=",I5:I344,"=",J5:J344,"=",K5:K344,"=",L5:L344,"=",M5:M344,"=")</f>
        <v>14</v>
      </c>
      <c r="O348" s="37">
        <f>SUMIFS(O5:O344,E5:E344,"&lt;&gt;",P5:P344,"=",Q5:Q344,"=",I5:I344,"=",J5:J344,"=",K5:K344,"=",L5:L344,"=",M5:M344,"=",N5:N344,"=")</f>
        <v>2</v>
      </c>
      <c r="P348" s="37">
        <f>SUMIFS(P5:P344,E5:E344,"&lt;&gt;",Q5:Q344,"=",I5:I344,"=",J5:J344,"=",K5:K344,"=",L5:L344,"=",M5:M344,"=",N5:N344,"=",O5:O344,"=")</f>
        <v>10</v>
      </c>
      <c r="Q348" s="37">
        <f>SUMIFS(Q5:Q344,E5:E344,"&lt;&gt;",I5:I344,"=",J5:J344,"=",K5:K344,"=",L5:L344,"=",M5:M344,"=",N5:N344,"=",O5:O344,"=",P5:P344,"=")</f>
        <v>0</v>
      </c>
      <c r="R348" s="37"/>
      <c r="S348" s="37"/>
      <c r="T348" s="37">
        <f>SUMIF($E$5:$E$344,"&lt;&gt;",$T$5:$T$344)</f>
        <v>452</v>
      </c>
    </row>
    <row r="349" spans="1:24">
      <c r="A349" s="6"/>
      <c r="B349" s="6"/>
      <c r="T349" s="4"/>
    </row>
    <row r="350" spans="1:24">
      <c r="T350" s="4"/>
    </row>
    <row r="351" spans="1:24">
      <c r="A351" s="6"/>
      <c r="B351" s="6"/>
      <c r="T351" s="4"/>
    </row>
    <row r="352" spans="1:24">
      <c r="T352" s="4"/>
    </row>
    <row r="353" spans="1:20">
      <c r="A353" s="6"/>
      <c r="B353" s="6"/>
      <c r="T353" s="4"/>
    </row>
    <row r="354" spans="1:20">
      <c r="T354" s="4"/>
    </row>
    <row r="355" spans="1:20">
      <c r="A355" s="6"/>
      <c r="B355" s="6"/>
      <c r="T355" s="4"/>
    </row>
    <row r="356" spans="1:20">
      <c r="T356" s="4"/>
    </row>
    <row r="357" spans="1:20">
      <c r="A357" s="6"/>
      <c r="B357" s="6"/>
      <c r="T357" s="4"/>
    </row>
    <row r="358" spans="1:20">
      <c r="A358" s="7"/>
      <c r="B358" s="7"/>
      <c r="C358" s="7"/>
      <c r="D358" s="7"/>
      <c r="E358" s="39"/>
      <c r="F358" s="7"/>
      <c r="T358" s="4"/>
    </row>
    <row r="359" spans="1:20">
      <c r="A359" s="7"/>
      <c r="B359" s="7"/>
      <c r="C359" s="7"/>
      <c r="D359" s="7"/>
      <c r="E359" s="39"/>
      <c r="F359" s="7"/>
      <c r="T359" s="4"/>
    </row>
    <row r="360" spans="1:20">
      <c r="T360" s="4"/>
    </row>
    <row r="361" spans="1:20">
      <c r="A361" s="6"/>
      <c r="B361" s="6"/>
      <c r="T361" s="4"/>
    </row>
    <row r="362" spans="1:20">
      <c r="T362" s="4"/>
    </row>
    <row r="363" spans="1:20">
      <c r="A363" s="6"/>
      <c r="B363" s="6"/>
      <c r="T363" s="4"/>
    </row>
    <row r="364" spans="1:20">
      <c r="T364" s="4"/>
    </row>
    <row r="365" spans="1:20">
      <c r="A365" s="6"/>
      <c r="B365" s="6"/>
      <c r="T365" s="4"/>
    </row>
    <row r="366" spans="1:20">
      <c r="T366" s="4"/>
    </row>
    <row r="367" spans="1:20">
      <c r="T367" s="4"/>
    </row>
    <row r="368" spans="1:20">
      <c r="T368" s="4"/>
    </row>
    <row r="369" spans="20:20">
      <c r="T369" s="4"/>
    </row>
    <row r="370" spans="20:20">
      <c r="T370" s="4"/>
    </row>
    <row r="371" spans="20:20">
      <c r="T371" s="4"/>
    </row>
    <row r="372" spans="20:20">
      <c r="T372" s="4"/>
    </row>
    <row r="373" spans="20:20">
      <c r="T373" s="4"/>
    </row>
    <row r="374" spans="20:20">
      <c r="T374" s="4"/>
    </row>
    <row r="375" spans="20:20">
      <c r="T375" s="4"/>
    </row>
    <row r="376" spans="20:20">
      <c r="T376" s="4"/>
    </row>
    <row r="377" spans="20:20">
      <c r="T377" s="4"/>
    </row>
    <row r="378" spans="20:20">
      <c r="T378" s="4"/>
    </row>
    <row r="379" spans="20:20">
      <c r="T379" s="4"/>
    </row>
    <row r="380" spans="20:20">
      <c r="T380" s="4"/>
    </row>
    <row r="381" spans="20:20">
      <c r="T381" s="4"/>
    </row>
    <row r="382" spans="20:20">
      <c r="T382" s="4"/>
    </row>
    <row r="383" spans="20:20">
      <c r="T383" s="4"/>
    </row>
    <row r="384" spans="20:20">
      <c r="T384" s="4"/>
    </row>
    <row r="385" spans="20:22">
      <c r="T385" s="4"/>
    </row>
    <row r="386" spans="20:22">
      <c r="T386" s="4"/>
    </row>
    <row r="387" spans="20:22">
      <c r="T387" s="4"/>
    </row>
    <row r="388" spans="20:22">
      <c r="T388" s="4"/>
    </row>
    <row r="389" spans="20:22">
      <c r="T389" s="4"/>
    </row>
    <row r="390" spans="20:22">
      <c r="T390" s="4"/>
      <c r="U390" s="4"/>
      <c r="V390" s="4"/>
    </row>
    <row r="391" spans="20:22">
      <c r="T391" s="4"/>
      <c r="U391" s="4"/>
      <c r="V391" s="4"/>
    </row>
    <row r="392" spans="20:22">
      <c r="T392" s="4"/>
      <c r="U392" s="4"/>
      <c r="V392" s="4"/>
    </row>
    <row r="393" spans="20:22">
      <c r="T393" s="4"/>
      <c r="U393" s="4"/>
      <c r="V393" s="4"/>
    </row>
    <row r="394" spans="20:22">
      <c r="T394" s="4"/>
      <c r="U394" s="4"/>
      <c r="V394" s="4"/>
    </row>
    <row r="395" spans="20:22">
      <c r="T395" s="4"/>
      <c r="U395" s="4"/>
      <c r="V395" s="4"/>
    </row>
    <row r="396" spans="20:22">
      <c r="T396" s="4"/>
      <c r="U396" s="4"/>
      <c r="V396" s="4"/>
    </row>
    <row r="397" spans="20:22">
      <c r="T397" s="4"/>
      <c r="U397" s="4"/>
      <c r="V397" s="4"/>
    </row>
    <row r="398" spans="20:22">
      <c r="T398" s="4"/>
      <c r="U398" s="4"/>
      <c r="V398" s="4"/>
    </row>
    <row r="399" spans="20:22">
      <c r="T399" s="4"/>
      <c r="U399" s="4"/>
      <c r="V399" s="4"/>
    </row>
    <row r="400" spans="20:22">
      <c r="T400" s="4"/>
      <c r="U400" s="4"/>
      <c r="V400" s="4"/>
    </row>
    <row r="401" spans="20:22">
      <c r="T401" s="4"/>
      <c r="U401" s="4"/>
      <c r="V401" s="4"/>
    </row>
    <row r="402" spans="20:22">
      <c r="T402" s="4"/>
      <c r="U402" s="4"/>
      <c r="V402" s="4"/>
    </row>
    <row r="403" spans="20:22">
      <c r="T403" s="4"/>
      <c r="U403" s="4"/>
      <c r="V403" s="4"/>
    </row>
    <row r="404" spans="20:22">
      <c r="T404" s="4"/>
      <c r="U404" s="4"/>
      <c r="V404" s="4"/>
    </row>
    <row r="405" spans="20:22">
      <c r="T405" s="4"/>
      <c r="U405" s="4"/>
      <c r="V405" s="4"/>
    </row>
    <row r="406" spans="20:22">
      <c r="T406" s="4"/>
      <c r="U406" s="4"/>
      <c r="V406" s="4"/>
    </row>
    <row r="407" spans="20:22">
      <c r="T407" s="4"/>
      <c r="U407" s="4"/>
      <c r="V407" s="4"/>
    </row>
    <row r="408" spans="20:22">
      <c r="T408" s="4"/>
      <c r="U408" s="4"/>
      <c r="V408" s="4"/>
    </row>
    <row r="409" spans="20:22">
      <c r="T409" s="4"/>
      <c r="U409" s="4"/>
      <c r="V409" s="4"/>
    </row>
    <row r="410" spans="20:22">
      <c r="T410" s="4"/>
      <c r="U410" s="4"/>
      <c r="V410" s="4"/>
    </row>
    <row r="411" spans="20:22">
      <c r="T411" s="4"/>
      <c r="U411" s="4"/>
      <c r="V411" s="4"/>
    </row>
    <row r="412" spans="20:22">
      <c r="T412" s="4"/>
      <c r="U412" s="4"/>
      <c r="V412" s="4"/>
    </row>
    <row r="413" spans="20:22">
      <c r="T413" s="4"/>
      <c r="U413" s="4"/>
      <c r="V413" s="4"/>
    </row>
    <row r="414" spans="20:22">
      <c r="T414" s="4"/>
      <c r="U414" s="4"/>
      <c r="V414" s="4"/>
    </row>
    <row r="415" spans="20:22">
      <c r="T415" s="4"/>
      <c r="U415" s="4"/>
      <c r="V415" s="4"/>
    </row>
    <row r="416" spans="20:22">
      <c r="T416" s="4"/>
      <c r="U416" s="4"/>
      <c r="V416" s="4"/>
    </row>
    <row r="417" spans="20:22">
      <c r="T417" s="4"/>
      <c r="U417" s="4"/>
      <c r="V417" s="4"/>
    </row>
    <row r="418" spans="20:22">
      <c r="T418" s="4"/>
      <c r="U418" s="4"/>
      <c r="V418" s="4"/>
    </row>
    <row r="419" spans="20:22">
      <c r="T419" s="4"/>
      <c r="U419" s="4"/>
      <c r="V419" s="4"/>
    </row>
    <row r="420" spans="20:22">
      <c r="T420" s="4"/>
      <c r="U420" s="4"/>
      <c r="V420" s="4"/>
    </row>
    <row r="421" spans="20:22">
      <c r="T421" s="4"/>
      <c r="U421" s="4"/>
      <c r="V421" s="4"/>
    </row>
    <row r="422" spans="20:22">
      <c r="T422" s="4"/>
      <c r="U422" s="4"/>
      <c r="V422" s="4"/>
    </row>
    <row r="423" spans="20:22">
      <c r="T423" s="4"/>
      <c r="U423" s="4"/>
      <c r="V423" s="4"/>
    </row>
    <row r="424" spans="20:22">
      <c r="T424" s="4"/>
      <c r="U424" s="4"/>
      <c r="V424" s="4"/>
    </row>
    <row r="425" spans="20:22">
      <c r="T425" s="4"/>
      <c r="U425" s="4"/>
      <c r="V425" s="4"/>
    </row>
    <row r="426" spans="20:22">
      <c r="T426" s="4"/>
      <c r="U426" s="4"/>
      <c r="V426" s="4"/>
    </row>
    <row r="427" spans="20:22">
      <c r="T427" s="4"/>
      <c r="U427" s="4"/>
      <c r="V427" s="4"/>
    </row>
    <row r="428" spans="20:22">
      <c r="T428" s="4"/>
      <c r="U428" s="4"/>
      <c r="V428" s="4"/>
    </row>
    <row r="429" spans="20:22">
      <c r="T429" s="4"/>
      <c r="U429" s="4"/>
      <c r="V429" s="4"/>
    </row>
    <row r="430" spans="20:22">
      <c r="T430" s="4"/>
      <c r="U430" s="4"/>
      <c r="V430" s="4"/>
    </row>
    <row r="431" spans="20:22">
      <c r="T431" s="4"/>
      <c r="U431" s="4"/>
      <c r="V431" s="4"/>
    </row>
    <row r="432" spans="20:22">
      <c r="T432" s="4"/>
      <c r="U432" s="4"/>
      <c r="V432" s="4"/>
    </row>
    <row r="433" spans="20:22">
      <c r="T433" s="4"/>
      <c r="U433" s="4"/>
      <c r="V433" s="4"/>
    </row>
    <row r="434" spans="20:22">
      <c r="T434" s="4"/>
      <c r="U434" s="4"/>
      <c r="V434" s="4"/>
    </row>
    <row r="435" spans="20:22">
      <c r="T435" s="4"/>
      <c r="U435" s="4"/>
      <c r="V435" s="4"/>
    </row>
    <row r="436" spans="20:22">
      <c r="T436" s="4"/>
      <c r="U436" s="4"/>
      <c r="V436" s="4"/>
    </row>
    <row r="437" spans="20:22">
      <c r="T437" s="4"/>
      <c r="U437" s="4"/>
      <c r="V437" s="4"/>
    </row>
    <row r="438" spans="20:22">
      <c r="T438" s="4"/>
      <c r="U438" s="4"/>
      <c r="V438" s="4"/>
    </row>
    <row r="439" spans="20:22">
      <c r="T439" s="4"/>
      <c r="U439" s="4"/>
      <c r="V439" s="4"/>
    </row>
    <row r="440" spans="20:22">
      <c r="T440" s="4"/>
      <c r="U440" s="4"/>
      <c r="V440" s="4"/>
    </row>
    <row r="441" spans="20:22">
      <c r="T441" s="4"/>
      <c r="U441" s="4"/>
      <c r="V441" s="4"/>
    </row>
  </sheetData>
  <sortState xmlns:xlrd2="http://schemas.microsoft.com/office/spreadsheetml/2017/richdata2" ref="A5:Y344">
    <sortCondition ref="G5:G344"/>
    <sortCondition ref="A5:A344"/>
  </sortState>
  <mergeCells count="20">
    <mergeCell ref="X1:X3"/>
    <mergeCell ref="U1:V2"/>
    <mergeCell ref="W1:W3"/>
    <mergeCell ref="Q2:Q3"/>
    <mergeCell ref="O2:P2"/>
    <mergeCell ref="R1:S2"/>
    <mergeCell ref="T1:T3"/>
    <mergeCell ref="I1:Q1"/>
    <mergeCell ref="K2:K3"/>
    <mergeCell ref="L2:N2"/>
    <mergeCell ref="A1:A3"/>
    <mergeCell ref="F1:F3"/>
    <mergeCell ref="G1:G3"/>
    <mergeCell ref="I2:I3"/>
    <mergeCell ref="J2:J3"/>
    <mergeCell ref="C1:C3"/>
    <mergeCell ref="D1:D3"/>
    <mergeCell ref="E1:E3"/>
    <mergeCell ref="B1:B3"/>
    <mergeCell ref="H1:H3"/>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36"/>
  <sheetViews>
    <sheetView workbookViewId="0">
      <selection activeCell="B194" sqref="B194"/>
    </sheetView>
  </sheetViews>
  <sheetFormatPr baseColWidth="10" defaultColWidth="10.83203125" defaultRowHeight="16"/>
  <sheetData>
    <row r="1" spans="1:12">
      <c r="A1" s="4" t="s">
        <v>15</v>
      </c>
      <c r="D1" s="51" t="s">
        <v>406</v>
      </c>
    </row>
    <row r="2" spans="1:12" ht="22" customHeight="1">
      <c r="A2" s="4" t="s">
        <v>166</v>
      </c>
    </row>
    <row r="3" spans="1:12" ht="16" customHeight="1">
      <c r="A3" t="s">
        <v>884</v>
      </c>
    </row>
    <row r="4" spans="1:12">
      <c r="A4" t="s">
        <v>1034</v>
      </c>
      <c r="H4" s="7"/>
      <c r="I4" s="7"/>
      <c r="J4" s="7"/>
      <c r="L4" s="7"/>
    </row>
    <row r="5" spans="1:12">
      <c r="A5" t="s">
        <v>1035</v>
      </c>
      <c r="H5" s="7"/>
      <c r="I5" s="7"/>
      <c r="J5" s="7"/>
    </row>
    <row r="6" spans="1:12">
      <c r="A6" t="s">
        <v>1036</v>
      </c>
      <c r="H6" s="7"/>
      <c r="I6" s="7"/>
      <c r="J6" s="7"/>
    </row>
    <row r="7" spans="1:12">
      <c r="A7" t="s">
        <v>382</v>
      </c>
    </row>
    <row r="8" spans="1:12">
      <c r="A8" t="s">
        <v>126</v>
      </c>
    </row>
    <row r="9" spans="1:12" s="28" customFormat="1">
      <c r="A9" t="s">
        <v>646</v>
      </c>
    </row>
    <row r="10" spans="1:12" s="28" customFormat="1">
      <c r="A10" t="s">
        <v>453</v>
      </c>
    </row>
    <row r="11" spans="1:12" s="28" customFormat="1">
      <c r="A11" t="s">
        <v>489</v>
      </c>
    </row>
    <row r="12" spans="1:12" s="28" customFormat="1">
      <c r="A12" t="s">
        <v>490</v>
      </c>
    </row>
    <row r="13" spans="1:12" s="28" customFormat="1">
      <c r="A13" t="s">
        <v>891</v>
      </c>
      <c r="B13"/>
      <c r="C13"/>
    </row>
    <row r="14" spans="1:12" s="28" customFormat="1">
      <c r="A14" s="36" t="s">
        <v>491</v>
      </c>
    </row>
    <row r="15" spans="1:12" s="28" customFormat="1">
      <c r="A15" t="s">
        <v>492</v>
      </c>
    </row>
    <row r="16" spans="1:12">
      <c r="A16" t="s">
        <v>493</v>
      </c>
      <c r="B16" s="28"/>
      <c r="C16" s="28"/>
    </row>
    <row r="17" spans="1:1">
      <c r="A17" t="s">
        <v>494</v>
      </c>
    </row>
    <row r="18" spans="1:1">
      <c r="A18" s="35" t="s">
        <v>496</v>
      </c>
    </row>
    <row r="19" spans="1:1">
      <c r="A19" s="35" t="s">
        <v>497</v>
      </c>
    </row>
    <row r="20" spans="1:1">
      <c r="A20" s="8" t="s">
        <v>498</v>
      </c>
    </row>
    <row r="21" spans="1:1">
      <c r="A21" s="35" t="s">
        <v>499</v>
      </c>
    </row>
    <row r="22" spans="1:1">
      <c r="A22" t="s">
        <v>585</v>
      </c>
    </row>
    <row r="23" spans="1:1">
      <c r="A23" s="36" t="s">
        <v>586</v>
      </c>
    </row>
    <row r="25" spans="1:1">
      <c r="A25" s="4" t="s">
        <v>20</v>
      </c>
    </row>
    <row r="26" spans="1:1">
      <c r="A26" t="s">
        <v>22</v>
      </c>
    </row>
    <row r="27" spans="1:1">
      <c r="A27" t="s">
        <v>23</v>
      </c>
    </row>
    <row r="28" spans="1:1">
      <c r="A28" t="s">
        <v>29</v>
      </c>
    </row>
    <row r="29" spans="1:1">
      <c r="A29" t="s">
        <v>30</v>
      </c>
    </row>
    <row r="30" spans="1:1">
      <c r="A30" t="s">
        <v>47</v>
      </c>
    </row>
    <row r="31" spans="1:1">
      <c r="A31" t="s">
        <v>48</v>
      </c>
    </row>
    <row r="32" spans="1:1">
      <c r="A32" t="s">
        <v>46</v>
      </c>
    </row>
    <row r="33" spans="1:1">
      <c r="A33" t="s">
        <v>465</v>
      </c>
    </row>
    <row r="35" spans="1:1">
      <c r="A35" s="4" t="s">
        <v>12</v>
      </c>
    </row>
    <row r="36" spans="1:1">
      <c r="A36" t="s">
        <v>32</v>
      </c>
    </row>
    <row r="37" spans="1:1">
      <c r="A37" t="s">
        <v>33</v>
      </c>
    </row>
    <row r="38" spans="1:1">
      <c r="A38" t="s">
        <v>34</v>
      </c>
    </row>
    <row r="39" spans="1:1">
      <c r="A39" t="s">
        <v>51</v>
      </c>
    </row>
    <row r="40" spans="1:1">
      <c r="A40" t="s">
        <v>35</v>
      </c>
    </row>
    <row r="41" spans="1:1">
      <c r="A41" t="s">
        <v>235</v>
      </c>
    </row>
    <row r="42" spans="1:1">
      <c r="A42" t="s">
        <v>236</v>
      </c>
    </row>
    <row r="43" spans="1:1">
      <c r="A43" t="s">
        <v>237</v>
      </c>
    </row>
    <row r="45" spans="1:1">
      <c r="A45" s="4" t="s">
        <v>40</v>
      </c>
    </row>
    <row r="46" spans="1:1">
      <c r="A46" t="s">
        <v>41</v>
      </c>
    </row>
    <row r="47" spans="1:1">
      <c r="A47" t="s">
        <v>42</v>
      </c>
    </row>
    <row r="48" spans="1:1">
      <c r="A48" t="s">
        <v>43</v>
      </c>
    </row>
    <row r="49" spans="1:1">
      <c r="A49" t="s">
        <v>44</v>
      </c>
    </row>
    <row r="50" spans="1:1">
      <c r="A50" t="s">
        <v>45</v>
      </c>
    </row>
    <row r="51" spans="1:1">
      <c r="A51" t="s">
        <v>110</v>
      </c>
    </row>
    <row r="52" spans="1:1">
      <c r="A52" t="s">
        <v>238</v>
      </c>
    </row>
    <row r="53" spans="1:1">
      <c r="A53" t="s">
        <v>645</v>
      </c>
    </row>
    <row r="55" spans="1:1">
      <c r="A55" s="4" t="s">
        <v>52</v>
      </c>
    </row>
    <row r="56" spans="1:1">
      <c r="A56" t="s">
        <v>67</v>
      </c>
    </row>
    <row r="57" spans="1:1">
      <c r="A57" t="s">
        <v>69</v>
      </c>
    </row>
    <row r="58" spans="1:1">
      <c r="A58" t="s">
        <v>70</v>
      </c>
    </row>
    <row r="59" spans="1:1">
      <c r="A59" t="s">
        <v>98</v>
      </c>
    </row>
    <row r="60" spans="1:1">
      <c r="A60" t="s">
        <v>99</v>
      </c>
    </row>
    <row r="61" spans="1:1">
      <c r="A61" t="s">
        <v>101</v>
      </c>
    </row>
    <row r="63" spans="1:1">
      <c r="A63" s="4" t="s">
        <v>105</v>
      </c>
    </row>
    <row r="64" spans="1:1">
      <c r="A64" t="s">
        <v>106</v>
      </c>
    </row>
    <row r="65" spans="1:1">
      <c r="A65" t="s">
        <v>107</v>
      </c>
    </row>
    <row r="67" spans="1:1">
      <c r="A67" s="4" t="s">
        <v>121</v>
      </c>
    </row>
    <row r="68" spans="1:1">
      <c r="A68" t="s">
        <v>127</v>
      </c>
    </row>
    <row r="69" spans="1:1">
      <c r="A69" t="s">
        <v>128</v>
      </c>
    </row>
    <row r="70" spans="1:1">
      <c r="A70" t="s">
        <v>130</v>
      </c>
    </row>
    <row r="71" spans="1:1">
      <c r="A71" t="s">
        <v>131</v>
      </c>
    </row>
    <row r="72" spans="1:1">
      <c r="A72" t="s">
        <v>132</v>
      </c>
    </row>
    <row r="73" spans="1:1">
      <c r="A73" t="s">
        <v>133</v>
      </c>
    </row>
    <row r="74" spans="1:1">
      <c r="A74" t="s">
        <v>134</v>
      </c>
    </row>
    <row r="75" spans="1:1">
      <c r="A75" t="s">
        <v>136</v>
      </c>
    </row>
    <row r="76" spans="1:1">
      <c r="A76" t="s">
        <v>138</v>
      </c>
    </row>
    <row r="77" spans="1:1">
      <c r="A77" t="s">
        <v>254</v>
      </c>
    </row>
    <row r="78" spans="1:1">
      <c r="A78" t="s">
        <v>126</v>
      </c>
    </row>
    <row r="79" spans="1:1">
      <c r="A79" t="s">
        <v>340</v>
      </c>
    </row>
    <row r="80" spans="1:1">
      <c r="A80" t="s">
        <v>347</v>
      </c>
    </row>
    <row r="81" spans="1:1">
      <c r="A81" t="s">
        <v>348</v>
      </c>
    </row>
    <row r="82" spans="1:1">
      <c r="A82" t="s">
        <v>452</v>
      </c>
    </row>
    <row r="84" spans="1:1">
      <c r="A84" s="4" t="s">
        <v>145</v>
      </c>
    </row>
    <row r="85" spans="1:1">
      <c r="A85" t="s">
        <v>147</v>
      </c>
    </row>
    <row r="86" spans="1:1">
      <c r="A86" t="s">
        <v>149</v>
      </c>
    </row>
    <row r="87" spans="1:1">
      <c r="A87" t="s">
        <v>150</v>
      </c>
    </row>
    <row r="88" spans="1:1">
      <c r="A88" t="s">
        <v>152</v>
      </c>
    </row>
    <row r="89" spans="1:1">
      <c r="A89" t="s">
        <v>1071</v>
      </c>
    </row>
    <row r="90" spans="1:1">
      <c r="A90" s="51"/>
    </row>
    <row r="91" spans="1:1">
      <c r="A91" s="4" t="s">
        <v>159</v>
      </c>
    </row>
    <row r="92" spans="1:1">
      <c r="A92" t="s">
        <v>528</v>
      </c>
    </row>
    <row r="93" spans="1:1">
      <c r="A93" t="s">
        <v>201</v>
      </c>
    </row>
    <row r="94" spans="1:1">
      <c r="A94" t="s">
        <v>532</v>
      </c>
    </row>
    <row r="96" spans="1:1">
      <c r="A96" s="4" t="s">
        <v>157</v>
      </c>
    </row>
    <row r="97" spans="1:1">
      <c r="A97" t="s">
        <v>184</v>
      </c>
    </row>
    <row r="98" spans="1:1">
      <c r="A98" t="s">
        <v>184</v>
      </c>
    </row>
    <row r="99" spans="1:1">
      <c r="A99" t="s">
        <v>464</v>
      </c>
    </row>
    <row r="100" spans="1:1">
      <c r="A100" t="s">
        <v>188</v>
      </c>
    </row>
    <row r="102" spans="1:1">
      <c r="A102" s="4" t="s">
        <v>200</v>
      </c>
    </row>
    <row r="103" spans="1:1">
      <c r="A103" t="s">
        <v>204</v>
      </c>
    </row>
    <row r="104" spans="1:1">
      <c r="A104" t="s">
        <v>209</v>
      </c>
    </row>
    <row r="105" spans="1:1">
      <c r="A105" t="s">
        <v>215</v>
      </c>
    </row>
    <row r="106" spans="1:1">
      <c r="A106" t="s">
        <v>216</v>
      </c>
    </row>
    <row r="107" spans="1:1">
      <c r="A107" t="s">
        <v>1073</v>
      </c>
    </row>
    <row r="108" spans="1:1">
      <c r="A108" t="s">
        <v>1074</v>
      </c>
    </row>
    <row r="109" spans="1:1">
      <c r="A109" s="54" t="s">
        <v>1072</v>
      </c>
    </row>
    <row r="110" spans="1:1">
      <c r="A110" s="54"/>
    </row>
    <row r="111" spans="1:1">
      <c r="A111" s="4" t="s">
        <v>217</v>
      </c>
    </row>
    <row r="112" spans="1:1">
      <c r="A112" t="s">
        <v>220</v>
      </c>
    </row>
    <row r="113" spans="1:1">
      <c r="A113" t="s">
        <v>221</v>
      </c>
    </row>
    <row r="114" spans="1:1">
      <c r="A114" t="s">
        <v>230</v>
      </c>
    </row>
    <row r="115" spans="1:1">
      <c r="A115" t="s">
        <v>218</v>
      </c>
    </row>
    <row r="116" spans="1:1">
      <c r="A116" t="s">
        <v>514</v>
      </c>
    </row>
    <row r="117" spans="1:1">
      <c r="A117" t="s">
        <v>515</v>
      </c>
    </row>
    <row r="119" spans="1:1">
      <c r="A119" s="4" t="s">
        <v>223</v>
      </c>
    </row>
    <row r="120" spans="1:1">
      <c r="A120" t="s">
        <v>224</v>
      </c>
    </row>
    <row r="121" spans="1:1">
      <c r="A121" t="s">
        <v>226</v>
      </c>
    </row>
    <row r="122" spans="1:1">
      <c r="A122" t="s">
        <v>228</v>
      </c>
    </row>
    <row r="123" spans="1:1">
      <c r="A123" t="s">
        <v>229</v>
      </c>
    </row>
    <row r="125" spans="1:1">
      <c r="A125" s="4" t="s">
        <v>240</v>
      </c>
    </row>
    <row r="126" spans="1:1">
      <c r="A126" t="s">
        <v>238</v>
      </c>
    </row>
    <row r="127" spans="1:1">
      <c r="A127" t="s">
        <v>236</v>
      </c>
    </row>
    <row r="128" spans="1:1">
      <c r="A128" t="s">
        <v>237</v>
      </c>
    </row>
    <row r="130" spans="1:1">
      <c r="A130" s="4" t="s">
        <v>241</v>
      </c>
    </row>
    <row r="131" spans="1:1">
      <c r="A131" t="s">
        <v>247</v>
      </c>
    </row>
    <row r="132" spans="1:1">
      <c r="A132" t="s">
        <v>248</v>
      </c>
    </row>
    <row r="133" spans="1:1">
      <c r="A133" t="s">
        <v>249</v>
      </c>
    </row>
    <row r="134" spans="1:1">
      <c r="A134" t="s">
        <v>250</v>
      </c>
    </row>
    <row r="135" spans="1:1">
      <c r="A135" t="s">
        <v>237</v>
      </c>
    </row>
    <row r="136" spans="1:1">
      <c r="A136" t="s">
        <v>236</v>
      </c>
    </row>
    <row r="137" spans="1:1">
      <c r="A137" t="s">
        <v>250</v>
      </c>
    </row>
    <row r="139" spans="1:1">
      <c r="A139" s="4" t="s">
        <v>255</v>
      </c>
    </row>
    <row r="140" spans="1:1">
      <c r="A140" t="s">
        <v>256</v>
      </c>
    </row>
    <row r="141" spans="1:1">
      <c r="A141" t="s">
        <v>257</v>
      </c>
    </row>
    <row r="143" spans="1:1">
      <c r="A143" s="4" t="s">
        <v>258</v>
      </c>
    </row>
    <row r="144" spans="1:1">
      <c r="A144" t="s">
        <v>259</v>
      </c>
    </row>
    <row r="145" spans="1:1">
      <c r="A145" t="s">
        <v>260</v>
      </c>
    </row>
    <row r="146" spans="1:1">
      <c r="A146" t="s">
        <v>261</v>
      </c>
    </row>
    <row r="148" spans="1:1">
      <c r="A148" s="4" t="s">
        <v>163</v>
      </c>
    </row>
    <row r="149" spans="1:1">
      <c r="A149" t="s">
        <v>267</v>
      </c>
    </row>
    <row r="150" spans="1:1">
      <c r="A150" t="s">
        <v>268</v>
      </c>
    </row>
    <row r="151" spans="1:1">
      <c r="A151" t="s">
        <v>269</v>
      </c>
    </row>
    <row r="152" spans="1:1">
      <c r="A152" t="s">
        <v>270</v>
      </c>
    </row>
    <row r="153" spans="1:1">
      <c r="A153" t="s">
        <v>271</v>
      </c>
    </row>
    <row r="154" spans="1:1">
      <c r="A154" t="s">
        <v>273</v>
      </c>
    </row>
    <row r="155" spans="1:1">
      <c r="A155" t="s">
        <v>274</v>
      </c>
    </row>
    <row r="156" spans="1:1">
      <c r="A156" t="s">
        <v>277</v>
      </c>
    </row>
    <row r="157" spans="1:1">
      <c r="A157" t="s">
        <v>278</v>
      </c>
    </row>
    <row r="158" spans="1:1">
      <c r="A158" t="s">
        <v>281</v>
      </c>
    </row>
    <row r="160" spans="1:1">
      <c r="A160" s="4" t="s">
        <v>283</v>
      </c>
    </row>
    <row r="161" spans="1:1">
      <c r="A161" t="s">
        <v>289</v>
      </c>
    </row>
    <row r="162" spans="1:1">
      <c r="A162" t="s">
        <v>290</v>
      </c>
    </row>
    <row r="163" spans="1:1">
      <c r="A163" t="s">
        <v>291</v>
      </c>
    </row>
    <row r="164" spans="1:1">
      <c r="A164" t="s">
        <v>292</v>
      </c>
    </row>
    <row r="165" spans="1:1">
      <c r="A165" t="s">
        <v>293</v>
      </c>
    </row>
    <row r="166" spans="1:1">
      <c r="A166" t="s">
        <v>294</v>
      </c>
    </row>
    <row r="167" spans="1:1">
      <c r="A167" t="s">
        <v>293</v>
      </c>
    </row>
    <row r="168" spans="1:1">
      <c r="A168" t="s">
        <v>295</v>
      </c>
    </row>
    <row r="169" spans="1:1">
      <c r="A169" t="s">
        <v>296</v>
      </c>
    </row>
    <row r="170" spans="1:1">
      <c r="A170" t="s">
        <v>298</v>
      </c>
    </row>
    <row r="171" spans="1:1">
      <c r="A171" t="s">
        <v>299</v>
      </c>
    </row>
    <row r="172" spans="1:1">
      <c r="A172" t="s">
        <v>300</v>
      </c>
    </row>
    <row r="173" spans="1:1">
      <c r="A173" t="s">
        <v>301</v>
      </c>
    </row>
    <row r="174" spans="1:1">
      <c r="A174" t="s">
        <v>303</v>
      </c>
    </row>
    <row r="175" spans="1:1">
      <c r="A175" t="s">
        <v>305</v>
      </c>
    </row>
    <row r="177" spans="1:1">
      <c r="A177" s="4" t="s">
        <v>161</v>
      </c>
    </row>
    <row r="178" spans="1:1">
      <c r="A178" t="s">
        <v>386</v>
      </c>
    </row>
    <row r="179" spans="1:1">
      <c r="A179" t="s">
        <v>387</v>
      </c>
    </row>
    <row r="180" spans="1:1">
      <c r="A180" t="s">
        <v>388</v>
      </c>
    </row>
    <row r="181" spans="1:1">
      <c r="A181" t="s">
        <v>389</v>
      </c>
    </row>
    <row r="182" spans="1:1">
      <c r="A182" t="s">
        <v>390</v>
      </c>
    </row>
    <row r="183" spans="1:1">
      <c r="A183" t="s">
        <v>391</v>
      </c>
    </row>
    <row r="184" spans="1:1">
      <c r="A184" t="s">
        <v>393</v>
      </c>
    </row>
    <row r="185" spans="1:1">
      <c r="A185" t="s">
        <v>394</v>
      </c>
    </row>
    <row r="186" spans="1:1">
      <c r="A186" t="s">
        <v>412</v>
      </c>
    </row>
    <row r="187" spans="1:1">
      <c r="A187" t="s">
        <v>413</v>
      </c>
    </row>
    <row r="188" spans="1:1">
      <c r="A188" t="s">
        <v>414</v>
      </c>
    </row>
    <row r="189" spans="1:1">
      <c r="A189" t="s">
        <v>420</v>
      </c>
    </row>
    <row r="190" spans="1:1">
      <c r="A190" t="s">
        <v>1075</v>
      </c>
    </row>
    <row r="192" spans="1:1">
      <c r="A192" s="4" t="s">
        <v>395</v>
      </c>
    </row>
    <row r="193" spans="1:1">
      <c r="A193" t="s">
        <v>400</v>
      </c>
    </row>
    <row r="194" spans="1:1">
      <c r="A194" t="s">
        <v>425</v>
      </c>
    </row>
    <row r="195" spans="1:1">
      <c r="A195" t="s">
        <v>426</v>
      </c>
    </row>
    <row r="196" spans="1:1">
      <c r="A196" t="s">
        <v>428</v>
      </c>
    </row>
    <row r="197" spans="1:1">
      <c r="A197" t="s">
        <v>429</v>
      </c>
    </row>
    <row r="198" spans="1:1">
      <c r="A198" t="s">
        <v>435</v>
      </c>
    </row>
    <row r="200" spans="1:1">
      <c r="A200" s="4" t="s">
        <v>444</v>
      </c>
    </row>
    <row r="201" spans="1:1">
      <c r="A201" t="s">
        <v>445</v>
      </c>
    </row>
    <row r="202" spans="1:1">
      <c r="A202" t="s">
        <v>451</v>
      </c>
    </row>
    <row r="203" spans="1:1">
      <c r="A203" t="s">
        <v>466</v>
      </c>
    </row>
    <row r="204" spans="1:1">
      <c r="A204" t="s">
        <v>467</v>
      </c>
    </row>
    <row r="205" spans="1:1">
      <c r="A205" t="s">
        <v>468</v>
      </c>
    </row>
    <row r="206" spans="1:1">
      <c r="A206" t="s">
        <v>480</v>
      </c>
    </row>
    <row r="207" spans="1:1">
      <c r="A207" t="s">
        <v>563</v>
      </c>
    </row>
    <row r="208" spans="1:1">
      <c r="A208" t="s">
        <v>566</v>
      </c>
    </row>
    <row r="209" spans="1:1">
      <c r="A209" t="s">
        <v>567</v>
      </c>
    </row>
    <row r="210" spans="1:1">
      <c r="A210" t="s">
        <v>575</v>
      </c>
    </row>
    <row r="211" spans="1:1">
      <c r="A211" t="s">
        <v>578</v>
      </c>
    </row>
    <row r="212" spans="1:1">
      <c r="A212" t="s">
        <v>578</v>
      </c>
    </row>
    <row r="213" spans="1:1">
      <c r="A213" t="s">
        <v>582</v>
      </c>
    </row>
    <row r="215" spans="1:1">
      <c r="A215" s="4" t="s">
        <v>461</v>
      </c>
    </row>
    <row r="216" spans="1:1">
      <c r="A216" t="s">
        <v>484</v>
      </c>
    </row>
    <row r="217" spans="1:1">
      <c r="A217" t="s">
        <v>486</v>
      </c>
    </row>
    <row r="219" spans="1:1">
      <c r="A219" s="4" t="s">
        <v>14</v>
      </c>
    </row>
    <row r="220" spans="1:1">
      <c r="A220" t="s">
        <v>495</v>
      </c>
    </row>
    <row r="222" spans="1:1">
      <c r="A222" s="4" t="s">
        <v>167</v>
      </c>
    </row>
    <row r="223" spans="1:1">
      <c r="A223" t="s">
        <v>507</v>
      </c>
    </row>
    <row r="225" spans="1:9">
      <c r="A225" s="4" t="s">
        <v>541</v>
      </c>
    </row>
    <row r="226" spans="1:9">
      <c r="A226" t="s">
        <v>545</v>
      </c>
    </row>
    <row r="227" spans="1:9">
      <c r="A227" t="s">
        <v>556</v>
      </c>
    </row>
    <row r="228" spans="1:9">
      <c r="A228" t="s">
        <v>557</v>
      </c>
    </row>
    <row r="229" spans="1:9">
      <c r="A229" t="s">
        <v>561</v>
      </c>
    </row>
    <row r="231" spans="1:9">
      <c r="A231" s="4" t="s">
        <v>589</v>
      </c>
    </row>
    <row r="232" spans="1:9">
      <c r="A232" t="s">
        <v>591</v>
      </c>
    </row>
    <row r="233" spans="1:9">
      <c r="D233" s="4"/>
      <c r="E233" s="4"/>
      <c r="F233" s="4"/>
      <c r="G233" s="4"/>
      <c r="H233" s="4"/>
      <c r="I233" s="4"/>
    </row>
    <row r="234" spans="1:9">
      <c r="A234" s="4" t="s">
        <v>508</v>
      </c>
      <c r="B234" s="4"/>
      <c r="C234" s="4"/>
      <c r="D234" s="4"/>
      <c r="E234" s="4"/>
      <c r="F234" s="4"/>
      <c r="G234" s="4"/>
      <c r="H234" s="4"/>
      <c r="I234" s="4"/>
    </row>
    <row r="235" spans="1:9">
      <c r="A235" s="4" t="s">
        <v>592</v>
      </c>
      <c r="B235" s="4"/>
      <c r="C235" s="4"/>
      <c r="D235" s="4"/>
      <c r="E235" s="4"/>
      <c r="F235" s="4"/>
      <c r="G235" s="4"/>
      <c r="H235" s="4"/>
      <c r="I235" s="4"/>
    </row>
    <row r="236" spans="1:9">
      <c r="A236" s="4"/>
      <c r="B236" s="4"/>
      <c r="C236" s="4"/>
    </row>
  </sheetData>
  <hyperlinks>
    <hyperlink ref="D1" location="Overview!A1" display="Overview" xr:uid="{C3FA6771-C774-C04A-82CE-7E191EF6F7D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52"/>
  <sheetViews>
    <sheetView topLeftCell="A30" workbookViewId="0">
      <selection activeCell="A52" sqref="A52"/>
    </sheetView>
  </sheetViews>
  <sheetFormatPr baseColWidth="10" defaultRowHeight="16"/>
  <cols>
    <col min="1" max="1" width="17.33203125" customWidth="1"/>
    <col min="2" max="2" width="32.6640625" customWidth="1"/>
    <col min="3" max="3" width="13.83203125" customWidth="1"/>
    <col min="4" max="4" width="17.33203125" customWidth="1"/>
  </cols>
  <sheetData>
    <row r="1" spans="1:5">
      <c r="A1" s="78" t="s">
        <v>454</v>
      </c>
      <c r="B1" s="78"/>
      <c r="C1" s="78"/>
      <c r="D1" s="78"/>
    </row>
    <row r="2" spans="1:5" ht="51">
      <c r="A2" s="29" t="s">
        <v>3</v>
      </c>
      <c r="B2" s="29" t="s">
        <v>455</v>
      </c>
      <c r="C2" s="30" t="s">
        <v>456</v>
      </c>
      <c r="D2" s="30" t="s">
        <v>457</v>
      </c>
    </row>
    <row r="3" spans="1:5">
      <c r="A3" s="75" t="s">
        <v>11</v>
      </c>
      <c r="B3" s="31">
        <v>2008</v>
      </c>
      <c r="C3" s="31">
        <v>1</v>
      </c>
      <c r="D3" s="31">
        <v>1</v>
      </c>
    </row>
    <row r="4" spans="1:5">
      <c r="A4" s="77"/>
      <c r="B4" s="12">
        <v>2011</v>
      </c>
      <c r="C4" s="12">
        <v>1</v>
      </c>
      <c r="D4" s="12">
        <v>1</v>
      </c>
    </row>
    <row r="5" spans="1:5">
      <c r="A5" s="75" t="s">
        <v>458</v>
      </c>
      <c r="B5" s="31">
        <v>2002</v>
      </c>
      <c r="C5" s="31">
        <v>0</v>
      </c>
      <c r="D5" s="31">
        <v>1</v>
      </c>
    </row>
    <row r="6" spans="1:5">
      <c r="A6" s="76"/>
      <c r="B6">
        <v>2008</v>
      </c>
      <c r="C6">
        <v>1</v>
      </c>
      <c r="D6">
        <v>1</v>
      </c>
    </row>
    <row r="7" spans="1:5">
      <c r="A7" s="77"/>
      <c r="B7" s="12">
        <v>2011</v>
      </c>
      <c r="C7" s="12">
        <v>1</v>
      </c>
      <c r="D7" s="12">
        <v>1</v>
      </c>
    </row>
    <row r="8" spans="1:5">
      <c r="A8" s="32" t="s">
        <v>14</v>
      </c>
      <c r="B8" s="33">
        <v>1995</v>
      </c>
      <c r="C8" s="33">
        <v>1</v>
      </c>
      <c r="D8" s="33">
        <v>1</v>
      </c>
      <c r="E8" t="s">
        <v>459</v>
      </c>
    </row>
    <row r="9" spans="1:5">
      <c r="A9" s="75" t="s">
        <v>52</v>
      </c>
      <c r="B9" s="31">
        <v>2008</v>
      </c>
      <c r="C9" s="31">
        <v>1</v>
      </c>
      <c r="D9" s="31">
        <v>1</v>
      </c>
    </row>
    <row r="10" spans="1:5">
      <c r="A10" s="77"/>
      <c r="B10" s="12">
        <v>2011</v>
      </c>
      <c r="C10" s="12">
        <v>1</v>
      </c>
      <c r="D10" s="12">
        <v>1</v>
      </c>
    </row>
    <row r="11" spans="1:5">
      <c r="A11" s="75" t="s">
        <v>105</v>
      </c>
      <c r="B11" s="31">
        <v>2002</v>
      </c>
      <c r="C11" s="31">
        <v>0</v>
      </c>
      <c r="D11" s="31">
        <v>1</v>
      </c>
    </row>
    <row r="12" spans="1:5">
      <c r="A12" s="77"/>
      <c r="B12" s="12">
        <v>2008</v>
      </c>
      <c r="C12" s="12">
        <v>0</v>
      </c>
      <c r="D12" s="12">
        <v>1</v>
      </c>
    </row>
    <row r="13" spans="1:5">
      <c r="A13" s="75" t="s">
        <v>40</v>
      </c>
      <c r="B13" s="31">
        <v>2008</v>
      </c>
      <c r="C13" s="31">
        <v>0</v>
      </c>
      <c r="D13" s="31">
        <v>1</v>
      </c>
    </row>
    <row r="14" spans="1:5">
      <c r="A14" s="77"/>
      <c r="B14" s="12">
        <v>2011</v>
      </c>
      <c r="C14" s="12">
        <v>0</v>
      </c>
      <c r="D14" s="12">
        <v>1</v>
      </c>
    </row>
    <row r="15" spans="1:5">
      <c r="A15" s="75" t="s">
        <v>121</v>
      </c>
      <c r="B15" s="31">
        <v>2002</v>
      </c>
      <c r="C15" s="31">
        <v>0</v>
      </c>
      <c r="D15" s="31">
        <v>1</v>
      </c>
    </row>
    <row r="16" spans="1:5">
      <c r="A16" s="76"/>
      <c r="B16">
        <v>2008</v>
      </c>
      <c r="C16">
        <v>1</v>
      </c>
      <c r="D16">
        <v>1</v>
      </c>
    </row>
    <row r="17" spans="1:4">
      <c r="A17" s="77"/>
      <c r="B17" s="12">
        <v>2011</v>
      </c>
      <c r="C17" s="12">
        <v>0</v>
      </c>
      <c r="D17" s="12">
        <v>1</v>
      </c>
    </row>
    <row r="18" spans="1:4">
      <c r="A18" s="75" t="s">
        <v>145</v>
      </c>
      <c r="B18" s="31">
        <v>2001</v>
      </c>
      <c r="C18" s="31">
        <v>0</v>
      </c>
      <c r="D18" s="31">
        <v>1</v>
      </c>
    </row>
    <row r="19" spans="1:4">
      <c r="A19" s="76"/>
      <c r="B19">
        <v>2008</v>
      </c>
      <c r="C19">
        <v>0</v>
      </c>
      <c r="D19">
        <v>1</v>
      </c>
    </row>
    <row r="20" spans="1:4">
      <c r="A20" s="77"/>
      <c r="B20" s="12">
        <v>2010</v>
      </c>
      <c r="C20" s="12">
        <v>1</v>
      </c>
      <c r="D20" s="12">
        <v>1</v>
      </c>
    </row>
    <row r="21" spans="1:4">
      <c r="A21" s="32" t="s">
        <v>159</v>
      </c>
      <c r="B21" s="33">
        <v>2008</v>
      </c>
      <c r="C21" s="33">
        <v>1</v>
      </c>
      <c r="D21" s="33">
        <v>1</v>
      </c>
    </row>
    <row r="22" spans="1:4">
      <c r="A22" s="75" t="s">
        <v>157</v>
      </c>
      <c r="B22" s="31">
        <v>2007</v>
      </c>
      <c r="C22" s="31">
        <v>1</v>
      </c>
      <c r="D22" s="31">
        <v>1</v>
      </c>
    </row>
    <row r="23" spans="1:4">
      <c r="A23" s="76"/>
      <c r="B23">
        <v>2010</v>
      </c>
      <c r="C23">
        <v>1</v>
      </c>
      <c r="D23">
        <v>1</v>
      </c>
    </row>
    <row r="24" spans="1:4">
      <c r="A24" s="77"/>
      <c r="B24" s="12">
        <v>2016</v>
      </c>
      <c r="C24" s="12">
        <v>0</v>
      </c>
      <c r="D24" s="12">
        <v>1</v>
      </c>
    </row>
    <row r="25" spans="1:4">
      <c r="A25" s="75" t="s">
        <v>200</v>
      </c>
      <c r="B25" s="31">
        <v>2008</v>
      </c>
      <c r="C25" s="31">
        <v>0</v>
      </c>
      <c r="D25" s="31">
        <v>1</v>
      </c>
    </row>
    <row r="26" spans="1:4">
      <c r="A26" s="76"/>
      <c r="B26">
        <v>2010</v>
      </c>
      <c r="C26">
        <v>1</v>
      </c>
      <c r="D26">
        <v>1</v>
      </c>
    </row>
    <row r="27" spans="1:4">
      <c r="A27" s="77"/>
      <c r="B27" s="12">
        <v>2016</v>
      </c>
      <c r="C27" s="12">
        <v>1</v>
      </c>
      <c r="D27" s="12">
        <v>1</v>
      </c>
    </row>
    <row r="28" spans="1:4">
      <c r="A28" s="75" t="s">
        <v>240</v>
      </c>
      <c r="B28" s="31">
        <v>2008</v>
      </c>
      <c r="C28" s="31">
        <v>1</v>
      </c>
      <c r="D28" s="31">
        <v>1</v>
      </c>
    </row>
    <row r="29" spans="1:4">
      <c r="A29" s="77"/>
      <c r="B29" s="12">
        <v>2012</v>
      </c>
      <c r="C29" s="12">
        <v>0</v>
      </c>
      <c r="D29" s="12">
        <v>1</v>
      </c>
    </row>
    <row r="30" spans="1:4">
      <c r="A30" s="75" t="s">
        <v>242</v>
      </c>
      <c r="B30" s="31">
        <v>2002</v>
      </c>
      <c r="C30" s="31">
        <v>0</v>
      </c>
      <c r="D30" s="31">
        <v>1</v>
      </c>
    </row>
    <row r="31" spans="1:4">
      <c r="A31" s="76"/>
      <c r="B31">
        <v>2008</v>
      </c>
      <c r="C31">
        <v>1</v>
      </c>
      <c r="D31">
        <v>1</v>
      </c>
    </row>
    <row r="32" spans="1:4">
      <c r="A32" s="77"/>
      <c r="B32" s="12">
        <v>2011</v>
      </c>
      <c r="C32" s="12">
        <v>0</v>
      </c>
      <c r="D32" s="12">
        <v>1</v>
      </c>
    </row>
    <row r="33" spans="1:4">
      <c r="A33" s="32" t="s">
        <v>460</v>
      </c>
      <c r="B33" s="33">
        <v>2008</v>
      </c>
      <c r="C33" s="33">
        <v>0</v>
      </c>
      <c r="D33" s="33">
        <v>1</v>
      </c>
    </row>
    <row r="34" spans="1:4">
      <c r="A34" s="75" t="s">
        <v>163</v>
      </c>
      <c r="B34" s="31">
        <v>2002</v>
      </c>
      <c r="C34" s="31">
        <v>0</v>
      </c>
      <c r="D34" s="31">
        <v>1</v>
      </c>
    </row>
    <row r="35" spans="1:4">
      <c r="A35" s="76"/>
      <c r="B35">
        <v>2008</v>
      </c>
      <c r="C35">
        <v>1</v>
      </c>
      <c r="D35">
        <v>1</v>
      </c>
    </row>
    <row r="36" spans="1:4">
      <c r="A36" s="76"/>
      <c r="B36">
        <v>2011</v>
      </c>
      <c r="C36">
        <v>1</v>
      </c>
      <c r="D36">
        <v>1</v>
      </c>
    </row>
    <row r="37" spans="1:4">
      <c r="A37" s="77"/>
      <c r="B37" s="12">
        <v>2014</v>
      </c>
      <c r="C37" s="12">
        <v>1</v>
      </c>
      <c r="D37" s="12">
        <v>1</v>
      </c>
    </row>
    <row r="38" spans="1:4">
      <c r="A38" s="75" t="s">
        <v>161</v>
      </c>
      <c r="B38" s="31">
        <v>2002</v>
      </c>
      <c r="C38" s="31">
        <v>0</v>
      </c>
      <c r="D38" s="31">
        <v>1</v>
      </c>
    </row>
    <row r="39" spans="1:4">
      <c r="A39" s="76"/>
      <c r="B39">
        <v>2008</v>
      </c>
      <c r="C39">
        <v>1</v>
      </c>
      <c r="D39">
        <v>1</v>
      </c>
    </row>
    <row r="40" spans="1:4">
      <c r="A40" s="77"/>
      <c r="B40" s="12">
        <v>2010</v>
      </c>
      <c r="C40" s="12">
        <v>1</v>
      </c>
      <c r="D40" s="12">
        <v>1</v>
      </c>
    </row>
    <row r="41" spans="1:4">
      <c r="A41" s="75" t="s">
        <v>395</v>
      </c>
      <c r="B41" s="31">
        <v>2002</v>
      </c>
      <c r="C41" s="31">
        <v>0</v>
      </c>
      <c r="D41" s="31">
        <v>1</v>
      </c>
    </row>
    <row r="42" spans="1:4">
      <c r="A42" s="77"/>
      <c r="B42" s="12">
        <v>2008</v>
      </c>
      <c r="C42" s="12">
        <v>1</v>
      </c>
      <c r="D42" s="12">
        <v>1</v>
      </c>
    </row>
    <row r="43" spans="1:4">
      <c r="A43" s="32" t="s">
        <v>461</v>
      </c>
      <c r="B43" s="33">
        <v>2008</v>
      </c>
      <c r="C43" s="33">
        <v>0</v>
      </c>
      <c r="D43" s="33">
        <v>1</v>
      </c>
    </row>
    <row r="44" spans="1:4">
      <c r="A44" s="76" t="s">
        <v>438</v>
      </c>
      <c r="B44">
        <v>2008</v>
      </c>
      <c r="C44">
        <v>1</v>
      </c>
      <c r="D44">
        <v>1</v>
      </c>
    </row>
    <row r="45" spans="1:4">
      <c r="A45" s="77"/>
      <c r="B45" s="12">
        <v>2011</v>
      </c>
      <c r="C45" s="12">
        <v>0</v>
      </c>
      <c r="D45" s="12">
        <v>1</v>
      </c>
    </row>
    <row r="48" spans="1:4">
      <c r="A48" t="s">
        <v>462</v>
      </c>
    </row>
    <row r="49" spans="1:1">
      <c r="A49" s="4" t="s">
        <v>883</v>
      </c>
    </row>
    <row r="51" spans="1:1">
      <c r="A51" t="s">
        <v>463</v>
      </c>
    </row>
    <row r="52" spans="1:1">
      <c r="A52" t="s">
        <v>587</v>
      </c>
    </row>
  </sheetData>
  <mergeCells count="16">
    <mergeCell ref="A13:A14"/>
    <mergeCell ref="A1:D1"/>
    <mergeCell ref="A3:A4"/>
    <mergeCell ref="A5:A7"/>
    <mergeCell ref="A9:A10"/>
    <mergeCell ref="A11:A12"/>
    <mergeCell ref="A34:A37"/>
    <mergeCell ref="A38:A40"/>
    <mergeCell ref="A41:A42"/>
    <mergeCell ref="A44:A45"/>
    <mergeCell ref="A15:A17"/>
    <mergeCell ref="A18:A20"/>
    <mergeCell ref="A22:A24"/>
    <mergeCell ref="A25:A27"/>
    <mergeCell ref="A28:A29"/>
    <mergeCell ref="A30:A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Main Table</vt:lpstr>
      <vt:lpstr>Sources</vt:lpstr>
      <vt:lpstr>Banking Crises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Quentin Bro de Comères</dc:creator>
  <cp:lastModifiedBy>Quentin Bro de Comères</cp:lastModifiedBy>
  <dcterms:created xsi:type="dcterms:W3CDTF">2020-12-12T10:04:14Z</dcterms:created>
  <dcterms:modified xsi:type="dcterms:W3CDTF">2026-02-27T21:32:15Z</dcterms:modified>
</cp:coreProperties>
</file>