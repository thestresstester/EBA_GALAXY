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quentinbrodecomeres/Desktop/Apps/The_EBA_Galaxy/Monetary Policy Calendars/"/>
    </mc:Choice>
  </mc:AlternateContent>
  <xr:revisionPtr revIDLastSave="0" documentId="13_ncr:1_{56276766-5372-A74A-9ED8-733444DC3530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Disclaimer" sheetId="3" r:id="rId1"/>
    <sheet name="data" sheetId="1" r:id="rId2"/>
    <sheet name="balance_sheet" sheetId="4" r:id="rId3"/>
    <sheet name="rates" sheetId="5" r:id="rId4"/>
    <sheet name="categories" sheetId="6" r:id="rId5"/>
  </sheets>
  <definedNames>
    <definedName name="_xlnm._FilterDatabase" localSheetId="1" hidden="1">data!$A$1:$I$2874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47" i="4" l="1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734" i="4"/>
  <c r="AJ735" i="4"/>
  <c r="AJ736" i="4"/>
  <c r="AJ737" i="4"/>
  <c r="AJ738" i="4"/>
  <c r="AJ739" i="4"/>
  <c r="AJ740" i="4"/>
  <c r="AJ741" i="4"/>
  <c r="AJ742" i="4"/>
  <c r="AJ743" i="4"/>
  <c r="AJ744" i="4"/>
  <c r="AJ745" i="4"/>
  <c r="AJ746" i="4"/>
  <c r="AJ747" i="4"/>
  <c r="AJ748" i="4"/>
  <c r="AJ749" i="4"/>
  <c r="AJ750" i="4"/>
  <c r="AJ751" i="4"/>
  <c r="AJ752" i="4"/>
  <c r="AJ753" i="4"/>
  <c r="AJ754" i="4"/>
  <c r="AJ755" i="4"/>
  <c r="AJ756" i="4"/>
  <c r="AJ757" i="4"/>
  <c r="AJ758" i="4"/>
  <c r="AJ759" i="4"/>
  <c r="AJ760" i="4"/>
  <c r="AJ761" i="4"/>
  <c r="AJ762" i="4"/>
  <c r="AJ763" i="4"/>
  <c r="AJ764" i="4"/>
  <c r="AJ765" i="4"/>
  <c r="AJ766" i="4"/>
  <c r="AJ767" i="4"/>
  <c r="AJ768" i="4"/>
  <c r="AJ769" i="4"/>
  <c r="AJ770" i="4"/>
  <c r="AJ771" i="4"/>
  <c r="AJ772" i="4"/>
  <c r="AJ773" i="4"/>
  <c r="AJ774" i="4"/>
  <c r="AJ775" i="4"/>
  <c r="AJ776" i="4"/>
  <c r="AJ777" i="4"/>
  <c r="AJ778" i="4"/>
  <c r="AJ779" i="4"/>
  <c r="AJ780" i="4"/>
  <c r="AJ781" i="4"/>
  <c r="AJ782" i="4"/>
  <c r="AJ783" i="4"/>
  <c r="AJ784" i="4"/>
  <c r="AJ785" i="4"/>
  <c r="AJ786" i="4"/>
  <c r="AJ787" i="4"/>
  <c r="AJ788" i="4"/>
  <c r="AJ789" i="4"/>
  <c r="AJ790" i="4"/>
  <c r="AJ791" i="4"/>
  <c r="AJ792" i="4"/>
  <c r="AJ793" i="4"/>
  <c r="AJ794" i="4"/>
  <c r="AJ795" i="4"/>
  <c r="AJ796" i="4"/>
  <c r="AJ797" i="4"/>
  <c r="AJ798" i="4"/>
  <c r="AJ799" i="4"/>
  <c r="AJ800" i="4"/>
  <c r="AJ801" i="4"/>
  <c r="AJ802" i="4"/>
  <c r="AJ803" i="4"/>
  <c r="AJ804" i="4"/>
  <c r="AJ805" i="4"/>
  <c r="AJ806" i="4"/>
  <c r="AJ807" i="4"/>
  <c r="AJ808" i="4"/>
  <c r="AJ809" i="4"/>
  <c r="AJ810" i="4"/>
  <c r="AJ811" i="4"/>
  <c r="AJ812" i="4"/>
  <c r="AJ813" i="4"/>
  <c r="AJ814" i="4"/>
  <c r="AJ815" i="4"/>
  <c r="AJ816" i="4"/>
  <c r="AJ817" i="4"/>
  <c r="AJ818" i="4"/>
  <c r="AJ819" i="4"/>
  <c r="AJ820" i="4"/>
  <c r="AJ821" i="4"/>
  <c r="AJ822" i="4"/>
  <c r="AJ823" i="4"/>
  <c r="AJ824" i="4"/>
  <c r="AJ825" i="4"/>
  <c r="AJ826" i="4"/>
  <c r="AJ827" i="4"/>
  <c r="AJ828" i="4"/>
  <c r="AJ829" i="4"/>
  <c r="AJ830" i="4"/>
  <c r="AJ831" i="4"/>
  <c r="AJ832" i="4"/>
  <c r="AJ833" i="4"/>
  <c r="AJ834" i="4"/>
  <c r="AJ835" i="4"/>
  <c r="AJ836" i="4"/>
  <c r="AJ837" i="4"/>
  <c r="AJ838" i="4"/>
  <c r="AJ839" i="4"/>
  <c r="AJ840" i="4"/>
  <c r="AJ841" i="4"/>
  <c r="AJ842" i="4"/>
  <c r="AJ843" i="4"/>
  <c r="AJ844" i="4"/>
  <c r="AJ845" i="4"/>
  <c r="AJ846" i="4"/>
  <c r="AJ847" i="4"/>
  <c r="AJ848" i="4"/>
  <c r="AJ849" i="4"/>
  <c r="AJ850" i="4"/>
  <c r="AJ851" i="4"/>
  <c r="AJ852" i="4"/>
  <c r="AJ853" i="4"/>
  <c r="AJ854" i="4"/>
  <c r="AJ855" i="4"/>
  <c r="AJ856" i="4"/>
  <c r="AJ857" i="4"/>
  <c r="AJ858" i="4"/>
  <c r="AJ859" i="4"/>
  <c r="AJ860" i="4"/>
  <c r="AJ861" i="4"/>
  <c r="AJ862" i="4"/>
  <c r="AJ863" i="4"/>
  <c r="AJ864" i="4"/>
  <c r="AJ865" i="4"/>
  <c r="AJ866" i="4"/>
  <c r="AJ867" i="4"/>
  <c r="AJ868" i="4"/>
  <c r="AJ869" i="4"/>
  <c r="AJ870" i="4"/>
  <c r="AJ871" i="4"/>
  <c r="AJ872" i="4"/>
  <c r="AJ873" i="4"/>
  <c r="AJ874" i="4"/>
  <c r="AJ875" i="4"/>
  <c r="AJ876" i="4"/>
  <c r="AJ877" i="4"/>
  <c r="AJ878" i="4"/>
  <c r="AJ879" i="4"/>
  <c r="AJ880" i="4"/>
  <c r="AJ881" i="4"/>
  <c r="AJ882" i="4"/>
  <c r="AJ883" i="4"/>
  <c r="AJ884" i="4"/>
  <c r="AJ885" i="4"/>
  <c r="AJ886" i="4"/>
  <c r="AJ887" i="4"/>
  <c r="AJ888" i="4"/>
  <c r="AJ889" i="4"/>
  <c r="AJ890" i="4"/>
  <c r="AJ891" i="4"/>
  <c r="AJ892" i="4"/>
  <c r="AJ893" i="4"/>
  <c r="AJ894" i="4"/>
  <c r="AJ895" i="4"/>
  <c r="AJ896" i="4"/>
  <c r="AJ897" i="4"/>
  <c r="AJ898" i="4"/>
  <c r="AJ899" i="4"/>
  <c r="AJ900" i="4"/>
  <c r="AJ901" i="4"/>
  <c r="AJ902" i="4"/>
  <c r="AJ903" i="4"/>
  <c r="AJ904" i="4"/>
  <c r="AJ905" i="4"/>
  <c r="AJ906" i="4"/>
  <c r="AJ907" i="4"/>
  <c r="AJ908" i="4"/>
  <c r="AJ909" i="4"/>
  <c r="AJ910" i="4"/>
  <c r="AJ911" i="4"/>
  <c r="AJ912" i="4"/>
  <c r="AJ913" i="4"/>
  <c r="AJ914" i="4"/>
  <c r="AJ915" i="4"/>
  <c r="AJ916" i="4"/>
  <c r="AJ917" i="4"/>
  <c r="AJ918" i="4"/>
  <c r="AJ919" i="4"/>
  <c r="AJ920" i="4"/>
  <c r="AJ921" i="4"/>
  <c r="AJ922" i="4"/>
  <c r="AJ923" i="4"/>
  <c r="AJ924" i="4"/>
  <c r="AJ925" i="4"/>
  <c r="AJ926" i="4"/>
  <c r="AJ927" i="4"/>
  <c r="AJ928" i="4"/>
  <c r="AJ929" i="4"/>
  <c r="AJ930" i="4"/>
  <c r="AJ931" i="4"/>
  <c r="AJ932" i="4"/>
  <c r="AJ933" i="4"/>
  <c r="AJ934" i="4"/>
  <c r="AJ935" i="4"/>
  <c r="AJ936" i="4"/>
  <c r="AJ937" i="4"/>
  <c r="AJ938" i="4"/>
  <c r="AJ939" i="4"/>
  <c r="AJ940" i="4"/>
  <c r="AJ941" i="4"/>
  <c r="AJ942" i="4"/>
  <c r="AJ943" i="4"/>
  <c r="AJ944" i="4"/>
  <c r="AJ945" i="4"/>
  <c r="AJ946" i="4"/>
  <c r="AJ947" i="4"/>
  <c r="AJ948" i="4"/>
  <c r="AJ949" i="4"/>
  <c r="AJ950" i="4"/>
  <c r="AJ951" i="4"/>
  <c r="AJ952" i="4"/>
  <c r="AJ953" i="4"/>
  <c r="AJ954" i="4"/>
  <c r="AJ955" i="4"/>
  <c r="AJ956" i="4"/>
  <c r="AJ957" i="4"/>
  <c r="AJ958" i="4"/>
  <c r="AJ959" i="4"/>
  <c r="AJ960" i="4"/>
  <c r="AJ961" i="4"/>
  <c r="AJ962" i="4"/>
  <c r="AJ963" i="4"/>
  <c r="AJ964" i="4"/>
  <c r="AJ965" i="4"/>
  <c r="AJ966" i="4"/>
  <c r="AJ967" i="4"/>
  <c r="AJ968" i="4"/>
  <c r="AJ969" i="4"/>
  <c r="AJ970" i="4"/>
  <c r="AJ971" i="4"/>
  <c r="AJ972" i="4"/>
  <c r="AJ973" i="4"/>
  <c r="AJ974" i="4"/>
  <c r="AJ975" i="4"/>
  <c r="AJ976" i="4"/>
  <c r="AJ977" i="4"/>
  <c r="AJ978" i="4"/>
  <c r="AJ979" i="4"/>
  <c r="AJ980" i="4"/>
  <c r="AJ981" i="4"/>
  <c r="AJ982" i="4"/>
  <c r="AJ983" i="4"/>
  <c r="AJ984" i="4"/>
  <c r="AJ985" i="4"/>
  <c r="AJ986" i="4"/>
  <c r="AJ987" i="4"/>
  <c r="AJ988" i="4"/>
  <c r="AJ989" i="4"/>
  <c r="AJ990" i="4"/>
  <c r="AJ991" i="4"/>
  <c r="AJ992" i="4"/>
  <c r="AJ993" i="4"/>
  <c r="AJ994" i="4"/>
  <c r="AJ995" i="4"/>
  <c r="AJ996" i="4"/>
  <c r="AJ997" i="4"/>
  <c r="AJ998" i="4"/>
  <c r="AJ999" i="4"/>
  <c r="AJ1000" i="4"/>
  <c r="AJ1001" i="4"/>
  <c r="AJ1002" i="4"/>
  <c r="AJ1003" i="4"/>
  <c r="AJ1004" i="4"/>
  <c r="AJ1005" i="4"/>
  <c r="AJ1006" i="4"/>
  <c r="AJ1007" i="4"/>
  <c r="AJ1008" i="4"/>
  <c r="AJ1009" i="4"/>
  <c r="AJ1010" i="4"/>
  <c r="AJ1011" i="4"/>
  <c r="AJ1012" i="4"/>
  <c r="AJ1013" i="4"/>
  <c r="AJ1014" i="4"/>
  <c r="AJ1015" i="4"/>
  <c r="AJ1016" i="4"/>
  <c r="AJ1017" i="4"/>
  <c r="AJ1018" i="4"/>
  <c r="AJ1019" i="4"/>
  <c r="AJ1020" i="4"/>
  <c r="AJ1021" i="4"/>
  <c r="AJ1022" i="4"/>
  <c r="AJ1023" i="4"/>
  <c r="AJ1024" i="4"/>
  <c r="AJ1025" i="4"/>
  <c r="AJ1026" i="4"/>
  <c r="AJ1027" i="4"/>
  <c r="AJ1028" i="4"/>
  <c r="AJ1029" i="4"/>
  <c r="AJ1030" i="4"/>
  <c r="AJ1031" i="4"/>
  <c r="AJ1032" i="4"/>
  <c r="AJ1033" i="4"/>
  <c r="AJ1034" i="4"/>
  <c r="AJ1035" i="4"/>
  <c r="AJ1036" i="4"/>
  <c r="AJ1037" i="4"/>
  <c r="AJ1038" i="4"/>
  <c r="AJ1039" i="4"/>
  <c r="AJ1040" i="4"/>
  <c r="AJ1041" i="4"/>
  <c r="AJ1042" i="4"/>
  <c r="AJ1043" i="4"/>
  <c r="AJ1044" i="4"/>
  <c r="AJ1045" i="4"/>
  <c r="AJ1046" i="4"/>
  <c r="AJ1047" i="4"/>
  <c r="AJ1048" i="4"/>
  <c r="AJ1049" i="4"/>
  <c r="AJ1050" i="4"/>
  <c r="AJ1051" i="4"/>
  <c r="AJ1052" i="4"/>
  <c r="AJ1053" i="4"/>
  <c r="AJ1054" i="4"/>
  <c r="AJ1055" i="4"/>
  <c r="AJ1056" i="4"/>
  <c r="AJ1057" i="4"/>
  <c r="AJ1058" i="4"/>
  <c r="AJ1059" i="4"/>
  <c r="AJ1060" i="4"/>
  <c r="AJ1061" i="4"/>
  <c r="AJ1062" i="4"/>
  <c r="AJ1063" i="4"/>
  <c r="AJ1064" i="4"/>
  <c r="AJ1065" i="4"/>
  <c r="AJ1066" i="4"/>
  <c r="AJ1067" i="4"/>
  <c r="AJ1068" i="4"/>
  <c r="AJ1069" i="4"/>
  <c r="AJ1070" i="4"/>
  <c r="AJ1071" i="4"/>
  <c r="AJ1072" i="4"/>
  <c r="AJ1073" i="4"/>
  <c r="AJ1074" i="4"/>
  <c r="AJ1075" i="4"/>
  <c r="AJ1076" i="4"/>
  <c r="AJ1077" i="4"/>
  <c r="AJ1078" i="4"/>
  <c r="AJ1079" i="4"/>
  <c r="AJ1080" i="4"/>
  <c r="AJ1081" i="4"/>
  <c r="AJ1082" i="4"/>
  <c r="AJ1083" i="4"/>
  <c r="AJ1084" i="4"/>
  <c r="AJ1085" i="4"/>
  <c r="AJ1086" i="4"/>
  <c r="AJ1087" i="4"/>
  <c r="AJ1088" i="4"/>
  <c r="AJ1089" i="4"/>
  <c r="AJ1090" i="4"/>
  <c r="AJ1091" i="4"/>
  <c r="AJ1092" i="4"/>
  <c r="AJ1093" i="4"/>
  <c r="AJ1094" i="4"/>
  <c r="AJ1095" i="4"/>
  <c r="AJ1096" i="4"/>
  <c r="AJ1097" i="4"/>
  <c r="AJ1098" i="4"/>
  <c r="AJ1099" i="4"/>
  <c r="AJ1100" i="4"/>
  <c r="AJ1101" i="4"/>
  <c r="AJ1102" i="4"/>
  <c r="AJ1103" i="4"/>
  <c r="AJ1104" i="4"/>
  <c r="AJ1105" i="4"/>
  <c r="AJ1106" i="4"/>
  <c r="AJ1107" i="4"/>
  <c r="AJ1108" i="4"/>
  <c r="AJ1109" i="4"/>
  <c r="AJ1110" i="4"/>
  <c r="AJ1111" i="4"/>
  <c r="AJ1112" i="4"/>
  <c r="AJ1113" i="4"/>
  <c r="AJ1114" i="4"/>
  <c r="AJ1115" i="4"/>
  <c r="AJ1116" i="4"/>
  <c r="AJ1117" i="4"/>
  <c r="AJ1118" i="4"/>
  <c r="AJ1119" i="4"/>
  <c r="AJ1120" i="4"/>
  <c r="AJ1121" i="4"/>
  <c r="AJ1122" i="4"/>
  <c r="AJ1123" i="4"/>
  <c r="AJ1124" i="4"/>
  <c r="AJ1125" i="4"/>
  <c r="AJ1126" i="4"/>
  <c r="AJ1127" i="4"/>
  <c r="AJ1128" i="4"/>
  <c r="AJ1129" i="4"/>
  <c r="AJ1130" i="4"/>
  <c r="AJ1131" i="4"/>
  <c r="AJ1132" i="4"/>
  <c r="AJ1133" i="4"/>
  <c r="AJ1134" i="4"/>
  <c r="AJ1135" i="4"/>
  <c r="AJ1136" i="4"/>
  <c r="AJ1137" i="4"/>
  <c r="AJ1138" i="4"/>
  <c r="AJ1139" i="4"/>
  <c r="AJ1140" i="4"/>
  <c r="AJ1141" i="4"/>
  <c r="AJ1142" i="4"/>
  <c r="AJ1143" i="4"/>
  <c r="AJ1144" i="4"/>
  <c r="AJ1145" i="4"/>
  <c r="AJ1146" i="4"/>
  <c r="AJ1147" i="4"/>
  <c r="AJ1148" i="4"/>
  <c r="AJ1149" i="4"/>
  <c r="AJ1150" i="4"/>
  <c r="AJ1151" i="4"/>
  <c r="AJ1152" i="4"/>
  <c r="AJ1153" i="4"/>
  <c r="AJ1154" i="4"/>
  <c r="AJ1155" i="4"/>
  <c r="AJ1156" i="4"/>
  <c r="AJ1157" i="4"/>
  <c r="AJ1158" i="4"/>
  <c r="AJ1159" i="4"/>
  <c r="AJ1160" i="4"/>
  <c r="AJ1161" i="4"/>
  <c r="AJ1162" i="4"/>
  <c r="AJ1163" i="4"/>
  <c r="AJ1164" i="4"/>
  <c r="AJ1165" i="4"/>
  <c r="AJ1166" i="4"/>
  <c r="AJ1167" i="4"/>
  <c r="AJ1168" i="4"/>
  <c r="AJ1169" i="4"/>
  <c r="AJ1170" i="4"/>
  <c r="AJ1171" i="4"/>
  <c r="AJ1172" i="4"/>
  <c r="AJ1173" i="4"/>
  <c r="AJ1174" i="4"/>
  <c r="AJ1175" i="4"/>
  <c r="AJ1176" i="4"/>
  <c r="AJ1177" i="4"/>
  <c r="AJ1178" i="4"/>
  <c r="AJ1179" i="4"/>
  <c r="AJ1180" i="4"/>
  <c r="AJ1181" i="4"/>
  <c r="AJ1182" i="4"/>
  <c r="AJ1183" i="4"/>
  <c r="AJ1184" i="4"/>
  <c r="AJ1185" i="4"/>
  <c r="AJ1186" i="4"/>
  <c r="AJ1187" i="4"/>
  <c r="AJ1188" i="4"/>
  <c r="AJ1189" i="4"/>
  <c r="AJ1190" i="4"/>
  <c r="AJ1191" i="4"/>
  <c r="AJ1192" i="4"/>
  <c r="AJ1193" i="4"/>
  <c r="AJ1194" i="4"/>
  <c r="AJ1195" i="4"/>
  <c r="AJ1196" i="4"/>
  <c r="AJ1197" i="4"/>
  <c r="AJ1198" i="4"/>
  <c r="AJ1199" i="4"/>
  <c r="AJ1200" i="4"/>
  <c r="AJ1201" i="4"/>
  <c r="AJ1202" i="4"/>
  <c r="AJ1203" i="4"/>
  <c r="AJ1204" i="4"/>
  <c r="AJ1205" i="4"/>
  <c r="AJ1206" i="4"/>
  <c r="AJ1207" i="4"/>
  <c r="AJ1208" i="4"/>
  <c r="AJ1209" i="4"/>
  <c r="AJ44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6" i="4"/>
  <c r="AI1209" i="4"/>
  <c r="W1209" i="4"/>
  <c r="AI1208" i="4"/>
  <c r="W1208" i="4"/>
  <c r="AI1207" i="4"/>
  <c r="W1207" i="4"/>
  <c r="AI1206" i="4"/>
  <c r="W1206" i="4"/>
  <c r="AI1205" i="4"/>
  <c r="W1205" i="4"/>
  <c r="AI1204" i="4"/>
  <c r="W1204" i="4"/>
  <c r="AI1203" i="4"/>
  <c r="W1203" i="4"/>
  <c r="AI1202" i="4"/>
  <c r="W1202" i="4"/>
  <c r="AI1201" i="4"/>
  <c r="W1201" i="4"/>
  <c r="AI1200" i="4"/>
  <c r="W1200" i="4"/>
  <c r="AI1199" i="4"/>
  <c r="W1199" i="4"/>
  <c r="AI1198" i="4"/>
  <c r="W1198" i="4"/>
  <c r="AI1197" i="4"/>
  <c r="W1197" i="4"/>
  <c r="AI1196" i="4"/>
  <c r="W1196" i="4"/>
  <c r="AI1195" i="4"/>
  <c r="W1195" i="4"/>
  <c r="AI1194" i="4"/>
  <c r="W1194" i="4"/>
  <c r="AI1193" i="4"/>
  <c r="W1193" i="4"/>
  <c r="AI1192" i="4"/>
  <c r="W1192" i="4"/>
  <c r="AI1191" i="4"/>
  <c r="W1191" i="4"/>
  <c r="AI1190" i="4"/>
  <c r="W1190" i="4"/>
  <c r="AI1189" i="4"/>
  <c r="W1189" i="4"/>
  <c r="AI1188" i="4"/>
  <c r="W1188" i="4"/>
  <c r="AI1187" i="4"/>
  <c r="W1187" i="4"/>
  <c r="AI1186" i="4"/>
  <c r="W1186" i="4"/>
  <c r="AI1185" i="4"/>
  <c r="W1185" i="4"/>
  <c r="AI1184" i="4"/>
  <c r="W1184" i="4"/>
  <c r="AI1183" i="4"/>
  <c r="W1183" i="4"/>
  <c r="AI1182" i="4"/>
  <c r="W1182" i="4"/>
  <c r="AI1181" i="4"/>
  <c r="W1181" i="4"/>
  <c r="AI1180" i="4"/>
  <c r="W1180" i="4"/>
  <c r="AI1179" i="4"/>
  <c r="W1179" i="4"/>
  <c r="AI1178" i="4"/>
  <c r="W1178" i="4"/>
  <c r="AI1177" i="4"/>
  <c r="W1177" i="4"/>
  <c r="AI1176" i="4"/>
  <c r="W1176" i="4"/>
  <c r="AI1175" i="4"/>
  <c r="W1175" i="4"/>
  <c r="AI1174" i="4"/>
  <c r="W1174" i="4"/>
  <c r="AI1173" i="4"/>
  <c r="W1173" i="4"/>
  <c r="AI1172" i="4"/>
  <c r="W1172" i="4"/>
  <c r="AI1171" i="4"/>
  <c r="W1171" i="4"/>
  <c r="AI1170" i="4"/>
  <c r="W1170" i="4"/>
  <c r="AI1169" i="4"/>
  <c r="W1169" i="4"/>
  <c r="AI1168" i="4"/>
  <c r="W1168" i="4"/>
  <c r="AI1167" i="4"/>
  <c r="W1167" i="4"/>
  <c r="AI1166" i="4"/>
  <c r="W1166" i="4"/>
  <c r="AI1165" i="4"/>
  <c r="W1165" i="4"/>
  <c r="AI1164" i="4"/>
  <c r="W1164" i="4"/>
  <c r="AI1163" i="4"/>
  <c r="W1163" i="4"/>
  <c r="AI1162" i="4"/>
  <c r="W1162" i="4"/>
  <c r="AI1161" i="4"/>
  <c r="W1161" i="4"/>
  <c r="AI1160" i="4"/>
  <c r="W1160" i="4"/>
  <c r="AI1159" i="4"/>
  <c r="W1159" i="4"/>
  <c r="AI1158" i="4"/>
  <c r="W1158" i="4"/>
  <c r="AI1157" i="4"/>
  <c r="W1157" i="4"/>
  <c r="AI1156" i="4"/>
  <c r="W1156" i="4"/>
  <c r="AI1155" i="4"/>
  <c r="W1155" i="4"/>
  <c r="AI1154" i="4"/>
  <c r="W1154" i="4"/>
  <c r="AI1153" i="4"/>
  <c r="W1153" i="4"/>
  <c r="AI1152" i="4"/>
  <c r="W1152" i="4"/>
  <c r="AI1151" i="4"/>
  <c r="W1151" i="4"/>
  <c r="AI1150" i="4"/>
  <c r="W1150" i="4"/>
  <c r="AI1149" i="4"/>
  <c r="W1149" i="4"/>
  <c r="AI1148" i="4"/>
  <c r="W1148" i="4"/>
  <c r="AI1147" i="4"/>
  <c r="W1147" i="4"/>
  <c r="AI1146" i="4"/>
  <c r="W1146" i="4"/>
  <c r="AI1145" i="4"/>
  <c r="W1145" i="4"/>
  <c r="AI1144" i="4"/>
  <c r="W1144" i="4"/>
  <c r="AI1143" i="4"/>
  <c r="W1143" i="4"/>
  <c r="AI1142" i="4"/>
  <c r="W1142" i="4"/>
  <c r="AI1141" i="4"/>
  <c r="W1141" i="4"/>
  <c r="AI1140" i="4"/>
  <c r="W1140" i="4"/>
  <c r="AI1139" i="4"/>
  <c r="W1139" i="4"/>
  <c r="AI1138" i="4"/>
  <c r="W1138" i="4"/>
  <c r="AI1137" i="4"/>
  <c r="W1137" i="4"/>
  <c r="AI1136" i="4"/>
  <c r="W1136" i="4"/>
  <c r="AI1135" i="4"/>
  <c r="W1135" i="4"/>
  <c r="AI1134" i="4"/>
  <c r="W1134" i="4"/>
  <c r="AI1133" i="4"/>
  <c r="W1133" i="4"/>
  <c r="AI1132" i="4"/>
  <c r="W1132" i="4"/>
  <c r="AI1131" i="4"/>
  <c r="W1131" i="4"/>
  <c r="AI1130" i="4"/>
  <c r="W1130" i="4"/>
  <c r="AI1129" i="4"/>
  <c r="W1129" i="4"/>
  <c r="AI1128" i="4"/>
  <c r="W1128" i="4"/>
  <c r="AI1127" i="4"/>
  <c r="W1127" i="4"/>
  <c r="AI1126" i="4"/>
  <c r="W1126" i="4"/>
  <c r="AI1125" i="4"/>
  <c r="W1125" i="4"/>
  <c r="AI1124" i="4"/>
  <c r="W1124" i="4"/>
  <c r="AI1123" i="4"/>
  <c r="W1123" i="4"/>
  <c r="AI1122" i="4"/>
  <c r="W1122" i="4"/>
  <c r="AI1121" i="4"/>
  <c r="W1121" i="4"/>
  <c r="AI1120" i="4"/>
  <c r="W1120" i="4"/>
  <c r="AI1119" i="4"/>
  <c r="W1119" i="4"/>
  <c r="AI1118" i="4"/>
  <c r="W1118" i="4"/>
  <c r="AI1117" i="4"/>
  <c r="W1117" i="4"/>
  <c r="AI1116" i="4"/>
  <c r="W1116" i="4"/>
  <c r="AI1115" i="4"/>
  <c r="W1115" i="4"/>
  <c r="AI1114" i="4"/>
  <c r="W1114" i="4"/>
  <c r="AI1113" i="4"/>
  <c r="W1113" i="4"/>
  <c r="AI1112" i="4"/>
  <c r="W1112" i="4"/>
  <c r="AI1111" i="4"/>
  <c r="W1111" i="4"/>
  <c r="AI1110" i="4"/>
  <c r="W1110" i="4"/>
  <c r="AI1109" i="4"/>
  <c r="W1109" i="4"/>
  <c r="AI1108" i="4"/>
  <c r="W1108" i="4"/>
  <c r="AI1107" i="4"/>
  <c r="W1107" i="4"/>
  <c r="AI1106" i="4"/>
  <c r="W1106" i="4"/>
  <c r="AI1105" i="4"/>
  <c r="W1105" i="4"/>
  <c r="AI1104" i="4"/>
  <c r="W1104" i="4"/>
  <c r="AI1103" i="4"/>
  <c r="W1103" i="4"/>
  <c r="AI1102" i="4"/>
  <c r="W1102" i="4"/>
  <c r="AI1101" i="4"/>
  <c r="W1101" i="4"/>
  <c r="AI1100" i="4"/>
  <c r="W1100" i="4"/>
  <c r="AI1099" i="4"/>
  <c r="W1099" i="4"/>
  <c r="AI1098" i="4"/>
  <c r="W1098" i="4"/>
  <c r="AI1097" i="4"/>
  <c r="W1097" i="4"/>
  <c r="AI1096" i="4"/>
  <c r="W1096" i="4"/>
  <c r="AI1095" i="4"/>
  <c r="W1095" i="4"/>
  <c r="AI1094" i="4"/>
  <c r="W1094" i="4"/>
  <c r="AI1093" i="4"/>
  <c r="W1093" i="4"/>
  <c r="AI1092" i="4"/>
  <c r="W1092" i="4"/>
  <c r="AI1091" i="4"/>
  <c r="W1091" i="4"/>
  <c r="AI1090" i="4"/>
  <c r="W1090" i="4"/>
  <c r="AI1089" i="4"/>
  <c r="W1089" i="4"/>
  <c r="AI1088" i="4"/>
  <c r="W1088" i="4"/>
  <c r="AI1087" i="4"/>
  <c r="W1087" i="4"/>
  <c r="AI1086" i="4"/>
  <c r="W1086" i="4"/>
  <c r="AI1085" i="4"/>
  <c r="W1085" i="4"/>
  <c r="AI1084" i="4"/>
  <c r="W1084" i="4"/>
  <c r="AI1083" i="4"/>
  <c r="W1083" i="4"/>
  <c r="AI1082" i="4"/>
  <c r="W1082" i="4"/>
  <c r="AI1081" i="4"/>
  <c r="W1081" i="4"/>
  <c r="AI1080" i="4"/>
  <c r="W1080" i="4"/>
  <c r="AI1079" i="4"/>
  <c r="W1079" i="4"/>
  <c r="AI1078" i="4"/>
  <c r="W1078" i="4"/>
  <c r="AI1077" i="4"/>
  <c r="W1077" i="4"/>
  <c r="AI1076" i="4"/>
  <c r="W1076" i="4"/>
  <c r="AI1075" i="4"/>
  <c r="W1075" i="4"/>
  <c r="AI1074" i="4"/>
  <c r="W1074" i="4"/>
  <c r="AI1073" i="4"/>
  <c r="W1073" i="4"/>
  <c r="AI1072" i="4"/>
  <c r="W1072" i="4"/>
  <c r="AI1071" i="4"/>
  <c r="W1071" i="4"/>
  <c r="AI1070" i="4"/>
  <c r="W1070" i="4"/>
  <c r="AI1069" i="4"/>
  <c r="W1069" i="4"/>
  <c r="AI1068" i="4"/>
  <c r="W1068" i="4"/>
  <c r="AI1067" i="4"/>
  <c r="W1067" i="4"/>
  <c r="AI1066" i="4"/>
  <c r="W1066" i="4"/>
  <c r="AI1065" i="4"/>
  <c r="W1065" i="4"/>
  <c r="AI1064" i="4"/>
  <c r="W1064" i="4"/>
  <c r="AI1063" i="4"/>
  <c r="W1063" i="4"/>
  <c r="AI1062" i="4"/>
  <c r="W1062" i="4"/>
  <c r="AI1061" i="4"/>
  <c r="W1061" i="4"/>
  <c r="AI1060" i="4"/>
  <c r="W1060" i="4"/>
  <c r="AI1059" i="4"/>
  <c r="W1059" i="4"/>
  <c r="AI1058" i="4"/>
  <c r="W1058" i="4"/>
  <c r="AI1057" i="4"/>
  <c r="W1057" i="4"/>
  <c r="AI1056" i="4"/>
  <c r="W1056" i="4"/>
  <c r="AI1055" i="4"/>
  <c r="W1055" i="4"/>
  <c r="AI1054" i="4"/>
  <c r="W1054" i="4"/>
  <c r="AI1053" i="4"/>
  <c r="W1053" i="4"/>
  <c r="AI1052" i="4"/>
  <c r="W1052" i="4"/>
  <c r="AI1051" i="4"/>
  <c r="W1051" i="4"/>
  <c r="AI1050" i="4"/>
  <c r="W1050" i="4"/>
  <c r="AI1049" i="4"/>
  <c r="W1049" i="4"/>
  <c r="AI1048" i="4"/>
  <c r="W1048" i="4"/>
  <c r="AI1047" i="4"/>
  <c r="W1047" i="4"/>
  <c r="AI1046" i="4"/>
  <c r="W1046" i="4"/>
  <c r="AI1045" i="4"/>
  <c r="W1045" i="4"/>
  <c r="AI1044" i="4"/>
  <c r="W1044" i="4"/>
  <c r="AI1043" i="4"/>
  <c r="W1043" i="4"/>
  <c r="AI1042" i="4"/>
  <c r="W1042" i="4"/>
  <c r="AI1041" i="4"/>
  <c r="W1041" i="4"/>
  <c r="AI1040" i="4"/>
  <c r="W1040" i="4"/>
  <c r="AI1039" i="4"/>
  <c r="W1039" i="4"/>
  <c r="AI1038" i="4"/>
  <c r="W1038" i="4"/>
  <c r="AI1037" i="4"/>
  <c r="W1037" i="4"/>
  <c r="AI1036" i="4"/>
  <c r="W1036" i="4"/>
  <c r="AI1035" i="4"/>
  <c r="W1035" i="4"/>
  <c r="AI1034" i="4"/>
  <c r="W1034" i="4"/>
  <c r="AI1033" i="4"/>
  <c r="W1033" i="4"/>
  <c r="AI1032" i="4"/>
  <c r="W1032" i="4"/>
  <c r="AI1031" i="4"/>
  <c r="W1031" i="4"/>
  <c r="AI1030" i="4"/>
  <c r="W1030" i="4"/>
  <c r="AI1029" i="4"/>
  <c r="W1029" i="4"/>
  <c r="AI1028" i="4"/>
  <c r="W1028" i="4"/>
  <c r="AI1027" i="4"/>
  <c r="W1027" i="4"/>
  <c r="AI1026" i="4"/>
  <c r="W1026" i="4"/>
  <c r="AI1025" i="4"/>
  <c r="W1025" i="4"/>
  <c r="AI1024" i="4"/>
  <c r="W1024" i="4"/>
  <c r="AI1023" i="4"/>
  <c r="W1023" i="4"/>
  <c r="AI1022" i="4"/>
  <c r="W1022" i="4"/>
  <c r="AI1021" i="4"/>
  <c r="W1021" i="4"/>
  <c r="AI1020" i="4"/>
  <c r="W1020" i="4"/>
  <c r="AI1019" i="4"/>
  <c r="W1019" i="4"/>
  <c r="AI1018" i="4"/>
  <c r="W1018" i="4"/>
  <c r="AI1017" i="4"/>
  <c r="W1017" i="4"/>
  <c r="AI1016" i="4"/>
  <c r="W1016" i="4"/>
  <c r="AI1015" i="4"/>
  <c r="W1015" i="4"/>
  <c r="AI1014" i="4"/>
  <c r="W1014" i="4"/>
  <c r="AI1013" i="4"/>
  <c r="W1013" i="4"/>
  <c r="AI1012" i="4"/>
  <c r="W1012" i="4"/>
  <c r="AI1011" i="4"/>
  <c r="W1011" i="4"/>
  <c r="AI1010" i="4"/>
  <c r="W1010" i="4"/>
  <c r="AI1009" i="4"/>
  <c r="W1009" i="4"/>
  <c r="AI1008" i="4"/>
  <c r="W1008" i="4"/>
  <c r="AI1007" i="4"/>
  <c r="W1007" i="4"/>
  <c r="AI1006" i="4"/>
  <c r="W1006" i="4"/>
  <c r="AI1005" i="4"/>
  <c r="W1005" i="4"/>
  <c r="AI1004" i="4"/>
  <c r="W1004" i="4"/>
  <c r="AI1003" i="4"/>
  <c r="W1003" i="4"/>
  <c r="AI1002" i="4"/>
  <c r="W1002" i="4"/>
  <c r="AI1001" i="4"/>
  <c r="W1001" i="4"/>
  <c r="AI1000" i="4"/>
  <c r="W1000" i="4"/>
  <c r="AI999" i="4"/>
  <c r="W999" i="4"/>
  <c r="AI998" i="4"/>
  <c r="W998" i="4"/>
  <c r="AI997" i="4"/>
  <c r="W997" i="4"/>
  <c r="AI996" i="4"/>
  <c r="W996" i="4"/>
  <c r="AI995" i="4"/>
  <c r="W995" i="4"/>
  <c r="AI994" i="4"/>
  <c r="W994" i="4"/>
  <c r="AI993" i="4"/>
  <c r="W993" i="4"/>
  <c r="AI992" i="4"/>
  <c r="W992" i="4"/>
  <c r="AI991" i="4"/>
  <c r="W991" i="4"/>
  <c r="AI990" i="4"/>
  <c r="W990" i="4"/>
  <c r="AI989" i="4"/>
  <c r="W989" i="4"/>
  <c r="AI988" i="4"/>
  <c r="W988" i="4"/>
  <c r="AI987" i="4"/>
  <c r="W987" i="4"/>
  <c r="AI986" i="4"/>
  <c r="W986" i="4"/>
  <c r="AI985" i="4"/>
  <c r="W985" i="4"/>
  <c r="AI984" i="4"/>
  <c r="W984" i="4"/>
  <c r="AI983" i="4"/>
  <c r="W983" i="4"/>
  <c r="AI982" i="4"/>
  <c r="W982" i="4"/>
  <c r="AI981" i="4"/>
  <c r="W981" i="4"/>
  <c r="AI980" i="4"/>
  <c r="W980" i="4"/>
  <c r="AI979" i="4"/>
  <c r="W979" i="4"/>
  <c r="AI978" i="4"/>
  <c r="W978" i="4"/>
  <c r="AI977" i="4"/>
  <c r="W977" i="4"/>
  <c r="AI976" i="4"/>
  <c r="W976" i="4"/>
  <c r="AI975" i="4"/>
  <c r="W975" i="4"/>
  <c r="AI974" i="4"/>
  <c r="W974" i="4"/>
  <c r="AI973" i="4"/>
  <c r="W973" i="4"/>
  <c r="AI972" i="4"/>
  <c r="W972" i="4"/>
  <c r="AI971" i="4"/>
  <c r="W971" i="4"/>
  <c r="AI970" i="4"/>
  <c r="W970" i="4"/>
  <c r="AI969" i="4"/>
  <c r="W969" i="4"/>
  <c r="AI968" i="4"/>
  <c r="W968" i="4"/>
  <c r="AI967" i="4"/>
  <c r="W967" i="4"/>
  <c r="AI966" i="4"/>
  <c r="W966" i="4"/>
  <c r="AI965" i="4"/>
  <c r="W965" i="4"/>
  <c r="AI964" i="4"/>
  <c r="W964" i="4"/>
  <c r="AI963" i="4"/>
  <c r="W963" i="4"/>
  <c r="AI962" i="4"/>
  <c r="W962" i="4"/>
  <c r="AI961" i="4"/>
  <c r="W961" i="4"/>
  <c r="AI960" i="4"/>
  <c r="W960" i="4"/>
  <c r="AI959" i="4"/>
  <c r="W959" i="4"/>
  <c r="AI958" i="4"/>
  <c r="W958" i="4"/>
  <c r="AI957" i="4"/>
  <c r="W957" i="4"/>
  <c r="AI956" i="4"/>
  <c r="W956" i="4"/>
  <c r="AI955" i="4"/>
  <c r="W955" i="4"/>
  <c r="AI954" i="4"/>
  <c r="W954" i="4"/>
  <c r="AI953" i="4"/>
  <c r="W953" i="4"/>
  <c r="AI952" i="4"/>
  <c r="W952" i="4"/>
  <c r="AI951" i="4"/>
  <c r="W951" i="4"/>
  <c r="AI950" i="4"/>
  <c r="W950" i="4"/>
  <c r="AI949" i="4"/>
  <c r="W949" i="4"/>
  <c r="AI948" i="4"/>
  <c r="W948" i="4"/>
  <c r="AI947" i="4"/>
  <c r="W947" i="4"/>
  <c r="AI946" i="4"/>
  <c r="W946" i="4"/>
  <c r="AI945" i="4"/>
  <c r="W945" i="4"/>
  <c r="AI944" i="4"/>
  <c r="W944" i="4"/>
  <c r="AI943" i="4"/>
  <c r="W943" i="4"/>
  <c r="AI942" i="4"/>
  <c r="W942" i="4"/>
  <c r="AI941" i="4"/>
  <c r="W941" i="4"/>
  <c r="AI940" i="4"/>
  <c r="W940" i="4"/>
  <c r="AI939" i="4"/>
  <c r="W939" i="4"/>
  <c r="AI938" i="4"/>
  <c r="W938" i="4"/>
  <c r="AI937" i="4"/>
  <c r="W937" i="4"/>
  <c r="AI936" i="4"/>
  <c r="W936" i="4"/>
  <c r="AI935" i="4"/>
  <c r="W935" i="4"/>
  <c r="AI934" i="4"/>
  <c r="W934" i="4"/>
  <c r="AI933" i="4"/>
  <c r="W933" i="4"/>
  <c r="AI932" i="4"/>
  <c r="W932" i="4"/>
  <c r="AI931" i="4"/>
  <c r="W931" i="4"/>
  <c r="AI930" i="4"/>
  <c r="W930" i="4"/>
  <c r="AI929" i="4"/>
  <c r="W929" i="4"/>
  <c r="AI928" i="4"/>
  <c r="W928" i="4"/>
  <c r="AI927" i="4"/>
  <c r="W927" i="4"/>
  <c r="AI926" i="4"/>
  <c r="W926" i="4"/>
  <c r="AI925" i="4"/>
  <c r="W925" i="4"/>
  <c r="AI924" i="4"/>
  <c r="W924" i="4"/>
  <c r="AI923" i="4"/>
  <c r="W923" i="4"/>
  <c r="AI922" i="4"/>
  <c r="W922" i="4"/>
  <c r="AI921" i="4"/>
  <c r="W921" i="4"/>
  <c r="AI920" i="4"/>
  <c r="W920" i="4"/>
  <c r="AI919" i="4"/>
  <c r="W919" i="4"/>
  <c r="AI918" i="4"/>
  <c r="W918" i="4"/>
  <c r="AI917" i="4"/>
  <c r="W917" i="4"/>
  <c r="AI916" i="4"/>
  <c r="W916" i="4"/>
  <c r="AI915" i="4"/>
  <c r="W915" i="4"/>
  <c r="AI914" i="4"/>
  <c r="W914" i="4"/>
  <c r="AI913" i="4"/>
  <c r="W913" i="4"/>
  <c r="AI912" i="4"/>
  <c r="W912" i="4"/>
  <c r="AI911" i="4"/>
  <c r="W911" i="4"/>
  <c r="AI910" i="4"/>
  <c r="W910" i="4"/>
  <c r="AI909" i="4"/>
  <c r="W909" i="4"/>
  <c r="AI908" i="4"/>
  <c r="W908" i="4"/>
  <c r="AI907" i="4"/>
  <c r="W907" i="4"/>
  <c r="AI906" i="4"/>
  <c r="W906" i="4"/>
  <c r="AI905" i="4"/>
  <c r="W905" i="4"/>
  <c r="AI904" i="4"/>
  <c r="W904" i="4"/>
  <c r="AI903" i="4"/>
  <c r="W903" i="4"/>
  <c r="AI902" i="4"/>
  <c r="W902" i="4"/>
  <c r="AI901" i="4"/>
  <c r="W901" i="4"/>
  <c r="AI900" i="4"/>
  <c r="W900" i="4"/>
  <c r="AI899" i="4"/>
  <c r="W899" i="4"/>
  <c r="AI898" i="4"/>
  <c r="W898" i="4"/>
  <c r="AI897" i="4"/>
  <c r="W897" i="4"/>
  <c r="AI896" i="4"/>
  <c r="W896" i="4"/>
  <c r="AI895" i="4"/>
  <c r="W895" i="4"/>
  <c r="AI894" i="4"/>
  <c r="W894" i="4"/>
  <c r="AI893" i="4"/>
  <c r="W893" i="4"/>
  <c r="AI892" i="4"/>
  <c r="W892" i="4"/>
  <c r="AI891" i="4"/>
  <c r="W891" i="4"/>
  <c r="AI890" i="4"/>
  <c r="W890" i="4"/>
  <c r="AI889" i="4"/>
  <c r="W889" i="4"/>
  <c r="AI888" i="4"/>
  <c r="W888" i="4"/>
  <c r="AI887" i="4"/>
  <c r="W887" i="4"/>
  <c r="AI886" i="4"/>
  <c r="W886" i="4"/>
  <c r="AI885" i="4"/>
  <c r="W885" i="4"/>
  <c r="AI884" i="4"/>
  <c r="W884" i="4"/>
  <c r="AI883" i="4"/>
  <c r="W883" i="4"/>
  <c r="AI882" i="4"/>
  <c r="W882" i="4"/>
  <c r="AI881" i="4"/>
  <c r="W881" i="4"/>
  <c r="AI880" i="4"/>
  <c r="W880" i="4"/>
  <c r="AI879" i="4"/>
  <c r="W879" i="4"/>
  <c r="AI878" i="4"/>
  <c r="W878" i="4"/>
  <c r="AI877" i="4"/>
  <c r="W877" i="4"/>
  <c r="AI876" i="4"/>
  <c r="W876" i="4"/>
  <c r="AI875" i="4"/>
  <c r="W875" i="4"/>
  <c r="AI874" i="4"/>
  <c r="W874" i="4"/>
  <c r="AI873" i="4"/>
  <c r="W873" i="4"/>
  <c r="AI872" i="4"/>
  <c r="W872" i="4"/>
  <c r="AI871" i="4"/>
  <c r="W871" i="4"/>
  <c r="AI870" i="4"/>
  <c r="W870" i="4"/>
  <c r="AI869" i="4"/>
  <c r="W869" i="4"/>
  <c r="AI868" i="4"/>
  <c r="W868" i="4"/>
  <c r="AI867" i="4"/>
  <c r="W867" i="4"/>
  <c r="AI866" i="4"/>
  <c r="W866" i="4"/>
  <c r="AI865" i="4"/>
  <c r="W865" i="4"/>
  <c r="AI864" i="4"/>
  <c r="W864" i="4"/>
  <c r="AI863" i="4"/>
  <c r="W863" i="4"/>
  <c r="AI862" i="4"/>
  <c r="W862" i="4"/>
  <c r="AI861" i="4"/>
  <c r="W861" i="4"/>
  <c r="AI860" i="4"/>
  <c r="W860" i="4"/>
  <c r="AI859" i="4"/>
  <c r="W859" i="4"/>
  <c r="AI858" i="4"/>
  <c r="W858" i="4"/>
  <c r="AI857" i="4"/>
  <c r="W857" i="4"/>
  <c r="AI856" i="4"/>
  <c r="W856" i="4"/>
  <c r="AI855" i="4"/>
  <c r="W855" i="4"/>
  <c r="AI854" i="4"/>
  <c r="W854" i="4"/>
  <c r="AI853" i="4"/>
  <c r="W853" i="4"/>
  <c r="AI852" i="4"/>
  <c r="W852" i="4"/>
  <c r="AI851" i="4"/>
  <c r="W851" i="4"/>
  <c r="AI850" i="4"/>
  <c r="W850" i="4"/>
  <c r="AI849" i="4"/>
  <c r="W849" i="4"/>
  <c r="AI848" i="4"/>
  <c r="W848" i="4"/>
  <c r="AI847" i="4"/>
  <c r="W847" i="4"/>
  <c r="AI846" i="4"/>
  <c r="W846" i="4"/>
  <c r="AI845" i="4"/>
  <c r="W845" i="4"/>
  <c r="AI844" i="4"/>
  <c r="W844" i="4"/>
  <c r="AI843" i="4"/>
  <c r="W843" i="4"/>
  <c r="AI842" i="4"/>
  <c r="W842" i="4"/>
  <c r="AI841" i="4"/>
  <c r="W841" i="4"/>
  <c r="AI840" i="4"/>
  <c r="W840" i="4"/>
  <c r="AI839" i="4"/>
  <c r="W839" i="4"/>
  <c r="AI838" i="4"/>
  <c r="W838" i="4"/>
  <c r="AI837" i="4"/>
  <c r="W837" i="4"/>
  <c r="AI836" i="4"/>
  <c r="W836" i="4"/>
  <c r="AI835" i="4"/>
  <c r="W835" i="4"/>
  <c r="AI834" i="4"/>
  <c r="W834" i="4"/>
  <c r="AI833" i="4"/>
  <c r="W833" i="4"/>
  <c r="AI832" i="4"/>
  <c r="W832" i="4"/>
  <c r="AI831" i="4"/>
  <c r="W831" i="4"/>
  <c r="AI830" i="4"/>
  <c r="W830" i="4"/>
  <c r="AI829" i="4"/>
  <c r="W829" i="4"/>
  <c r="AI828" i="4"/>
  <c r="W828" i="4"/>
  <c r="AI827" i="4"/>
  <c r="W827" i="4"/>
  <c r="AI826" i="4"/>
  <c r="W826" i="4"/>
  <c r="AI825" i="4"/>
  <c r="W825" i="4"/>
  <c r="AI824" i="4"/>
  <c r="W824" i="4"/>
  <c r="AI823" i="4"/>
  <c r="W823" i="4"/>
  <c r="AI822" i="4"/>
  <c r="W822" i="4"/>
  <c r="AI821" i="4"/>
  <c r="W821" i="4"/>
  <c r="AI820" i="4"/>
  <c r="W820" i="4"/>
  <c r="AI819" i="4"/>
  <c r="W819" i="4"/>
  <c r="AI818" i="4"/>
  <c r="W818" i="4"/>
  <c r="AI817" i="4"/>
  <c r="W817" i="4"/>
  <c r="AI816" i="4"/>
  <c r="W816" i="4"/>
  <c r="AI815" i="4"/>
  <c r="W815" i="4"/>
  <c r="AI814" i="4"/>
  <c r="W814" i="4"/>
  <c r="AI813" i="4"/>
  <c r="W813" i="4"/>
  <c r="AI812" i="4"/>
  <c r="W812" i="4"/>
  <c r="AI811" i="4"/>
  <c r="W811" i="4"/>
  <c r="AI810" i="4"/>
  <c r="W810" i="4"/>
  <c r="AI809" i="4"/>
  <c r="W809" i="4"/>
  <c r="AI808" i="4"/>
  <c r="W808" i="4"/>
  <c r="AI807" i="4"/>
  <c r="W807" i="4"/>
  <c r="AI806" i="4"/>
  <c r="W806" i="4"/>
  <c r="AI805" i="4"/>
  <c r="W805" i="4"/>
  <c r="AI804" i="4"/>
  <c r="W804" i="4"/>
  <c r="AI803" i="4"/>
  <c r="W803" i="4"/>
  <c r="AI802" i="4"/>
  <c r="W802" i="4"/>
  <c r="AI801" i="4"/>
  <c r="W801" i="4"/>
  <c r="AI800" i="4"/>
  <c r="W800" i="4"/>
  <c r="AI799" i="4"/>
  <c r="W799" i="4"/>
  <c r="AI798" i="4"/>
  <c r="W798" i="4"/>
  <c r="AI797" i="4"/>
  <c r="W797" i="4"/>
  <c r="AI796" i="4"/>
  <c r="W796" i="4"/>
  <c r="AI795" i="4"/>
  <c r="W795" i="4"/>
  <c r="AI794" i="4"/>
  <c r="W794" i="4"/>
  <c r="AI793" i="4"/>
  <c r="W793" i="4"/>
  <c r="AI792" i="4"/>
  <c r="W792" i="4"/>
  <c r="AI791" i="4"/>
  <c r="W791" i="4"/>
  <c r="AI790" i="4"/>
  <c r="W790" i="4"/>
  <c r="AI789" i="4"/>
  <c r="W789" i="4"/>
  <c r="AI788" i="4"/>
  <c r="W788" i="4"/>
  <c r="AI787" i="4"/>
  <c r="W787" i="4"/>
  <c r="AI786" i="4"/>
  <c r="W786" i="4"/>
  <c r="AI785" i="4"/>
  <c r="W785" i="4"/>
  <c r="AI784" i="4"/>
  <c r="W784" i="4"/>
  <c r="AI783" i="4"/>
  <c r="W783" i="4"/>
  <c r="AI782" i="4"/>
  <c r="W782" i="4"/>
  <c r="AI781" i="4"/>
  <c r="W781" i="4"/>
  <c r="AI780" i="4"/>
  <c r="W780" i="4"/>
  <c r="AI779" i="4"/>
  <c r="W779" i="4"/>
  <c r="AI778" i="4"/>
  <c r="W778" i="4"/>
  <c r="AI777" i="4"/>
  <c r="W777" i="4"/>
  <c r="AI776" i="4"/>
  <c r="W776" i="4"/>
  <c r="AI775" i="4"/>
  <c r="W775" i="4"/>
  <c r="AI774" i="4"/>
  <c r="W774" i="4"/>
  <c r="AI773" i="4"/>
  <c r="W773" i="4"/>
  <c r="AI772" i="4"/>
  <c r="W772" i="4"/>
  <c r="AI771" i="4"/>
  <c r="W771" i="4"/>
  <c r="AI770" i="4"/>
  <c r="W770" i="4"/>
  <c r="AI769" i="4"/>
  <c r="W769" i="4"/>
  <c r="AI768" i="4"/>
  <c r="W768" i="4"/>
  <c r="AI767" i="4"/>
  <c r="W767" i="4"/>
  <c r="AI766" i="4"/>
  <c r="W766" i="4"/>
  <c r="AI765" i="4"/>
  <c r="W765" i="4"/>
  <c r="AI764" i="4"/>
  <c r="W764" i="4"/>
  <c r="AI763" i="4"/>
  <c r="W763" i="4"/>
  <c r="AI762" i="4"/>
  <c r="W762" i="4"/>
  <c r="AI761" i="4"/>
  <c r="W761" i="4"/>
  <c r="AI760" i="4"/>
  <c r="W760" i="4"/>
  <c r="AI759" i="4"/>
  <c r="W759" i="4"/>
  <c r="AI758" i="4"/>
  <c r="W758" i="4"/>
  <c r="AI757" i="4"/>
  <c r="W757" i="4"/>
  <c r="AI756" i="4"/>
  <c r="W756" i="4"/>
  <c r="AI755" i="4"/>
  <c r="W755" i="4"/>
  <c r="AI754" i="4"/>
  <c r="W754" i="4"/>
  <c r="AI753" i="4"/>
  <c r="W753" i="4"/>
  <c r="AI752" i="4"/>
  <c r="W752" i="4"/>
  <c r="AI751" i="4"/>
  <c r="W751" i="4"/>
  <c r="AI750" i="4"/>
  <c r="W750" i="4"/>
  <c r="AI749" i="4"/>
  <c r="W749" i="4"/>
  <c r="AI748" i="4"/>
  <c r="W748" i="4"/>
  <c r="AI747" i="4"/>
  <c r="W747" i="4"/>
  <c r="AI746" i="4"/>
  <c r="W746" i="4"/>
  <c r="AI745" i="4"/>
  <c r="W745" i="4"/>
  <c r="AI744" i="4"/>
  <c r="W744" i="4"/>
  <c r="AI743" i="4"/>
  <c r="W743" i="4"/>
  <c r="AI742" i="4"/>
  <c r="W742" i="4"/>
  <c r="AI741" i="4"/>
  <c r="W741" i="4"/>
  <c r="AI740" i="4"/>
  <c r="W740" i="4"/>
  <c r="AI739" i="4"/>
  <c r="W739" i="4"/>
  <c r="AI738" i="4"/>
  <c r="W738" i="4"/>
  <c r="AI737" i="4"/>
  <c r="W737" i="4"/>
  <c r="AI736" i="4"/>
  <c r="W736" i="4"/>
  <c r="AI735" i="4"/>
  <c r="W735" i="4"/>
  <c r="AI734" i="4"/>
  <c r="W734" i="4"/>
  <c r="AI733" i="4"/>
  <c r="W733" i="4"/>
  <c r="AI732" i="4"/>
  <c r="W732" i="4"/>
  <c r="AI731" i="4"/>
  <c r="W731" i="4"/>
  <c r="AI730" i="4"/>
  <c r="W730" i="4"/>
  <c r="AI729" i="4"/>
  <c r="W729" i="4"/>
  <c r="AI728" i="4"/>
  <c r="W728" i="4"/>
  <c r="AI727" i="4"/>
  <c r="W727" i="4"/>
  <c r="AI726" i="4"/>
  <c r="W726" i="4"/>
  <c r="AI725" i="4"/>
  <c r="W725" i="4"/>
  <c r="AI724" i="4"/>
  <c r="W724" i="4"/>
  <c r="AI723" i="4"/>
  <c r="W723" i="4"/>
  <c r="AI722" i="4"/>
  <c r="W722" i="4"/>
  <c r="AI721" i="4"/>
  <c r="W721" i="4"/>
  <c r="AI720" i="4"/>
  <c r="W720" i="4"/>
  <c r="AI719" i="4"/>
  <c r="W719" i="4"/>
  <c r="AI718" i="4"/>
  <c r="W718" i="4"/>
  <c r="AI717" i="4"/>
  <c r="W717" i="4"/>
  <c r="AI716" i="4"/>
  <c r="W716" i="4"/>
  <c r="AI715" i="4"/>
  <c r="W715" i="4"/>
  <c r="AI714" i="4"/>
  <c r="W714" i="4"/>
  <c r="AI713" i="4"/>
  <c r="W713" i="4"/>
  <c r="AI712" i="4"/>
  <c r="W712" i="4"/>
  <c r="AI711" i="4"/>
  <c r="W711" i="4"/>
  <c r="AI710" i="4"/>
  <c r="W710" i="4"/>
  <c r="AI709" i="4"/>
  <c r="W709" i="4"/>
  <c r="AI708" i="4"/>
  <c r="W708" i="4"/>
  <c r="AI707" i="4"/>
  <c r="W707" i="4"/>
  <c r="AI706" i="4"/>
  <c r="W706" i="4"/>
  <c r="AI705" i="4"/>
  <c r="W705" i="4"/>
  <c r="AI704" i="4"/>
  <c r="W704" i="4"/>
  <c r="AI703" i="4"/>
  <c r="W703" i="4"/>
  <c r="AI702" i="4"/>
  <c r="W702" i="4"/>
  <c r="AI701" i="4"/>
  <c r="W701" i="4"/>
  <c r="AI700" i="4"/>
  <c r="W700" i="4"/>
  <c r="AI699" i="4"/>
  <c r="W699" i="4"/>
  <c r="AI698" i="4"/>
  <c r="W698" i="4"/>
  <c r="AI697" i="4"/>
  <c r="W697" i="4"/>
  <c r="AI696" i="4"/>
  <c r="W696" i="4"/>
  <c r="AI695" i="4"/>
  <c r="W695" i="4"/>
  <c r="AI694" i="4"/>
  <c r="W694" i="4"/>
  <c r="AI693" i="4"/>
  <c r="W693" i="4"/>
  <c r="AI692" i="4"/>
  <c r="W692" i="4"/>
  <c r="AI691" i="4"/>
  <c r="W691" i="4"/>
  <c r="AI690" i="4"/>
  <c r="W690" i="4"/>
  <c r="AI689" i="4"/>
  <c r="W689" i="4"/>
  <c r="AI688" i="4"/>
  <c r="W688" i="4"/>
  <c r="AI687" i="4"/>
  <c r="W687" i="4"/>
  <c r="AI686" i="4"/>
  <c r="W686" i="4"/>
  <c r="AI685" i="4"/>
  <c r="W685" i="4"/>
  <c r="AI684" i="4"/>
  <c r="W684" i="4"/>
  <c r="AI683" i="4"/>
  <c r="W683" i="4"/>
  <c r="AI682" i="4"/>
  <c r="W682" i="4"/>
  <c r="AI681" i="4"/>
  <c r="W681" i="4"/>
  <c r="AI680" i="4"/>
  <c r="W680" i="4"/>
  <c r="AI679" i="4"/>
  <c r="W679" i="4"/>
  <c r="AI678" i="4"/>
  <c r="W678" i="4"/>
  <c r="AI677" i="4"/>
  <c r="W677" i="4"/>
  <c r="AI676" i="4"/>
  <c r="W676" i="4"/>
  <c r="AI675" i="4"/>
  <c r="W675" i="4"/>
  <c r="AI674" i="4"/>
  <c r="W674" i="4"/>
  <c r="AI673" i="4"/>
  <c r="W673" i="4"/>
  <c r="AI672" i="4"/>
  <c r="W672" i="4"/>
  <c r="AI671" i="4"/>
  <c r="W671" i="4"/>
  <c r="AI670" i="4"/>
  <c r="W670" i="4"/>
  <c r="AI669" i="4"/>
  <c r="W669" i="4"/>
  <c r="AI668" i="4"/>
  <c r="W668" i="4"/>
  <c r="AI667" i="4"/>
  <c r="W667" i="4"/>
  <c r="AI666" i="4"/>
  <c r="W666" i="4"/>
  <c r="AI665" i="4"/>
  <c r="W665" i="4"/>
  <c r="AI664" i="4"/>
  <c r="W664" i="4"/>
  <c r="AI663" i="4"/>
  <c r="W663" i="4"/>
  <c r="AI662" i="4"/>
  <c r="W662" i="4"/>
  <c r="AI661" i="4"/>
  <c r="W661" i="4"/>
  <c r="AI660" i="4"/>
  <c r="W660" i="4"/>
  <c r="AI659" i="4"/>
  <c r="W659" i="4"/>
  <c r="AI658" i="4"/>
  <c r="W658" i="4"/>
  <c r="AI657" i="4"/>
  <c r="W657" i="4"/>
  <c r="AI656" i="4"/>
  <c r="W656" i="4"/>
  <c r="AI655" i="4"/>
  <c r="W655" i="4"/>
  <c r="AI654" i="4"/>
  <c r="W654" i="4"/>
  <c r="AI653" i="4"/>
  <c r="W653" i="4"/>
  <c r="AI652" i="4"/>
  <c r="W652" i="4"/>
  <c r="AI651" i="4"/>
  <c r="W651" i="4"/>
  <c r="AI650" i="4"/>
  <c r="W650" i="4"/>
  <c r="AI649" i="4"/>
  <c r="W649" i="4"/>
  <c r="AI648" i="4"/>
  <c r="W648" i="4"/>
  <c r="AI647" i="4"/>
  <c r="W647" i="4"/>
  <c r="AI646" i="4"/>
  <c r="W646" i="4"/>
  <c r="AI645" i="4"/>
  <c r="W645" i="4"/>
  <c r="AI644" i="4"/>
  <c r="W644" i="4"/>
  <c r="AI643" i="4"/>
  <c r="W643" i="4"/>
  <c r="AI642" i="4"/>
  <c r="W642" i="4"/>
  <c r="AI641" i="4"/>
  <c r="W641" i="4"/>
  <c r="AI640" i="4"/>
  <c r="W640" i="4"/>
  <c r="AI639" i="4"/>
  <c r="W639" i="4"/>
  <c r="AI638" i="4"/>
  <c r="W638" i="4"/>
  <c r="AI637" i="4"/>
  <c r="W637" i="4"/>
  <c r="AI636" i="4"/>
  <c r="W636" i="4"/>
  <c r="AI635" i="4"/>
  <c r="W635" i="4"/>
  <c r="AI634" i="4"/>
  <c r="W634" i="4"/>
  <c r="AI633" i="4"/>
  <c r="W633" i="4"/>
  <c r="AI632" i="4"/>
  <c r="W632" i="4"/>
  <c r="AI631" i="4"/>
  <c r="W631" i="4"/>
  <c r="AI630" i="4"/>
  <c r="W630" i="4"/>
  <c r="AI629" i="4"/>
  <c r="W629" i="4"/>
  <c r="AI628" i="4"/>
  <c r="W628" i="4"/>
  <c r="AI627" i="4"/>
  <c r="W627" i="4"/>
  <c r="AI626" i="4"/>
  <c r="W626" i="4"/>
  <c r="AI625" i="4"/>
  <c r="W625" i="4"/>
  <c r="AI624" i="4"/>
  <c r="W624" i="4"/>
  <c r="AI623" i="4"/>
  <c r="W623" i="4"/>
  <c r="AI622" i="4"/>
  <c r="W622" i="4"/>
  <c r="AI621" i="4"/>
  <c r="W621" i="4"/>
  <c r="AI620" i="4"/>
  <c r="W620" i="4"/>
  <c r="AI619" i="4"/>
  <c r="W619" i="4"/>
  <c r="AI618" i="4"/>
  <c r="W618" i="4"/>
  <c r="AI617" i="4"/>
  <c r="W617" i="4"/>
  <c r="AI616" i="4"/>
  <c r="W616" i="4"/>
  <c r="AI615" i="4"/>
  <c r="W615" i="4"/>
  <c r="AI614" i="4"/>
  <c r="W614" i="4"/>
  <c r="AI613" i="4"/>
  <c r="W613" i="4"/>
  <c r="AI612" i="4"/>
  <c r="W612" i="4"/>
  <c r="AI611" i="4"/>
  <c r="W611" i="4"/>
  <c r="AI610" i="4"/>
  <c r="W610" i="4"/>
  <c r="AI609" i="4"/>
  <c r="W609" i="4"/>
  <c r="AI608" i="4"/>
  <c r="W608" i="4"/>
  <c r="AI607" i="4"/>
  <c r="W607" i="4"/>
  <c r="AI606" i="4"/>
  <c r="W606" i="4"/>
  <c r="AI605" i="4"/>
  <c r="W605" i="4"/>
  <c r="AI604" i="4"/>
  <c r="W604" i="4"/>
  <c r="AI603" i="4"/>
  <c r="W603" i="4"/>
  <c r="AI602" i="4"/>
  <c r="W602" i="4"/>
  <c r="AI601" i="4"/>
  <c r="W601" i="4"/>
  <c r="AI600" i="4"/>
  <c r="W600" i="4"/>
  <c r="AI599" i="4"/>
  <c r="W599" i="4"/>
  <c r="AI598" i="4"/>
  <c r="W598" i="4"/>
  <c r="AI597" i="4"/>
  <c r="W597" i="4"/>
  <c r="AI596" i="4"/>
  <c r="W596" i="4"/>
  <c r="AI595" i="4"/>
  <c r="W595" i="4"/>
  <c r="AI594" i="4"/>
  <c r="W594" i="4"/>
  <c r="AI593" i="4"/>
  <c r="W593" i="4"/>
  <c r="AI592" i="4"/>
  <c r="W592" i="4"/>
  <c r="AI591" i="4"/>
  <c r="W591" i="4"/>
  <c r="AI590" i="4"/>
  <c r="W590" i="4"/>
  <c r="AI589" i="4"/>
  <c r="W589" i="4"/>
  <c r="AI588" i="4"/>
  <c r="W588" i="4"/>
  <c r="AI587" i="4"/>
  <c r="W587" i="4"/>
  <c r="AI586" i="4"/>
  <c r="W586" i="4"/>
  <c r="AI585" i="4"/>
  <c r="W585" i="4"/>
  <c r="AI584" i="4"/>
  <c r="W584" i="4"/>
  <c r="AI583" i="4"/>
  <c r="W583" i="4"/>
  <c r="AI582" i="4"/>
  <c r="W582" i="4"/>
  <c r="AI581" i="4"/>
  <c r="W581" i="4"/>
  <c r="AI580" i="4"/>
  <c r="W580" i="4"/>
  <c r="AI579" i="4"/>
  <c r="W579" i="4"/>
  <c r="AI578" i="4"/>
  <c r="W578" i="4"/>
  <c r="AI577" i="4"/>
  <c r="W577" i="4"/>
  <c r="AI576" i="4"/>
  <c r="W576" i="4"/>
  <c r="AI575" i="4"/>
  <c r="W575" i="4"/>
  <c r="AI574" i="4"/>
  <c r="W574" i="4"/>
  <c r="AI573" i="4"/>
  <c r="W573" i="4"/>
  <c r="AI572" i="4"/>
  <c r="W572" i="4"/>
  <c r="AI571" i="4"/>
  <c r="W571" i="4"/>
  <c r="AI570" i="4"/>
  <c r="W570" i="4"/>
  <c r="AI569" i="4"/>
  <c r="W569" i="4"/>
  <c r="AI568" i="4"/>
  <c r="W568" i="4"/>
  <c r="AI567" i="4"/>
  <c r="W567" i="4"/>
  <c r="AI566" i="4"/>
  <c r="W566" i="4"/>
  <c r="AI565" i="4"/>
  <c r="W565" i="4"/>
  <c r="AI564" i="4"/>
  <c r="W564" i="4"/>
  <c r="AI563" i="4"/>
  <c r="W563" i="4"/>
  <c r="AI562" i="4"/>
  <c r="W562" i="4"/>
  <c r="AI561" i="4"/>
  <c r="W561" i="4"/>
  <c r="AI560" i="4"/>
  <c r="W560" i="4"/>
  <c r="AI559" i="4"/>
  <c r="W559" i="4"/>
  <c r="AI558" i="4"/>
  <c r="W558" i="4"/>
  <c r="AI557" i="4"/>
  <c r="W557" i="4"/>
  <c r="AI556" i="4"/>
  <c r="W556" i="4"/>
  <c r="AI555" i="4"/>
  <c r="W555" i="4"/>
  <c r="AI554" i="4"/>
  <c r="W554" i="4"/>
  <c r="AI553" i="4"/>
  <c r="W553" i="4"/>
  <c r="AI552" i="4"/>
  <c r="W552" i="4"/>
  <c r="AI551" i="4"/>
  <c r="W551" i="4"/>
  <c r="AI550" i="4"/>
  <c r="W550" i="4"/>
  <c r="AI549" i="4"/>
  <c r="W549" i="4"/>
  <c r="AI548" i="4"/>
  <c r="W548" i="4"/>
  <c r="AI547" i="4"/>
  <c r="W547" i="4"/>
  <c r="AI546" i="4"/>
  <c r="W546" i="4"/>
  <c r="AI545" i="4"/>
  <c r="W545" i="4"/>
  <c r="AI544" i="4"/>
  <c r="W544" i="4"/>
  <c r="AI543" i="4"/>
  <c r="W543" i="4"/>
  <c r="AI542" i="4"/>
  <c r="W542" i="4"/>
  <c r="AI541" i="4"/>
  <c r="W541" i="4"/>
  <c r="AI540" i="4"/>
  <c r="W540" i="4"/>
  <c r="AI539" i="4"/>
  <c r="W539" i="4"/>
  <c r="AI538" i="4"/>
  <c r="W538" i="4"/>
  <c r="AI537" i="4"/>
  <c r="W537" i="4"/>
  <c r="AI536" i="4"/>
  <c r="W536" i="4"/>
  <c r="AI535" i="4"/>
  <c r="W535" i="4"/>
  <c r="AI534" i="4"/>
  <c r="W534" i="4"/>
  <c r="AI533" i="4"/>
  <c r="W533" i="4"/>
  <c r="AI532" i="4"/>
  <c r="W532" i="4"/>
  <c r="AI531" i="4"/>
  <c r="W531" i="4"/>
  <c r="AI530" i="4"/>
  <c r="W530" i="4"/>
  <c r="AI529" i="4"/>
  <c r="W529" i="4"/>
  <c r="AI528" i="4"/>
  <c r="W528" i="4"/>
  <c r="AI527" i="4"/>
  <c r="W527" i="4"/>
  <c r="AI526" i="4"/>
  <c r="W526" i="4"/>
  <c r="AI525" i="4"/>
  <c r="W525" i="4"/>
  <c r="AI524" i="4"/>
  <c r="W524" i="4"/>
  <c r="AI523" i="4"/>
  <c r="W523" i="4"/>
  <c r="AI522" i="4"/>
  <c r="W522" i="4"/>
  <c r="AI521" i="4"/>
  <c r="W521" i="4"/>
  <c r="AI520" i="4"/>
  <c r="W520" i="4"/>
  <c r="AI519" i="4"/>
  <c r="W519" i="4"/>
  <c r="AI518" i="4"/>
  <c r="W518" i="4"/>
  <c r="AI517" i="4"/>
  <c r="W517" i="4"/>
  <c r="AI516" i="4"/>
  <c r="W516" i="4"/>
  <c r="AI515" i="4"/>
  <c r="W515" i="4"/>
  <c r="AI514" i="4"/>
  <c r="W514" i="4"/>
  <c r="AI513" i="4"/>
  <c r="W513" i="4"/>
  <c r="AI512" i="4"/>
  <c r="W512" i="4"/>
  <c r="AI511" i="4"/>
  <c r="W511" i="4"/>
  <c r="AI510" i="4"/>
  <c r="W510" i="4"/>
  <c r="AI509" i="4"/>
  <c r="W509" i="4"/>
  <c r="AI508" i="4"/>
  <c r="W508" i="4"/>
  <c r="AI507" i="4"/>
  <c r="W507" i="4"/>
  <c r="AI506" i="4"/>
  <c r="W506" i="4"/>
  <c r="AI505" i="4"/>
  <c r="W505" i="4"/>
  <c r="AI504" i="4"/>
  <c r="W504" i="4"/>
  <c r="AI503" i="4"/>
  <c r="W503" i="4"/>
  <c r="AI502" i="4"/>
  <c r="W502" i="4"/>
  <c r="AI501" i="4"/>
  <c r="W501" i="4"/>
  <c r="AI500" i="4"/>
  <c r="W500" i="4"/>
  <c r="AI499" i="4"/>
  <c r="W499" i="4"/>
  <c r="AI498" i="4"/>
  <c r="W498" i="4"/>
  <c r="AI497" i="4"/>
  <c r="W497" i="4"/>
  <c r="AI496" i="4"/>
  <c r="W496" i="4"/>
  <c r="AI495" i="4"/>
  <c r="W495" i="4"/>
  <c r="AI494" i="4"/>
  <c r="W494" i="4"/>
  <c r="AI493" i="4"/>
  <c r="W493" i="4"/>
  <c r="AI492" i="4"/>
  <c r="W492" i="4"/>
  <c r="AI491" i="4"/>
  <c r="W491" i="4"/>
  <c r="AI490" i="4"/>
  <c r="W490" i="4"/>
  <c r="AI489" i="4"/>
  <c r="W489" i="4"/>
  <c r="AI488" i="4"/>
  <c r="W488" i="4"/>
  <c r="AI487" i="4"/>
  <c r="W487" i="4"/>
  <c r="AI486" i="4"/>
  <c r="W486" i="4"/>
  <c r="AI485" i="4"/>
  <c r="W485" i="4"/>
  <c r="AI484" i="4"/>
  <c r="W484" i="4"/>
  <c r="AI483" i="4"/>
  <c r="W483" i="4"/>
  <c r="AI482" i="4"/>
  <c r="W482" i="4"/>
  <c r="AI481" i="4"/>
  <c r="W481" i="4"/>
  <c r="AI480" i="4"/>
  <c r="W480" i="4"/>
  <c r="AI479" i="4"/>
  <c r="W479" i="4"/>
  <c r="AI478" i="4"/>
  <c r="W478" i="4"/>
  <c r="AI477" i="4"/>
  <c r="W477" i="4"/>
  <c r="AI476" i="4"/>
  <c r="W476" i="4"/>
  <c r="AI475" i="4"/>
  <c r="W475" i="4"/>
  <c r="AI474" i="4"/>
  <c r="W474" i="4"/>
  <c r="AI473" i="4"/>
  <c r="W473" i="4"/>
  <c r="AI472" i="4"/>
  <c r="W472" i="4"/>
  <c r="AI471" i="4"/>
  <c r="W471" i="4"/>
  <c r="AI470" i="4"/>
  <c r="W470" i="4"/>
  <c r="AI469" i="4"/>
  <c r="W469" i="4"/>
  <c r="AI468" i="4"/>
  <c r="W468" i="4"/>
  <c r="AI467" i="4"/>
  <c r="W467" i="4"/>
  <c r="AI466" i="4"/>
  <c r="W466" i="4"/>
  <c r="AI465" i="4"/>
  <c r="W465" i="4"/>
  <c r="AI464" i="4"/>
  <c r="W464" i="4"/>
  <c r="AI463" i="4"/>
  <c r="W463" i="4"/>
  <c r="AI462" i="4"/>
  <c r="W462" i="4"/>
  <c r="AI461" i="4"/>
  <c r="W461" i="4"/>
  <c r="AI460" i="4"/>
  <c r="W460" i="4"/>
  <c r="AI459" i="4"/>
  <c r="W459" i="4"/>
  <c r="AI458" i="4"/>
  <c r="W458" i="4"/>
  <c r="AI457" i="4"/>
  <c r="W457" i="4"/>
  <c r="AI456" i="4"/>
  <c r="W456" i="4"/>
  <c r="AI455" i="4"/>
  <c r="W455" i="4"/>
  <c r="AI454" i="4"/>
  <c r="W454" i="4"/>
  <c r="AI453" i="4"/>
  <c r="W453" i="4"/>
  <c r="AI452" i="4"/>
  <c r="W452" i="4"/>
  <c r="AI451" i="4"/>
  <c r="W451" i="4"/>
  <c r="AI450" i="4"/>
  <c r="W450" i="4"/>
  <c r="AI449" i="4"/>
  <c r="W449" i="4"/>
  <c r="AI448" i="4"/>
  <c r="W448" i="4"/>
  <c r="AI447" i="4"/>
  <c r="W447" i="4"/>
  <c r="AI446" i="4"/>
  <c r="W446" i="4"/>
  <c r="AI442" i="4"/>
  <c r="W442" i="4"/>
  <c r="AI441" i="4"/>
  <c r="W441" i="4"/>
  <c r="AI440" i="4"/>
  <c r="W440" i="4"/>
  <c r="AI439" i="4"/>
  <c r="W439" i="4"/>
  <c r="AI438" i="4"/>
  <c r="W438" i="4"/>
  <c r="AI437" i="4"/>
  <c r="W437" i="4"/>
  <c r="AI436" i="4"/>
  <c r="W436" i="4"/>
  <c r="AI435" i="4"/>
  <c r="W435" i="4"/>
  <c r="AI434" i="4"/>
  <c r="W434" i="4"/>
  <c r="AI433" i="4"/>
  <c r="W433" i="4"/>
  <c r="AI432" i="4"/>
  <c r="W432" i="4"/>
  <c r="AI431" i="4"/>
  <c r="W431" i="4"/>
  <c r="AI430" i="4"/>
  <c r="W430" i="4"/>
  <c r="AI429" i="4"/>
  <c r="W429" i="4"/>
  <c r="AI428" i="4"/>
  <c r="W428" i="4"/>
  <c r="AI427" i="4"/>
  <c r="W427" i="4"/>
  <c r="AI426" i="4"/>
  <c r="W426" i="4"/>
  <c r="AI425" i="4"/>
  <c r="W425" i="4"/>
  <c r="AI424" i="4"/>
  <c r="W424" i="4"/>
  <c r="AI423" i="4"/>
  <c r="W423" i="4"/>
  <c r="AI422" i="4"/>
  <c r="W422" i="4"/>
  <c r="AI421" i="4"/>
  <c r="W421" i="4"/>
  <c r="AI420" i="4"/>
  <c r="W420" i="4"/>
  <c r="AI419" i="4"/>
  <c r="W419" i="4"/>
  <c r="AI418" i="4"/>
  <c r="W418" i="4"/>
  <c r="AI417" i="4"/>
  <c r="W417" i="4"/>
  <c r="AI416" i="4"/>
  <c r="W416" i="4"/>
  <c r="AI415" i="4"/>
  <c r="W415" i="4"/>
  <c r="AI414" i="4"/>
  <c r="W414" i="4"/>
  <c r="AI413" i="4"/>
  <c r="W413" i="4"/>
  <c r="AI412" i="4"/>
  <c r="W412" i="4"/>
  <c r="AI411" i="4"/>
  <c r="W411" i="4"/>
  <c r="AI410" i="4"/>
  <c r="W410" i="4"/>
  <c r="AI409" i="4"/>
  <c r="W409" i="4"/>
  <c r="AI408" i="4"/>
  <c r="W408" i="4"/>
  <c r="AI407" i="4"/>
  <c r="W407" i="4"/>
  <c r="AI406" i="4"/>
  <c r="W406" i="4"/>
  <c r="AI405" i="4"/>
  <c r="W405" i="4"/>
  <c r="AI404" i="4"/>
  <c r="W404" i="4"/>
  <c r="AI403" i="4"/>
  <c r="W403" i="4"/>
  <c r="AI402" i="4"/>
  <c r="W402" i="4"/>
  <c r="AI401" i="4"/>
  <c r="W401" i="4"/>
  <c r="AI400" i="4"/>
  <c r="W400" i="4"/>
  <c r="AI399" i="4"/>
  <c r="W399" i="4"/>
  <c r="AI398" i="4"/>
  <c r="W398" i="4"/>
  <c r="AI397" i="4"/>
  <c r="W397" i="4"/>
  <c r="AI396" i="4"/>
  <c r="W396" i="4"/>
  <c r="AI395" i="4"/>
  <c r="W395" i="4"/>
  <c r="AI394" i="4"/>
  <c r="W394" i="4"/>
  <c r="AI393" i="4"/>
  <c r="W393" i="4"/>
  <c r="AI392" i="4"/>
  <c r="W392" i="4"/>
  <c r="AI391" i="4"/>
  <c r="W391" i="4"/>
  <c r="AI390" i="4"/>
  <c r="W390" i="4"/>
  <c r="AI389" i="4"/>
  <c r="W389" i="4"/>
  <c r="AI388" i="4"/>
  <c r="W388" i="4"/>
  <c r="AI387" i="4"/>
  <c r="W387" i="4"/>
  <c r="AI386" i="4"/>
  <c r="W386" i="4"/>
  <c r="AI385" i="4"/>
  <c r="W385" i="4"/>
  <c r="AI384" i="4"/>
  <c r="W384" i="4"/>
  <c r="AI383" i="4"/>
  <c r="W383" i="4"/>
  <c r="AI382" i="4"/>
  <c r="W382" i="4"/>
  <c r="AI381" i="4"/>
  <c r="W381" i="4"/>
  <c r="AI380" i="4"/>
  <c r="W380" i="4"/>
  <c r="AI379" i="4"/>
  <c r="W379" i="4"/>
  <c r="AI378" i="4"/>
  <c r="W378" i="4"/>
  <c r="AI377" i="4"/>
  <c r="W377" i="4"/>
  <c r="AI376" i="4"/>
  <c r="W376" i="4"/>
  <c r="AI375" i="4"/>
  <c r="W375" i="4"/>
  <c r="AI374" i="4"/>
  <c r="W374" i="4"/>
  <c r="AI373" i="4"/>
  <c r="W373" i="4"/>
  <c r="AI372" i="4"/>
  <c r="W372" i="4"/>
  <c r="AI371" i="4"/>
  <c r="W371" i="4"/>
  <c r="AI370" i="4"/>
  <c r="W370" i="4"/>
  <c r="AI369" i="4"/>
  <c r="W369" i="4"/>
  <c r="AI368" i="4"/>
  <c r="W368" i="4"/>
  <c r="AI367" i="4"/>
  <c r="W367" i="4"/>
  <c r="AI366" i="4"/>
  <c r="W366" i="4"/>
  <c r="AI365" i="4"/>
  <c r="W365" i="4"/>
  <c r="AI364" i="4"/>
  <c r="W364" i="4"/>
  <c r="AI363" i="4"/>
  <c r="W363" i="4"/>
  <c r="AI362" i="4"/>
  <c r="W362" i="4"/>
  <c r="AI361" i="4"/>
  <c r="W361" i="4"/>
  <c r="AI360" i="4"/>
  <c r="W360" i="4"/>
  <c r="AI359" i="4"/>
  <c r="W359" i="4"/>
  <c r="AI358" i="4"/>
  <c r="W358" i="4"/>
  <c r="AI357" i="4"/>
  <c r="W357" i="4"/>
  <c r="AI356" i="4"/>
  <c r="W356" i="4"/>
  <c r="AI355" i="4"/>
  <c r="W355" i="4"/>
  <c r="AI354" i="4"/>
  <c r="W354" i="4"/>
  <c r="AI353" i="4"/>
  <c r="W353" i="4"/>
  <c r="AI352" i="4"/>
  <c r="W352" i="4"/>
  <c r="AI351" i="4"/>
  <c r="W351" i="4"/>
  <c r="AI350" i="4"/>
  <c r="W350" i="4"/>
  <c r="AI349" i="4"/>
  <c r="W349" i="4"/>
  <c r="AI348" i="4"/>
  <c r="W348" i="4"/>
  <c r="AI347" i="4"/>
  <c r="W347" i="4"/>
  <c r="AI346" i="4"/>
  <c r="W346" i="4"/>
  <c r="AI345" i="4"/>
  <c r="W345" i="4"/>
  <c r="AI344" i="4"/>
  <c r="W344" i="4"/>
  <c r="AI343" i="4"/>
  <c r="W343" i="4"/>
  <c r="AI342" i="4"/>
  <c r="W342" i="4"/>
  <c r="AI341" i="4"/>
  <c r="W341" i="4"/>
  <c r="AI340" i="4"/>
  <c r="W340" i="4"/>
  <c r="AI339" i="4"/>
  <c r="W339" i="4"/>
  <c r="AI338" i="4"/>
  <c r="W338" i="4"/>
  <c r="AI337" i="4"/>
  <c r="W337" i="4"/>
  <c r="AI336" i="4"/>
  <c r="W336" i="4"/>
  <c r="AI335" i="4"/>
  <c r="W335" i="4"/>
  <c r="AI334" i="4"/>
  <c r="W334" i="4"/>
  <c r="AI333" i="4"/>
  <c r="W333" i="4"/>
  <c r="AI332" i="4"/>
  <c r="W332" i="4"/>
  <c r="AI331" i="4"/>
  <c r="W331" i="4"/>
  <c r="AI330" i="4"/>
  <c r="W330" i="4"/>
  <c r="AI329" i="4"/>
  <c r="W329" i="4"/>
  <c r="AI328" i="4"/>
  <c r="W328" i="4"/>
  <c r="AI327" i="4"/>
  <c r="W327" i="4"/>
  <c r="AI326" i="4"/>
  <c r="W326" i="4"/>
  <c r="AI325" i="4"/>
  <c r="W325" i="4"/>
  <c r="AI324" i="4"/>
  <c r="W324" i="4"/>
  <c r="AI323" i="4"/>
  <c r="W323" i="4"/>
  <c r="AI322" i="4"/>
  <c r="W322" i="4"/>
  <c r="AI321" i="4"/>
  <c r="W321" i="4"/>
  <c r="AI320" i="4"/>
  <c r="W320" i="4"/>
  <c r="AI319" i="4"/>
  <c r="W319" i="4"/>
  <c r="AI318" i="4"/>
  <c r="W318" i="4"/>
  <c r="AI317" i="4"/>
  <c r="W317" i="4"/>
  <c r="AI316" i="4"/>
  <c r="W316" i="4"/>
  <c r="AI315" i="4"/>
  <c r="W315" i="4"/>
  <c r="AI314" i="4"/>
  <c r="W314" i="4"/>
  <c r="AI313" i="4"/>
  <c r="W313" i="4"/>
  <c r="AI312" i="4"/>
  <c r="W312" i="4"/>
  <c r="AI311" i="4"/>
  <c r="W311" i="4"/>
  <c r="AI310" i="4"/>
  <c r="W310" i="4"/>
  <c r="AI309" i="4"/>
  <c r="W309" i="4"/>
  <c r="AI308" i="4"/>
  <c r="W308" i="4"/>
  <c r="AI307" i="4"/>
  <c r="W307" i="4"/>
  <c r="AI306" i="4"/>
  <c r="W306" i="4"/>
  <c r="AI305" i="4"/>
  <c r="W305" i="4"/>
  <c r="AI304" i="4"/>
  <c r="W304" i="4"/>
  <c r="AI303" i="4"/>
  <c r="W303" i="4"/>
  <c r="AI302" i="4"/>
  <c r="W302" i="4"/>
  <c r="AI301" i="4"/>
  <c r="W301" i="4"/>
  <c r="AI300" i="4"/>
  <c r="W300" i="4"/>
  <c r="AI299" i="4"/>
  <c r="W299" i="4"/>
  <c r="AI298" i="4"/>
  <c r="W298" i="4"/>
  <c r="AI297" i="4"/>
  <c r="W297" i="4"/>
  <c r="AI296" i="4"/>
  <c r="W296" i="4"/>
  <c r="AI295" i="4"/>
  <c r="W295" i="4"/>
  <c r="AI294" i="4"/>
  <c r="W294" i="4"/>
  <c r="AI293" i="4"/>
  <c r="W293" i="4"/>
  <c r="AI292" i="4"/>
  <c r="W292" i="4"/>
  <c r="AI291" i="4"/>
  <c r="W291" i="4"/>
  <c r="AI290" i="4"/>
  <c r="W290" i="4"/>
  <c r="AI289" i="4"/>
  <c r="W289" i="4"/>
  <c r="AI288" i="4"/>
  <c r="W288" i="4"/>
  <c r="AI287" i="4"/>
  <c r="W287" i="4"/>
  <c r="AI286" i="4"/>
  <c r="W286" i="4"/>
  <c r="AI285" i="4"/>
  <c r="W285" i="4"/>
  <c r="AI284" i="4"/>
  <c r="W284" i="4"/>
  <c r="AI283" i="4"/>
  <c r="W283" i="4"/>
  <c r="AI282" i="4"/>
  <c r="W282" i="4"/>
  <c r="AI281" i="4"/>
  <c r="W281" i="4"/>
  <c r="AI280" i="4"/>
  <c r="W280" i="4"/>
  <c r="AI279" i="4"/>
  <c r="W279" i="4"/>
  <c r="AI278" i="4"/>
  <c r="W278" i="4"/>
  <c r="AI277" i="4"/>
  <c r="W277" i="4"/>
  <c r="AI276" i="4"/>
  <c r="W276" i="4"/>
  <c r="AI275" i="4"/>
  <c r="W275" i="4"/>
  <c r="AI274" i="4"/>
  <c r="W274" i="4"/>
  <c r="AI273" i="4"/>
  <c r="W273" i="4"/>
  <c r="AI272" i="4"/>
  <c r="W272" i="4"/>
  <c r="AI271" i="4"/>
  <c r="W271" i="4"/>
  <c r="AI270" i="4"/>
  <c r="W270" i="4"/>
  <c r="AI269" i="4"/>
  <c r="W269" i="4"/>
  <c r="AI268" i="4"/>
  <c r="W268" i="4"/>
  <c r="AI267" i="4"/>
  <c r="W267" i="4"/>
  <c r="AI266" i="4"/>
  <c r="W266" i="4"/>
  <c r="AI265" i="4"/>
  <c r="W265" i="4"/>
  <c r="AI264" i="4"/>
  <c r="W264" i="4"/>
  <c r="AI263" i="4"/>
  <c r="W263" i="4"/>
  <c r="AI262" i="4"/>
  <c r="W262" i="4"/>
  <c r="AI261" i="4"/>
  <c r="W261" i="4"/>
  <c r="AI260" i="4"/>
  <c r="W260" i="4"/>
  <c r="AI259" i="4"/>
  <c r="W259" i="4"/>
  <c r="AI258" i="4"/>
  <c r="W258" i="4"/>
  <c r="AI257" i="4"/>
  <c r="W257" i="4"/>
  <c r="AI256" i="4"/>
  <c r="W256" i="4"/>
  <c r="AI255" i="4"/>
  <c r="W255" i="4"/>
  <c r="AI254" i="4"/>
  <c r="W254" i="4"/>
  <c r="AI253" i="4"/>
  <c r="W253" i="4"/>
  <c r="AI252" i="4"/>
  <c r="W252" i="4"/>
  <c r="AI251" i="4"/>
  <c r="W251" i="4"/>
  <c r="AI250" i="4"/>
  <c r="W250" i="4"/>
  <c r="AI249" i="4"/>
  <c r="W249" i="4"/>
  <c r="AI248" i="4"/>
  <c r="W248" i="4"/>
  <c r="AI247" i="4"/>
  <c r="W247" i="4"/>
  <c r="AI246" i="4"/>
  <c r="W246" i="4"/>
  <c r="AI245" i="4"/>
  <c r="W245" i="4"/>
  <c r="AI244" i="4"/>
  <c r="W244" i="4"/>
  <c r="AI243" i="4"/>
  <c r="W243" i="4"/>
  <c r="AI242" i="4"/>
  <c r="W242" i="4"/>
  <c r="AI241" i="4"/>
  <c r="W241" i="4"/>
  <c r="AI240" i="4"/>
  <c r="W240" i="4"/>
  <c r="AI239" i="4"/>
  <c r="W239" i="4"/>
  <c r="AI238" i="4"/>
  <c r="W238" i="4"/>
  <c r="AI237" i="4"/>
  <c r="W237" i="4"/>
  <c r="AI236" i="4"/>
  <c r="W236" i="4"/>
  <c r="AI235" i="4"/>
  <c r="W235" i="4"/>
  <c r="AI234" i="4"/>
  <c r="W234" i="4"/>
  <c r="AI233" i="4"/>
  <c r="W233" i="4"/>
  <c r="AI232" i="4"/>
  <c r="W232" i="4"/>
  <c r="AI231" i="4"/>
  <c r="W231" i="4"/>
  <c r="AI230" i="4"/>
  <c r="W230" i="4"/>
  <c r="AI229" i="4"/>
  <c r="W229" i="4"/>
  <c r="AI228" i="4"/>
  <c r="W228" i="4"/>
  <c r="AI227" i="4"/>
  <c r="W227" i="4"/>
  <c r="AI226" i="4"/>
  <c r="W226" i="4"/>
  <c r="AI225" i="4"/>
  <c r="W225" i="4"/>
  <c r="AI224" i="4"/>
  <c r="W224" i="4"/>
  <c r="AI223" i="4"/>
  <c r="W223" i="4"/>
  <c r="AI222" i="4"/>
  <c r="W222" i="4"/>
  <c r="AI221" i="4"/>
  <c r="W221" i="4"/>
  <c r="AI220" i="4"/>
  <c r="W220" i="4"/>
  <c r="AI219" i="4"/>
  <c r="W219" i="4"/>
  <c r="AI218" i="4"/>
  <c r="W218" i="4"/>
  <c r="AI217" i="4"/>
  <c r="W217" i="4"/>
  <c r="AI216" i="4"/>
  <c r="W216" i="4"/>
  <c r="AI215" i="4"/>
  <c r="W215" i="4"/>
  <c r="AI214" i="4"/>
  <c r="W214" i="4"/>
  <c r="AI213" i="4"/>
  <c r="W213" i="4"/>
  <c r="AI212" i="4"/>
  <c r="W212" i="4"/>
  <c r="AI211" i="4"/>
  <c r="W211" i="4"/>
  <c r="AI210" i="4"/>
  <c r="W210" i="4"/>
  <c r="AI209" i="4"/>
  <c r="W209" i="4"/>
  <c r="AI208" i="4"/>
  <c r="W208" i="4"/>
  <c r="AI207" i="4"/>
  <c r="W207" i="4"/>
  <c r="AI206" i="4"/>
  <c r="W206" i="4"/>
  <c r="AI205" i="4"/>
  <c r="W205" i="4"/>
  <c r="AI204" i="4"/>
  <c r="W204" i="4"/>
  <c r="AI203" i="4"/>
  <c r="W203" i="4"/>
  <c r="AI202" i="4"/>
  <c r="W202" i="4"/>
  <c r="AI201" i="4"/>
  <c r="W201" i="4"/>
  <c r="AI200" i="4"/>
  <c r="W200" i="4"/>
  <c r="AI199" i="4"/>
  <c r="W199" i="4"/>
  <c r="AI198" i="4"/>
  <c r="W198" i="4"/>
  <c r="AI197" i="4"/>
  <c r="W197" i="4"/>
  <c r="AI196" i="4"/>
  <c r="W196" i="4"/>
  <c r="AI195" i="4"/>
  <c r="W195" i="4"/>
  <c r="AI194" i="4"/>
  <c r="W194" i="4"/>
  <c r="AI193" i="4"/>
  <c r="W193" i="4"/>
  <c r="AI192" i="4"/>
  <c r="W192" i="4"/>
  <c r="AI191" i="4"/>
  <c r="W191" i="4"/>
  <c r="AI190" i="4"/>
  <c r="W190" i="4"/>
  <c r="AI189" i="4"/>
  <c r="W189" i="4"/>
  <c r="AI188" i="4"/>
  <c r="W188" i="4"/>
  <c r="AI187" i="4"/>
  <c r="W187" i="4"/>
  <c r="AI186" i="4"/>
  <c r="W186" i="4"/>
  <c r="AI185" i="4"/>
  <c r="W185" i="4"/>
  <c r="AI184" i="4"/>
  <c r="W184" i="4"/>
  <c r="AI183" i="4"/>
  <c r="W183" i="4"/>
  <c r="AI182" i="4"/>
  <c r="W182" i="4"/>
  <c r="AI181" i="4"/>
  <c r="W181" i="4"/>
  <c r="AI180" i="4"/>
  <c r="W180" i="4"/>
  <c r="AI179" i="4"/>
  <c r="W179" i="4"/>
  <c r="AI178" i="4"/>
  <c r="W178" i="4"/>
  <c r="AI177" i="4"/>
  <c r="W177" i="4"/>
  <c r="AI176" i="4"/>
  <c r="W176" i="4"/>
  <c r="AI175" i="4"/>
  <c r="W175" i="4"/>
  <c r="AI174" i="4"/>
  <c r="W174" i="4"/>
  <c r="AI173" i="4"/>
  <c r="W173" i="4"/>
  <c r="AI172" i="4"/>
  <c r="W172" i="4"/>
  <c r="AI171" i="4"/>
  <c r="W171" i="4"/>
  <c r="AI170" i="4"/>
  <c r="W170" i="4"/>
  <c r="AI169" i="4"/>
  <c r="W169" i="4"/>
  <c r="AI168" i="4"/>
  <c r="W168" i="4"/>
  <c r="AI167" i="4"/>
  <c r="W167" i="4"/>
  <c r="AI166" i="4"/>
  <c r="W166" i="4"/>
  <c r="AI165" i="4"/>
  <c r="W165" i="4"/>
  <c r="AI164" i="4"/>
  <c r="W164" i="4"/>
  <c r="AI163" i="4"/>
  <c r="W163" i="4"/>
  <c r="AI162" i="4"/>
  <c r="W162" i="4"/>
  <c r="AI161" i="4"/>
  <c r="W161" i="4"/>
  <c r="AI160" i="4"/>
  <c r="W160" i="4"/>
  <c r="AI159" i="4"/>
  <c r="W159" i="4"/>
  <c r="AI158" i="4"/>
  <c r="W158" i="4"/>
  <c r="AI157" i="4"/>
  <c r="W157" i="4"/>
  <c r="AI156" i="4"/>
  <c r="W156" i="4"/>
  <c r="AI155" i="4"/>
  <c r="W155" i="4"/>
  <c r="AI154" i="4"/>
  <c r="W154" i="4"/>
  <c r="AI153" i="4"/>
  <c r="W153" i="4"/>
  <c r="AI152" i="4"/>
  <c r="W152" i="4"/>
  <c r="AI151" i="4"/>
  <c r="W151" i="4"/>
  <c r="AI150" i="4"/>
  <c r="W150" i="4"/>
  <c r="AI149" i="4"/>
  <c r="W149" i="4"/>
  <c r="AI148" i="4"/>
  <c r="W148" i="4"/>
  <c r="AI147" i="4"/>
  <c r="W147" i="4"/>
  <c r="AI146" i="4"/>
  <c r="W146" i="4"/>
  <c r="AI145" i="4"/>
  <c r="W145" i="4"/>
  <c r="AI144" i="4"/>
  <c r="W144" i="4"/>
  <c r="AI143" i="4"/>
  <c r="W143" i="4"/>
  <c r="AI142" i="4"/>
  <c r="W142" i="4"/>
  <c r="AI141" i="4"/>
  <c r="W141" i="4"/>
  <c r="AI140" i="4"/>
  <c r="W140" i="4"/>
  <c r="AI139" i="4"/>
  <c r="W139" i="4"/>
  <c r="AI138" i="4"/>
  <c r="W138" i="4"/>
  <c r="AI137" i="4"/>
  <c r="W137" i="4"/>
  <c r="AI136" i="4"/>
  <c r="W136" i="4"/>
  <c r="AI135" i="4"/>
  <c r="W135" i="4"/>
  <c r="AI134" i="4"/>
  <c r="W134" i="4"/>
  <c r="AI133" i="4"/>
  <c r="W133" i="4"/>
  <c r="AI132" i="4"/>
  <c r="W132" i="4"/>
  <c r="AI131" i="4"/>
  <c r="W131" i="4"/>
  <c r="AI130" i="4"/>
  <c r="W130" i="4"/>
  <c r="AI129" i="4"/>
  <c r="W129" i="4"/>
  <c r="AI128" i="4"/>
  <c r="W128" i="4"/>
  <c r="AI127" i="4"/>
  <c r="W127" i="4"/>
  <c r="AI126" i="4"/>
  <c r="W126" i="4"/>
  <c r="AI125" i="4"/>
  <c r="W125" i="4"/>
  <c r="AI124" i="4"/>
  <c r="W124" i="4"/>
  <c r="AI123" i="4"/>
  <c r="W123" i="4"/>
  <c r="AI122" i="4"/>
  <c r="W122" i="4"/>
  <c r="AI121" i="4"/>
  <c r="W121" i="4"/>
  <c r="AI120" i="4"/>
  <c r="W120" i="4"/>
  <c r="AI119" i="4"/>
  <c r="W119" i="4"/>
  <c r="AI118" i="4"/>
  <c r="W118" i="4"/>
  <c r="AI117" i="4"/>
  <c r="W117" i="4"/>
  <c r="AI116" i="4"/>
  <c r="W116" i="4"/>
  <c r="AI115" i="4"/>
  <c r="W115" i="4"/>
  <c r="AI114" i="4"/>
  <c r="W114" i="4"/>
  <c r="AI113" i="4"/>
  <c r="W113" i="4"/>
  <c r="AI112" i="4"/>
  <c r="W112" i="4"/>
  <c r="AI111" i="4"/>
  <c r="W111" i="4"/>
  <c r="AI110" i="4"/>
  <c r="W110" i="4"/>
  <c r="AI109" i="4"/>
  <c r="W109" i="4"/>
  <c r="AI108" i="4"/>
  <c r="W108" i="4"/>
  <c r="AI107" i="4"/>
  <c r="W107" i="4"/>
  <c r="AI106" i="4"/>
  <c r="W106" i="4"/>
  <c r="AI105" i="4"/>
  <c r="W105" i="4"/>
  <c r="AI104" i="4"/>
  <c r="W104" i="4"/>
  <c r="AI103" i="4"/>
  <c r="W103" i="4"/>
  <c r="AI102" i="4"/>
  <c r="W102" i="4"/>
  <c r="AI101" i="4"/>
  <c r="W101" i="4"/>
  <c r="AI100" i="4"/>
  <c r="W100" i="4"/>
  <c r="AI99" i="4"/>
  <c r="W99" i="4"/>
  <c r="AI98" i="4"/>
  <c r="W98" i="4"/>
  <c r="AI97" i="4"/>
  <c r="W97" i="4"/>
  <c r="AI96" i="4"/>
  <c r="W96" i="4"/>
  <c r="AI95" i="4"/>
  <c r="W95" i="4"/>
  <c r="AI94" i="4"/>
  <c r="W94" i="4"/>
  <c r="AI93" i="4"/>
  <c r="W93" i="4"/>
  <c r="AI92" i="4"/>
  <c r="W92" i="4"/>
  <c r="AI91" i="4"/>
  <c r="W91" i="4"/>
  <c r="AI90" i="4"/>
  <c r="W90" i="4"/>
  <c r="AI89" i="4"/>
  <c r="W89" i="4"/>
  <c r="AI88" i="4"/>
  <c r="W88" i="4"/>
  <c r="AI87" i="4"/>
  <c r="W87" i="4"/>
  <c r="AI86" i="4"/>
  <c r="W86" i="4"/>
  <c r="AI85" i="4"/>
  <c r="W85" i="4"/>
  <c r="AI84" i="4"/>
  <c r="W84" i="4"/>
  <c r="AI83" i="4"/>
  <c r="W83" i="4"/>
  <c r="AI82" i="4"/>
  <c r="W82" i="4"/>
  <c r="AI81" i="4"/>
  <c r="W81" i="4"/>
  <c r="AI80" i="4"/>
  <c r="W80" i="4"/>
  <c r="AI79" i="4"/>
  <c r="W79" i="4"/>
  <c r="AI78" i="4"/>
  <c r="W78" i="4"/>
  <c r="AI77" i="4"/>
  <c r="W77" i="4"/>
  <c r="AI76" i="4"/>
  <c r="W76" i="4"/>
  <c r="AI75" i="4"/>
  <c r="W75" i="4"/>
  <c r="AI74" i="4"/>
  <c r="W74" i="4"/>
  <c r="AI73" i="4"/>
  <c r="W73" i="4"/>
  <c r="AI72" i="4"/>
  <c r="W72" i="4"/>
  <c r="AI71" i="4"/>
  <c r="W71" i="4"/>
  <c r="AI70" i="4"/>
  <c r="W70" i="4"/>
  <c r="AI69" i="4"/>
  <c r="W69" i="4"/>
  <c r="AI68" i="4"/>
  <c r="W68" i="4"/>
  <c r="AI67" i="4"/>
  <c r="W67" i="4"/>
  <c r="AI66" i="4"/>
  <c r="W66" i="4"/>
  <c r="AI65" i="4"/>
  <c r="W65" i="4"/>
  <c r="AI64" i="4"/>
  <c r="W64" i="4"/>
  <c r="AI63" i="4"/>
  <c r="W63" i="4"/>
  <c r="AI62" i="4"/>
  <c r="W62" i="4"/>
  <c r="AI61" i="4"/>
  <c r="W61" i="4"/>
  <c r="AI60" i="4"/>
  <c r="W60" i="4"/>
  <c r="AI59" i="4"/>
  <c r="W59" i="4"/>
  <c r="AI58" i="4"/>
  <c r="W58" i="4"/>
  <c r="AI57" i="4"/>
  <c r="W57" i="4"/>
  <c r="AI56" i="4"/>
  <c r="W56" i="4"/>
  <c r="AI55" i="4"/>
  <c r="W55" i="4"/>
  <c r="AI54" i="4"/>
  <c r="W54" i="4"/>
  <c r="AI53" i="4"/>
  <c r="W53" i="4"/>
  <c r="AI52" i="4"/>
  <c r="W52" i="4"/>
  <c r="AI51" i="4"/>
  <c r="W51" i="4"/>
  <c r="AI50" i="4"/>
  <c r="W50" i="4"/>
  <c r="AI49" i="4"/>
  <c r="W49" i="4"/>
  <c r="AI48" i="4"/>
  <c r="W48" i="4"/>
  <c r="AI47" i="4"/>
  <c r="W47" i="4"/>
  <c r="AI46" i="4"/>
  <c r="W46" i="4"/>
  <c r="AI45" i="4"/>
  <c r="W45" i="4"/>
  <c r="AI44" i="4"/>
  <c r="W44" i="4"/>
  <c r="AI43" i="4"/>
  <c r="W43" i="4"/>
  <c r="AI42" i="4"/>
  <c r="W42" i="4"/>
  <c r="AI41" i="4"/>
  <c r="W41" i="4"/>
  <c r="AI40" i="4"/>
  <c r="W40" i="4"/>
  <c r="AI39" i="4"/>
  <c r="W39" i="4"/>
  <c r="AI38" i="4"/>
  <c r="W38" i="4"/>
  <c r="AI37" i="4"/>
  <c r="W37" i="4"/>
  <c r="AI36" i="4"/>
  <c r="W36" i="4"/>
  <c r="AI35" i="4"/>
  <c r="W35" i="4"/>
  <c r="AI34" i="4"/>
  <c r="W34" i="4"/>
  <c r="AI33" i="4"/>
  <c r="W33" i="4"/>
  <c r="AI32" i="4"/>
  <c r="W32" i="4"/>
  <c r="AI31" i="4"/>
  <c r="W31" i="4"/>
  <c r="AI30" i="4"/>
  <c r="W30" i="4"/>
  <c r="AI29" i="4"/>
  <c r="W29" i="4"/>
  <c r="AI28" i="4"/>
  <c r="W28" i="4"/>
  <c r="AI27" i="4"/>
  <c r="W27" i="4"/>
  <c r="AI26" i="4"/>
  <c r="W26" i="4"/>
  <c r="AI25" i="4"/>
  <c r="W25" i="4"/>
  <c r="AI24" i="4"/>
  <c r="W24" i="4"/>
  <c r="AI23" i="4"/>
  <c r="W23" i="4"/>
  <c r="AI22" i="4"/>
  <c r="W22" i="4"/>
  <c r="AI21" i="4"/>
  <c r="W21" i="4"/>
  <c r="AI20" i="4"/>
  <c r="W20" i="4"/>
  <c r="AI19" i="4"/>
  <c r="W19" i="4"/>
  <c r="AI18" i="4"/>
  <c r="W18" i="4"/>
  <c r="AI17" i="4"/>
  <c r="W17" i="4"/>
  <c r="AI16" i="4"/>
  <c r="W16" i="4"/>
  <c r="AI15" i="4"/>
  <c r="W15" i="4"/>
  <c r="AI14" i="4"/>
  <c r="W14" i="4"/>
  <c r="AI13" i="4"/>
  <c r="W13" i="4"/>
  <c r="AI12" i="4"/>
  <c r="W12" i="4"/>
  <c r="AI11" i="4"/>
  <c r="W11" i="4"/>
  <c r="AI10" i="4"/>
  <c r="W10" i="4"/>
  <c r="AI9" i="4"/>
  <c r="W9" i="4"/>
  <c r="AI8" i="4"/>
  <c r="W8" i="4"/>
  <c r="AI7" i="4"/>
  <c r="W7" i="4"/>
  <c r="AI6" i="4"/>
  <c r="W6" i="4"/>
</calcChain>
</file>

<file path=xl/sharedStrings.xml><?xml version="1.0" encoding="utf-8"?>
<sst xmlns="http://schemas.openxmlformats.org/spreadsheetml/2006/main" count="10396" uniqueCount="5892">
  <si>
    <t>Date</t>
  </si>
  <si>
    <t>Event</t>
  </si>
  <si>
    <t>idx</t>
  </si>
  <si>
    <t>1998-05-01</t>
  </si>
  <si>
    <t>UK</t>
  </si>
  <si>
    <t>EU Finance Ministers Meet to Recommend EMU Members</t>
  </si>
  <si>
    <t>1998-05-01 10:30</t>
  </si>
  <si>
    <t>1998-06-01 10:30</t>
  </si>
  <si>
    <t>1998-01-02 10:30</t>
  </si>
  <si>
    <t>1998-02-02 10:30</t>
  </si>
  <si>
    <t>1998-05-02</t>
  </si>
  <si>
    <t>EU Government Leaders Pick Monetary Union Members</t>
  </si>
  <si>
    <t>1998-06-02 10:30</t>
  </si>
  <si>
    <t>1998-07-02 14:30</t>
  </si>
  <si>
    <t>1998-05-03</t>
  </si>
  <si>
    <t>EU Finance Ministers Set Bilateral EMU Entry Rates</t>
  </si>
  <si>
    <t>1998-06-03</t>
  </si>
  <si>
    <t>1998-02-04</t>
  </si>
  <si>
    <t>1998-03-04</t>
  </si>
  <si>
    <t>1998-06-04 13:00</t>
  </si>
  <si>
    <t>04/6</t>
  </si>
  <si>
    <t>1998-11-04</t>
  </si>
  <si>
    <t>1998-02-05 13:00</t>
  </si>
  <si>
    <t>05/2</t>
  </si>
  <si>
    <t>1998-02-05 19:30</t>
  </si>
  <si>
    <t>EU's De Silguy Speaks on Monetary Union</t>
  </si>
  <si>
    <t>1998-03-05 13:00</t>
  </si>
  <si>
    <t>05/3</t>
  </si>
  <si>
    <t>1998-05-05 10:30</t>
  </si>
  <si>
    <t>1998-08-05</t>
  </si>
  <si>
    <t>1998-11-05 13:00</t>
  </si>
  <si>
    <t>05/11</t>
  </si>
  <si>
    <t>1998-01-06 10:30</t>
  </si>
  <si>
    <t>1998-02-06</t>
  </si>
  <si>
    <t>1998-05-06</t>
  </si>
  <si>
    <t>1998-08-06 13:00</t>
  </si>
  <si>
    <t>06/8</t>
  </si>
  <si>
    <t>1998-01-07</t>
  </si>
  <si>
    <t>1998-05-07 13:00</t>
  </si>
  <si>
    <t>07/5</t>
  </si>
  <si>
    <t>1998-10-07</t>
  </si>
  <si>
    <t>1998-01-08 13:00</t>
  </si>
  <si>
    <t>08/1</t>
  </si>
  <si>
    <t>1998-07-08</t>
  </si>
  <si>
    <t>1998-10-08 13:00</t>
  </si>
  <si>
    <t>08/10</t>
  </si>
  <si>
    <t>1998-04-09 13:00</t>
  </si>
  <si>
    <t>09/4</t>
  </si>
  <si>
    <t>1998-07-09 13:00</t>
  </si>
  <si>
    <t>09/7</t>
  </si>
  <si>
    <t>1998-12-09</t>
  </si>
  <si>
    <t>1998-02-10</t>
  </si>
  <si>
    <t>1998-06-10 10:30</t>
  </si>
  <si>
    <t>1998-09-10 13:00</t>
  </si>
  <si>
    <t>10/9</t>
  </si>
  <si>
    <t>1998-12-10 13:00</t>
  </si>
  <si>
    <t>10/12</t>
  </si>
  <si>
    <t>1998-02-11 10:30</t>
  </si>
  <si>
    <t>1998-02-11 11:30</t>
  </si>
  <si>
    <t>1998-06-11</t>
  </si>
  <si>
    <t>Chancellor of the Exchequer Mansion House Speech</t>
  </si>
  <si>
    <t>1998-11-11 11:30</t>
  </si>
  <si>
    <t>1998-08-12 11:30</t>
  </si>
  <si>
    <t>1999-01-01</t>
  </si>
  <si>
    <t>1999-03-01 10:30</t>
  </si>
  <si>
    <t>Seasonally Adjusted February Narrow Money Supply M0</t>
  </si>
  <si>
    <t>1999-03-02</t>
  </si>
  <si>
    <t>1999-12-02 10:40</t>
  </si>
  <si>
    <t>1999-12-02 19:30</t>
  </si>
  <si>
    <t>1999-02-03</t>
  </si>
  <si>
    <t>1999-03-03 13:00</t>
  </si>
  <si>
    <t>03/3</t>
  </si>
  <si>
    <t>1999-11-03</t>
  </si>
  <si>
    <t>1999-02-04 13:00</t>
  </si>
  <si>
    <t>04/2</t>
  </si>
  <si>
    <t>1999-08-04</t>
  </si>
  <si>
    <t>1999-11-04 13:00</t>
  </si>
  <si>
    <t>04/11</t>
  </si>
  <si>
    <t>1999-05-05</t>
  </si>
  <si>
    <t>1999-08-05 13:00</t>
  </si>
  <si>
    <t>05/8</t>
  </si>
  <si>
    <t>1999-05-06 13:00</t>
  </si>
  <si>
    <t>06/5</t>
  </si>
  <si>
    <t>1999-10-06</t>
  </si>
  <si>
    <t>1999-01-07 13:00</t>
  </si>
  <si>
    <t>07/1</t>
  </si>
  <si>
    <t>1999-04-07</t>
  </si>
  <si>
    <t>1999-07-07</t>
  </si>
  <si>
    <t>1999-09-07</t>
  </si>
  <si>
    <t>1999-10-07 13:00</t>
  </si>
  <si>
    <t>07/10</t>
  </si>
  <si>
    <t>1999-12-07 11:00</t>
  </si>
  <si>
    <t>1999-04-08 13:00</t>
  </si>
  <si>
    <t>08/4</t>
  </si>
  <si>
    <t>1999-07-08 13:00</t>
  </si>
  <si>
    <t>08/7</t>
  </si>
  <si>
    <t>1999-09-08 13:00</t>
  </si>
  <si>
    <t>08/9</t>
  </si>
  <si>
    <t>1999-12-08</t>
  </si>
  <si>
    <t>1999-06-09</t>
  </si>
  <si>
    <t>1999-12-09 13:00</t>
  </si>
  <si>
    <t>09/12</t>
  </si>
  <si>
    <t>1999-06-10 13:00</t>
  </si>
  <si>
    <t>10/6</t>
  </si>
  <si>
    <t>2000-05-02 17:30</t>
  </si>
  <si>
    <t>2000-08-02</t>
  </si>
  <si>
    <t>2000-10-02 08:00</t>
  </si>
  <si>
    <t>2000-05-03</t>
  </si>
  <si>
    <t>2000-07-03 10:30</t>
  </si>
  <si>
    <t>MO Money Supply Figures</t>
  </si>
  <si>
    <t>2000-08-03 13:00</t>
  </si>
  <si>
    <t>03/8</t>
  </si>
  <si>
    <t>2000-04-04 12:50</t>
  </si>
  <si>
    <t>2000-05-04 10:30</t>
  </si>
  <si>
    <t>2000-05-04 13:00</t>
  </si>
  <si>
    <t>04/5</t>
  </si>
  <si>
    <t>2000-07-04 11:15</t>
  </si>
  <si>
    <t>Parliamentary Committee hears DTI testimony</t>
  </si>
  <si>
    <t>2000-07-04 17:15</t>
  </si>
  <si>
    <t>2000-10-04</t>
  </si>
  <si>
    <t>2000-12-04 10:30</t>
  </si>
  <si>
    <t>2000-01-05 10:30</t>
  </si>
  <si>
    <t>Final Nov. M4, Sterling Lending, Dec. M0, Official Reserves</t>
  </si>
  <si>
    <t>2000-04-05</t>
  </si>
  <si>
    <t>2000-06-05 10:30</t>
  </si>
  <si>
    <t>2000-07-05</t>
  </si>
  <si>
    <t>2000-07-05 17:15</t>
  </si>
  <si>
    <t>Parliamentary Committee hears EU testimony</t>
  </si>
  <si>
    <t>2000-10-05 13:00</t>
  </si>
  <si>
    <t>05/10</t>
  </si>
  <si>
    <t>2000-04-06 13:00</t>
  </si>
  <si>
    <t>06/4</t>
  </si>
  <si>
    <t>2000-06-06</t>
  </si>
  <si>
    <t>2000-07-06 13:00</t>
  </si>
  <si>
    <t>06/7</t>
  </si>
  <si>
    <t>2000-09-06</t>
  </si>
  <si>
    <t>2000-12-06</t>
  </si>
  <si>
    <t>2000-01-07</t>
  </si>
  <si>
    <t>2000-06-07 13:00</t>
  </si>
  <si>
    <t>07/6</t>
  </si>
  <si>
    <t>2000-06-07 16:15</t>
  </si>
  <si>
    <t>Parliamentary Committee hears NZ Reserve Bank Governor testimo</t>
  </si>
  <si>
    <t>2000-09-07 13:00</t>
  </si>
  <si>
    <t>07/9</t>
  </si>
  <si>
    <t>2000-12-07 13:00</t>
  </si>
  <si>
    <t>07/12</t>
  </si>
  <si>
    <t>2000-03-08</t>
  </si>
  <si>
    <t>2000-11-08</t>
  </si>
  <si>
    <t>2000-02-09</t>
  </si>
  <si>
    <t>2000-03-09 13:00</t>
  </si>
  <si>
    <t>09/3</t>
  </si>
  <si>
    <t>2000-05-09 11:30</t>
  </si>
  <si>
    <t>2000-05-09 17:30</t>
  </si>
  <si>
    <t>2000-08-09 10:30</t>
  </si>
  <si>
    <t>2000-11-09 13:00</t>
  </si>
  <si>
    <t>09/11</t>
  </si>
  <si>
    <t>2000-02-10 13:00</t>
  </si>
  <si>
    <t>10/2</t>
  </si>
  <si>
    <t>2000-05-10 10:30</t>
  </si>
  <si>
    <t>2000-04-11 19:00</t>
  </si>
  <si>
    <t>2000-07-11 18:30</t>
  </si>
  <si>
    <t>2000-01-12</t>
  </si>
  <si>
    <t>2000-05-12 13:30</t>
  </si>
  <si>
    <t>2000-06-12 01:00</t>
  </si>
  <si>
    <t>2000-07-12 18:30</t>
  </si>
  <si>
    <t>2001-03-01 10:30</t>
  </si>
  <si>
    <t>M4 Money Supply, Consumer Credit figures</t>
  </si>
  <si>
    <t>2001-08-01</t>
  </si>
  <si>
    <t>2001-10-01 10:30</t>
  </si>
  <si>
    <t>M4 Money Supply, Consumer Credit figures, M0 Money Supply</t>
  </si>
  <si>
    <t>2001-01-02 10:30</t>
  </si>
  <si>
    <t>2001-04-02 10:30</t>
  </si>
  <si>
    <t>2001-05-02 10:30</t>
  </si>
  <si>
    <t>2001-07-02 10:30</t>
  </si>
  <si>
    <t>2001-08-02 13:00</t>
  </si>
  <si>
    <t>02/8</t>
  </si>
  <si>
    <t>2001-10-03</t>
  </si>
  <si>
    <t>2001-12-03 10:30</t>
  </si>
  <si>
    <t>M0 Money Supply for November</t>
  </si>
  <si>
    <t>2001-01-04 10:30</t>
  </si>
  <si>
    <t>2001-04-04</t>
  </si>
  <si>
    <t>2001-06-04 10:30</t>
  </si>
  <si>
    <t>2001-07-04</t>
  </si>
  <si>
    <t>2001-10-04 13:00</t>
  </si>
  <si>
    <t>04/10</t>
  </si>
  <si>
    <t>2001-12-04</t>
  </si>
  <si>
    <t>2001-02-05 10:30</t>
  </si>
  <si>
    <t>2001-03-05 10:30</t>
  </si>
  <si>
    <t>2001-04-05 13:00</t>
  </si>
  <si>
    <t>05/4</t>
  </si>
  <si>
    <t>2001-06-05</t>
  </si>
  <si>
    <t>2001-07-05 13:00</t>
  </si>
  <si>
    <t>05/7</t>
  </si>
  <si>
    <t>2001-09-05</t>
  </si>
  <si>
    <t>2001-12-05 13:00</t>
  </si>
  <si>
    <t>05/12</t>
  </si>
  <si>
    <t>2001-06-06 13:00</t>
  </si>
  <si>
    <t>2001-09-06 13:00</t>
  </si>
  <si>
    <t>06/9</t>
  </si>
  <si>
    <t>2001-02-07</t>
  </si>
  <si>
    <t>2001-03-07</t>
  </si>
  <si>
    <t>2001-03-07 16:30</t>
  </si>
  <si>
    <t>Chancellor Gordon Brown presents fiscal 2002 budget</t>
  </si>
  <si>
    <t>2001-11-07</t>
  </si>
  <si>
    <t>2001-02-08 13:00</t>
  </si>
  <si>
    <t>08/2</t>
  </si>
  <si>
    <t>2001-03-08 13:00</t>
  </si>
  <si>
    <t>08/3</t>
  </si>
  <si>
    <t>2001-08-08 11:30</t>
  </si>
  <si>
    <t>2001-11-08 13:00</t>
  </si>
  <si>
    <t>08/11</t>
  </si>
  <si>
    <t>2001-03-09 11:45</t>
  </si>
  <si>
    <t>2001-04-09 18:00</t>
  </si>
  <si>
    <t>2001-05-09</t>
  </si>
  <si>
    <t>2001-01-10</t>
  </si>
  <si>
    <t>2001-04-10 11:45</t>
  </si>
  <si>
    <t>2001-05-10 13:00</t>
  </si>
  <si>
    <t>10/5</t>
  </si>
  <si>
    <t>2001-10-10 19:00</t>
  </si>
  <si>
    <t>2001-01-11 13:00</t>
  </si>
  <si>
    <t>11/1</t>
  </si>
  <si>
    <t>2002-08-01 13:00</t>
  </si>
  <si>
    <t>01/8</t>
  </si>
  <si>
    <t>2002-04-02 10:30</t>
  </si>
  <si>
    <t>M4 Money Supply and Consumer Credit figures</t>
  </si>
  <si>
    <t>2002-09-02 10:30</t>
  </si>
  <si>
    <t>M0 Provisional Money Supply Figures</t>
  </si>
  <si>
    <t>2002-04-03</t>
  </si>
  <si>
    <t>2002-04-03 10:30</t>
  </si>
  <si>
    <t>2002-07-03</t>
  </si>
  <si>
    <t>2002-07-03 10:30</t>
  </si>
  <si>
    <t>2002-04-04 13:00</t>
  </si>
  <si>
    <t>04/4</t>
  </si>
  <si>
    <t>2002-07-04 13:00</t>
  </si>
  <si>
    <t>04/7</t>
  </si>
  <si>
    <t>2002-09-04</t>
  </si>
  <si>
    <t>2002-12-04</t>
  </si>
  <si>
    <t>2002-06-05</t>
  </si>
  <si>
    <t>2002-06-05 10:30</t>
  </si>
  <si>
    <t>2002-09-05 13:00</t>
  </si>
  <si>
    <t>05/9</t>
  </si>
  <si>
    <t>2002-12-05 13:00</t>
  </si>
  <si>
    <t>2002-02-06</t>
  </si>
  <si>
    <t>2002-03-06</t>
  </si>
  <si>
    <t>2002-06-06 13:00</t>
  </si>
  <si>
    <t>06/6</t>
  </si>
  <si>
    <t>2002-11-06</t>
  </si>
  <si>
    <t>2002-12-06 10:00</t>
  </si>
  <si>
    <t>2002-02-07 13:00</t>
  </si>
  <si>
    <t>07/2</t>
  </si>
  <si>
    <t>2002-03-07 13:00</t>
  </si>
  <si>
    <t>07/3</t>
  </si>
  <si>
    <t>2002-08-07 11:30</t>
  </si>
  <si>
    <t>2002-11-07 13:00</t>
  </si>
  <si>
    <t>07/11</t>
  </si>
  <si>
    <t>2002-01-09</t>
  </si>
  <si>
    <t>2002-05-09 13:00</t>
  </si>
  <si>
    <t>09/5</t>
  </si>
  <si>
    <t>2002-10-09</t>
  </si>
  <si>
    <t>2002-01-10 13:00</t>
  </si>
  <si>
    <t>10/1</t>
  </si>
  <si>
    <t>2002-10-10 13:00</t>
  </si>
  <si>
    <t>10/10</t>
  </si>
  <si>
    <t>2002-12-12 12:30</t>
  </si>
  <si>
    <t>UK Chancellor Gordon Brown answers questions in parliament</t>
  </si>
  <si>
    <t>2003-01-01</t>
  </si>
  <si>
    <t>2003-01-02 08:30</t>
  </si>
  <si>
    <t>Nationwide monthly house price survey</t>
  </si>
  <si>
    <t>2003-12-02 11:30</t>
  </si>
  <si>
    <t>2003-09-03</t>
  </si>
  <si>
    <t>2003-12-03</t>
  </si>
  <si>
    <t>2003-06-04</t>
  </si>
  <si>
    <t>2003-09-04 13:00</t>
  </si>
  <si>
    <t>04/9</t>
  </si>
  <si>
    <t>2003-12-04 13:00</t>
  </si>
  <si>
    <t>04/12</t>
  </si>
  <si>
    <t>2003-12-04 14:03</t>
  </si>
  <si>
    <t>Treasury's Balls Chairs CEPR Discussion</t>
  </si>
  <si>
    <t>2003-02-05</t>
  </si>
  <si>
    <t>2003-03-05</t>
  </si>
  <si>
    <t>2003-06-05 13:00</t>
  </si>
  <si>
    <t>05/6</t>
  </si>
  <si>
    <t>2003-11-05</t>
  </si>
  <si>
    <t>2003-02-06 13:00</t>
  </si>
  <si>
    <t>06/2</t>
  </si>
  <si>
    <t>2003-03-06 13:00</t>
  </si>
  <si>
    <t>06/3</t>
  </si>
  <si>
    <t>2003-11-06 13:00</t>
  </si>
  <si>
    <t>06/11</t>
  </si>
  <si>
    <t>2003-05-07</t>
  </si>
  <si>
    <t>2003-08-07 13:00</t>
  </si>
  <si>
    <t>07/8</t>
  </si>
  <si>
    <t>2003-01-08</t>
  </si>
  <si>
    <t>2003-05-08 13:00</t>
  </si>
  <si>
    <t>08/5</t>
  </si>
  <si>
    <t>2003-10-08</t>
  </si>
  <si>
    <t>2003-01-09 13:00</t>
  </si>
  <si>
    <t>09/1</t>
  </si>
  <si>
    <t>2003-04-09</t>
  </si>
  <si>
    <t>2003-10-09 13:00</t>
  </si>
  <si>
    <t>09/10</t>
  </si>
  <si>
    <t>2003-12-09 08:00</t>
  </si>
  <si>
    <t>U.K. Report on Mortgages</t>
  </si>
  <si>
    <t>2003-01-10 10:30</t>
  </si>
  <si>
    <t>2003-04-10 13:00</t>
  </si>
  <si>
    <t>10/4</t>
  </si>
  <si>
    <t>2003-07-10 13:00</t>
  </si>
  <si>
    <t>10/7</t>
  </si>
  <si>
    <t>2003-07-10 16:45</t>
  </si>
  <si>
    <t>2003-12-10 08:00</t>
  </si>
  <si>
    <t>U.K. Report on Housing Supply</t>
  </si>
  <si>
    <t>2003-02-12 11:30</t>
  </si>
  <si>
    <t>2003-06-12 09:45</t>
  </si>
  <si>
    <t>2003-06-12 16:15</t>
  </si>
  <si>
    <t>2004-06-01</t>
  </si>
  <si>
    <t>2004-07-01 15:00</t>
  </si>
  <si>
    <t>2004-06-02</t>
  </si>
  <si>
    <t>2004-12-02 13:30</t>
  </si>
  <si>
    <t>U.K. Chancellor Gordon Brown Announces Pre-Budget Report</t>
  </si>
  <si>
    <t>2004-03-03</t>
  </si>
  <si>
    <t>2004-06-03</t>
  </si>
  <si>
    <t>2004-11-03</t>
  </si>
  <si>
    <t>2004-02-04</t>
  </si>
  <si>
    <t>2004-03-04 13:00</t>
  </si>
  <si>
    <t>04/3</t>
  </si>
  <si>
    <t>2004-07-04</t>
  </si>
  <si>
    <t>2004-08-04</t>
  </si>
  <si>
    <t>2004-11-04 13:00</t>
  </si>
  <si>
    <t>2004-02-05 13:00</t>
  </si>
  <si>
    <t>2004-05-05</t>
  </si>
  <si>
    <t>2004-07-05</t>
  </si>
  <si>
    <t>2004-08-05 13:00</t>
  </si>
  <si>
    <t>2004-05-06 13:00</t>
  </si>
  <si>
    <t>2004-06-06</t>
  </si>
  <si>
    <t>Earnings Expected: Acal Plc, Belhaven Group Plc, Top Ten Holdi</t>
  </si>
  <si>
    <t>2004-07-06</t>
  </si>
  <si>
    <t>2004-07-06 10:30</t>
  </si>
  <si>
    <t>2004-10-06</t>
  </si>
  <si>
    <t>2004-01-07</t>
  </si>
  <si>
    <t>2004-04-07</t>
  </si>
  <si>
    <t>LVMH Releases Sales Figures</t>
  </si>
  <si>
    <t>U.K. Earnings Expected: Shoprite Group Plc</t>
  </si>
  <si>
    <t>Royal Ahold NV Receives Court Decision</t>
  </si>
  <si>
    <t>2004-06-07</t>
  </si>
  <si>
    <t>2004-07-07</t>
  </si>
  <si>
    <t>2004-10-07 13:00</t>
  </si>
  <si>
    <t>2004-01-08 13:00</t>
  </si>
  <si>
    <t>2004-04-08 13:00</t>
  </si>
  <si>
    <t>2004-07-08 13:00</t>
  </si>
  <si>
    <t>2004-09-08</t>
  </si>
  <si>
    <t>2004-12-08</t>
  </si>
  <si>
    <t>2004-06-09</t>
  </si>
  <si>
    <t>2004-09-09 10:50</t>
  </si>
  <si>
    <t>2004-09-09 13:00</t>
  </si>
  <si>
    <t>09/9</t>
  </si>
  <si>
    <t>2004-12-09 13:00</t>
  </si>
  <si>
    <t>2004-06-10 13:00</t>
  </si>
  <si>
    <t>2004-11-10 11:30</t>
  </si>
  <si>
    <t>2004-02-11 11:30</t>
  </si>
  <si>
    <t>2004-07-11</t>
  </si>
  <si>
    <t>2004-08-11 11:30</t>
  </si>
  <si>
    <t>2004-05-12 11:30</t>
  </si>
  <si>
    <t>2004-07-12</t>
  </si>
  <si>
    <t>2004-10-12 19:00</t>
  </si>
  <si>
    <t>2005-12-01 13:30</t>
  </si>
  <si>
    <t>2005-12-02 13:30</t>
  </si>
  <si>
    <t>U.K. Earnings Expected: Wolverhampton &amp; Dudley Breweries Plc.</t>
  </si>
  <si>
    <t>2005-08-03</t>
  </si>
  <si>
    <t>2005-11-03 10:45</t>
  </si>
  <si>
    <t>2005-11-03 12:45</t>
  </si>
  <si>
    <t>2005-07-04 17:00</t>
  </si>
  <si>
    <t>ECB's Trichet Speaks in Annual Report Debate</t>
  </si>
  <si>
    <t>2005-08-04 13:00</t>
  </si>
  <si>
    <t>04/8</t>
  </si>
  <si>
    <t>2005-10-05</t>
  </si>
  <si>
    <t>2005-04-06</t>
  </si>
  <si>
    <t>2005-05-06</t>
  </si>
  <si>
    <t>2005-07-06</t>
  </si>
  <si>
    <t>2005-09-06 07:15</t>
  </si>
  <si>
    <t>JP Morgan's Nuttall Comments on Currency Outlook</t>
  </si>
  <si>
    <t>2005-10-06 13:00</t>
  </si>
  <si>
    <t>06/10</t>
  </si>
  <si>
    <t>2005-04-07 13:00</t>
  </si>
  <si>
    <t>07/4</t>
  </si>
  <si>
    <t>2005-07-07 13:00</t>
  </si>
  <si>
    <t>07/7</t>
  </si>
  <si>
    <t>2005-09-07</t>
  </si>
  <si>
    <t>2005-12-07</t>
  </si>
  <si>
    <t>2005-06-08</t>
  </si>
  <si>
    <t>2005-06-08 10:25</t>
  </si>
  <si>
    <t>HSBC's Butler Comments on Interest Rates, Economy</t>
  </si>
  <si>
    <t>2005-09-08 13:00</t>
  </si>
  <si>
    <t>2005-12-08</t>
  </si>
  <si>
    <t>U.K. Earnings Expected: Anite Group Plc, Bristol Water Group P</t>
  </si>
  <si>
    <t>2005-12-08 13:00</t>
  </si>
  <si>
    <t>08/12</t>
  </si>
  <si>
    <t>2005-02-09</t>
  </si>
  <si>
    <t>U.K. Earnings Expected: ARC International Plc, Liberty Interna</t>
  </si>
  <si>
    <t>2005-03-09</t>
  </si>
  <si>
    <t>2005-05-09 13:00</t>
  </si>
  <si>
    <t>2005-06-09 13:00</t>
  </si>
  <si>
    <t>09/6</t>
  </si>
  <si>
    <t>CBI's McCafferty on U.K. Interest Rate Decision</t>
  </si>
  <si>
    <t>2005-06-09 13:34</t>
  </si>
  <si>
    <t>U.K.'s Deanne Julius Comments on Interest Rates</t>
  </si>
  <si>
    <t>2005-11-09</t>
  </si>
  <si>
    <t>2005-02-10 13:00</t>
  </si>
  <si>
    <t>2005-03-10 13:00</t>
  </si>
  <si>
    <t>10/3</t>
  </si>
  <si>
    <t>2005-08-10 11:30</t>
  </si>
  <si>
    <t>2005-11-10 12:40</t>
  </si>
  <si>
    <t>RBoS's Juckes, SocGen's Hilliard on U.K. Rates</t>
  </si>
  <si>
    <t>2005-11-10 13:00</t>
  </si>
  <si>
    <t>10/11</t>
  </si>
  <si>
    <t>2005-05-11 11:30</t>
  </si>
  <si>
    <t>2005-10-11 20:55</t>
  </si>
  <si>
    <t>2005-01-12</t>
  </si>
  <si>
    <t>2006-06-01 09:30</t>
  </si>
  <si>
    <t>Otmar Issing Speaks about Retirement from ECB</t>
  </si>
  <si>
    <t>2006-11-01 08:00</t>
  </si>
  <si>
    <t>U.K. Earnings Expected: Chrysalis Group, ITIS Holdings.</t>
  </si>
  <si>
    <t>2006-11-01 19:00</t>
  </si>
  <si>
    <t>2006-08-02</t>
  </si>
  <si>
    <t>2006-05-03</t>
  </si>
  <si>
    <t>2006-08-03 10:10</t>
  </si>
  <si>
    <t>Walter of Deutsche Bank on ECB Monetary Policy</t>
  </si>
  <si>
    <t>2006-08-03 12:40</t>
  </si>
  <si>
    <t>2006-08-03 13:00</t>
  </si>
  <si>
    <t>2006-08-03 13:25</t>
  </si>
  <si>
    <t>Juckes of Royal Bank on ECB Rate Decision, Bonds</t>
  </si>
  <si>
    <t>2006-08-03 14:15</t>
  </si>
  <si>
    <t>Diebel of Nomura Discusses ECB Rate Decision</t>
  </si>
  <si>
    <t>2006-05-04 12:45</t>
  </si>
  <si>
    <t>2006-05-04 13:00</t>
  </si>
  <si>
    <t>2006-05-04 13:30</t>
  </si>
  <si>
    <t>ING's Carnell: ECB Rate, U.S. Jobless Data Outlook</t>
  </si>
  <si>
    <t>2006-05-04 13:40</t>
  </si>
  <si>
    <t>Calyon's Keeble: ECB Interest Rate Decision</t>
  </si>
  <si>
    <t>2006-05-04 14:20</t>
  </si>
  <si>
    <t>Royal Bank's Schmidt: ECB Interest Rate Decision</t>
  </si>
  <si>
    <t>2006-05-04 15:30</t>
  </si>
  <si>
    <t>Royal Bank's Schmidt: Currencies Outlook, ECB</t>
  </si>
  <si>
    <t>2006-10-04</t>
  </si>
  <si>
    <t>2006-04-05</t>
  </si>
  <si>
    <t>2006-07-05</t>
  </si>
  <si>
    <t>2006-10-05 10:25</t>
  </si>
  <si>
    <t>2006-10-05 12:45</t>
  </si>
  <si>
    <t>2006-10-05 13:00</t>
  </si>
  <si>
    <t>2006-02-06 11:30</t>
  </si>
  <si>
    <t>Institute for Fiscal Studies' Chote on Economy</t>
  </si>
  <si>
    <t>2006-02-06 15:10</t>
  </si>
  <si>
    <t>ECB's Trichet Speaks on Economy, Monetary Policy</t>
  </si>
  <si>
    <t>2006-02-06 16:05</t>
  </si>
  <si>
    <t>Capital Economics's Bootle on Interest Rates</t>
  </si>
  <si>
    <t>2006-04-06 13:00</t>
  </si>
  <si>
    <t>2006-07-06 13:00</t>
  </si>
  <si>
    <t>2006-09-06</t>
  </si>
  <si>
    <t>2006-12-06</t>
  </si>
  <si>
    <t>2006-06-07 13:00</t>
  </si>
  <si>
    <t>2006-09-07 10:25</t>
  </si>
  <si>
    <t>2006-09-07 12:45</t>
  </si>
  <si>
    <t>2006-09-07 13:00</t>
  </si>
  <si>
    <t>2006-12-07 13:00</t>
  </si>
  <si>
    <t>2006-02-08</t>
  </si>
  <si>
    <t>2006-03-08</t>
  </si>
  <si>
    <t>U.K. Earnings Expected: 1st Dental Laboratories Plc, Access In</t>
  </si>
  <si>
    <t>2006-06-08 13:00</t>
  </si>
  <si>
    <t>08/6</t>
  </si>
  <si>
    <t>U.K. Earnings Expected: FKI Plc, Halfords Group Plc</t>
  </si>
  <si>
    <t>2006-08-08 07:05</t>
  </si>
  <si>
    <t>Redeker of BNP Paribas Discusses Fed Rates, Dollar</t>
  </si>
  <si>
    <t>2006-08-08 07:35</t>
  </si>
  <si>
    <t>Wraith of RBS Speaks on Fed Rates, Bond Outlook</t>
  </si>
  <si>
    <t>2006-08-08 11:30</t>
  </si>
  <si>
    <t>2006-11-08</t>
  </si>
  <si>
    <t>2006-02-09 13:00</t>
  </si>
  <si>
    <t>09/2</t>
  </si>
  <si>
    <t>2006-03-09 13:00</t>
  </si>
  <si>
    <t>2006-08-09 06:05</t>
  </si>
  <si>
    <t>Attrill of 4Cast Discusses Fed Rate Decision</t>
  </si>
  <si>
    <t>2006-08-09 07:05</t>
  </si>
  <si>
    <t>2006-08-09 11:30</t>
  </si>
  <si>
    <t>2006-11-09 13:00</t>
  </si>
  <si>
    <t>2006-05-10 11:30</t>
  </si>
  <si>
    <t>2006-05-10 13:00</t>
  </si>
  <si>
    <t>2006-05-10 13:31</t>
  </si>
  <si>
    <t>2006-10-10 21:00</t>
  </si>
  <si>
    <t>2006-01-11</t>
  </si>
  <si>
    <t>2006-05-11 11:00</t>
  </si>
  <si>
    <t>Lehman's McCormick: Curencies, Fed Rate Rise</t>
  </si>
  <si>
    <t>2006-10-11 11:00</t>
  </si>
  <si>
    <t>Bies of Fed on Global Risk, Compliance: Speech</t>
  </si>
  <si>
    <t>2006-12-11 11:00</t>
  </si>
  <si>
    <t>2006-12-11 12:59</t>
  </si>
  <si>
    <t>2006-01-12 13:00</t>
  </si>
  <si>
    <t>12/1</t>
  </si>
  <si>
    <t>2006-06-12 21:20</t>
  </si>
  <si>
    <t>2006-07-12 01:00</t>
  </si>
  <si>
    <t>2006-10-12 11:00</t>
  </si>
  <si>
    <t>2006-10-12 11:45</t>
  </si>
  <si>
    <t>2007-02-01 11:00</t>
  </si>
  <si>
    <t>2007-08-01</t>
  </si>
  <si>
    <t>2007-11-01 08:00</t>
  </si>
  <si>
    <t>U.K. Earnings Expected: AstraZeneca, British American Tobacco</t>
  </si>
  <si>
    <t>2007-05-02 19:30</t>
  </si>
  <si>
    <t>2007-08-02 13:00</t>
  </si>
  <si>
    <t>2007-11-02 08:00</t>
  </si>
  <si>
    <t>U.K. Earnings Expected: British Airways, British Sky Broadcast</t>
  </si>
  <si>
    <t>2007-11-02 10:25</t>
  </si>
  <si>
    <t>Buckley of Deutsche Bank on U.K. Inflation Report</t>
  </si>
  <si>
    <t>2007-11-02 17:25</t>
  </si>
  <si>
    <t>Gabay of Fathom on King's Testimony, U.K. Economy</t>
  </si>
  <si>
    <t>2007-10-03</t>
  </si>
  <si>
    <t>2007-01-04 13:30</t>
  </si>
  <si>
    <t>2007-04-04</t>
  </si>
  <si>
    <t>2007-07-04</t>
  </si>
  <si>
    <t>2007-10-04 10:25</t>
  </si>
  <si>
    <t>2007-10-04 10:30</t>
  </si>
  <si>
    <t>2007-10-04 12:40</t>
  </si>
  <si>
    <t>2007-10-04 13:00</t>
  </si>
  <si>
    <t>2007-02-05 11:30</t>
  </si>
  <si>
    <t>2007-04-05 12:45</t>
  </si>
  <si>
    <t>2007-04-05 13:00</t>
  </si>
  <si>
    <t>2007-07-05 10:25</t>
  </si>
  <si>
    <t>2007-07-05 13:00</t>
  </si>
  <si>
    <t>2007-09-05</t>
  </si>
  <si>
    <t>2007-09-05 07:35</t>
  </si>
  <si>
    <t>Schmieding of Bank of America Speaks on U.K. Rates</t>
  </si>
  <si>
    <t>2007-11-05 08:00</t>
  </si>
  <si>
    <t>U.K. Earnings Expected: LogicaCMG, British Airways (Traffic)</t>
  </si>
  <si>
    <t>2007-12-05</t>
  </si>
  <si>
    <t>2007-12-05 10:25</t>
  </si>
  <si>
    <t>2007-06-06</t>
  </si>
  <si>
    <t>2007-08-06 10:25</t>
  </si>
  <si>
    <t>2007-09-06 06:15</t>
  </si>
  <si>
    <t>Dixon of Commerzbank on ECB, U.K. Rates Outlook</t>
  </si>
  <si>
    <t>2007-09-06 07:35</t>
  </si>
  <si>
    <t>2007-09-06 08:45</t>
  </si>
  <si>
    <t>Kraemer of Commerzbank on ECB, U.K. Rates Outlook</t>
  </si>
  <si>
    <t>2007-09-06 09:05</t>
  </si>
  <si>
    <t>2007-09-06 11:00</t>
  </si>
  <si>
    <t>Bell of GLC Speaks on Interest Rates, U.S. Economy</t>
  </si>
  <si>
    <t>2007-09-06 12:40</t>
  </si>
  <si>
    <t>2007-09-06 13:00</t>
  </si>
  <si>
    <t>2007-09-06 13:10</t>
  </si>
  <si>
    <t>Marshall of Smith &amp; Williamson on Central Banks</t>
  </si>
  <si>
    <t>2007-09-06 17:00</t>
  </si>
  <si>
    <t>Stubbs of RICS Discusses Outlook for U.K. Economy</t>
  </si>
  <si>
    <t>2007-11-06 08:00</t>
  </si>
  <si>
    <t>U.K. Earnings Expected: Sport Media Group, Penna Consulting,</t>
  </si>
  <si>
    <t>2007-12-06 13:00</t>
  </si>
  <si>
    <t>06/12</t>
  </si>
  <si>
    <t>2007-02-07</t>
  </si>
  <si>
    <t>2007-02-07 10:30</t>
  </si>
  <si>
    <t>2007-03-07</t>
  </si>
  <si>
    <t>2007-06-07 10:25</t>
  </si>
  <si>
    <t>Clarke of BNP Paribas on U.K. Manufacturing, Rates</t>
  </si>
  <si>
    <t>2007-06-07 13:00</t>
  </si>
  <si>
    <t>2007-11-07</t>
  </si>
  <si>
    <t>2007-02-08 12:40</t>
  </si>
  <si>
    <t>2007-02-08 13:00</t>
  </si>
  <si>
    <t>2007-03-08 12:40</t>
  </si>
  <si>
    <t>2007-03-08 13:00</t>
  </si>
  <si>
    <t>2007-03-08 17:00</t>
  </si>
  <si>
    <t>2007-05-08 10:15</t>
  </si>
  <si>
    <t>2007-08-08 11:30</t>
  </si>
  <si>
    <t>2007-11-08 08:00</t>
  </si>
  <si>
    <t>2007-11-08 13:00</t>
  </si>
  <si>
    <t>2007-05-09</t>
  </si>
  <si>
    <t>2007-07-09 13:30</t>
  </si>
  <si>
    <t>2007-10-09 17:30</t>
  </si>
  <si>
    <t>2007-10-09 21:10</t>
  </si>
  <si>
    <t>2007-11-09 10:25</t>
  </si>
  <si>
    <t>2007-01-10</t>
  </si>
  <si>
    <t>2007-05-10 10:30</t>
  </si>
  <si>
    <t>2007-05-10 12:35</t>
  </si>
  <si>
    <t>2007-05-10 12:50</t>
  </si>
  <si>
    <t>Wraith of RBS Discusses U.K. Rates, Bonds Outlook</t>
  </si>
  <si>
    <t>2007-05-10 13:00</t>
  </si>
  <si>
    <t>2007-07-10 19:00</t>
  </si>
  <si>
    <t>2007-01-11 13:00</t>
  </si>
  <si>
    <t>2007-01-11 17:00</t>
  </si>
  <si>
    <t>2007-06-11 21:00</t>
  </si>
  <si>
    <t>2007-09-11 17:00</t>
  </si>
  <si>
    <t>2007-10-11 10:30</t>
  </si>
  <si>
    <t>2007-06-12 10:25</t>
  </si>
  <si>
    <t>2007-07-12 10:00</t>
  </si>
  <si>
    <t>2007-11-12 14:15</t>
  </si>
  <si>
    <t>2008-05-01 01:01</t>
  </si>
  <si>
    <t>2008-01-02 11:00</t>
  </si>
  <si>
    <t>Orphanides of Central Bank of Cyprus on Euro</t>
  </si>
  <si>
    <t>2008-04-02 22:30</t>
  </si>
  <si>
    <t>2008-07-02 16:30</t>
  </si>
  <si>
    <t>2008-10-02 10:30</t>
  </si>
  <si>
    <t>2008-03-03 08:00</t>
  </si>
  <si>
    <t>U.K. Earnings Expected: Pearson, HSBC, Vitec, Tarsus, Xstrata,</t>
  </si>
  <si>
    <t>2008-03-03 16:50</t>
  </si>
  <si>
    <t>2008-04-03 10:30</t>
  </si>
  <si>
    <t>2008-04-03 11:15</t>
  </si>
  <si>
    <t>2008-07-03 10:30</t>
  </si>
  <si>
    <t>2008-11-03 17:00</t>
  </si>
  <si>
    <t>2008-03-04 08:00</t>
  </si>
  <si>
    <t>U.K. Earnings Expected: Michael Page, Travis Perkins, DMATEK,</t>
  </si>
  <si>
    <t>2008-03-04 19:00</t>
  </si>
  <si>
    <t>Fisher of Fed Speaks About U.S. Economy, Inflation</t>
  </si>
  <si>
    <t>2008-04-04 17:10</t>
  </si>
  <si>
    <t>Israel's Fischer on Economy, Global Growth, Rates</t>
  </si>
  <si>
    <t>2008-06-04 08:00</t>
  </si>
  <si>
    <t>Lukoil earnings</t>
  </si>
  <si>
    <t>2008-09-04 13:00</t>
  </si>
  <si>
    <t>2008-12-04 13:00</t>
  </si>
  <si>
    <t>2008-03-05 08:00</t>
  </si>
  <si>
    <t>U.K. Earnings Expected: ITV, Balfour Beatty, Carillion Plc</t>
  </si>
  <si>
    <t>2008-06-05 08:25</t>
  </si>
  <si>
    <t>2008-06-05 13:00</t>
  </si>
  <si>
    <t>2008-03-06 13:00</t>
  </si>
  <si>
    <t>2008-05-06 17:15</t>
  </si>
  <si>
    <t>2008-11-06 13:00</t>
  </si>
  <si>
    <t>2008-02-07 12:25</t>
  </si>
  <si>
    <t>2008-02-07 13:00</t>
  </si>
  <si>
    <t>2008-07-07 08:00</t>
  </si>
  <si>
    <t>Bradford &amp; Bingley Extraordinary General Meeting</t>
  </si>
  <si>
    <t>2008-08-07 12:30</t>
  </si>
  <si>
    <t>2008-08-07 12:45</t>
  </si>
  <si>
    <t>2008-08-07 13:00</t>
  </si>
  <si>
    <t>2008-08-07 15:45</t>
  </si>
  <si>
    <t>2008-05-08 13:00</t>
  </si>
  <si>
    <t>U.K. Earnings Expected: Sage, Mapeley, Unilever, Inmarsat,</t>
  </si>
  <si>
    <t>2008-10-08 13:00</t>
  </si>
  <si>
    <t>2008-05-09 13:00</t>
  </si>
  <si>
    <t>U.K. Earnings Expected: Redline Communications, Rugby Estates</t>
  </si>
  <si>
    <t>2008-10-09 07:40</t>
  </si>
  <si>
    <t>2008-10-09 13:00</t>
  </si>
  <si>
    <t>2008-12-09 15:30</t>
  </si>
  <si>
    <t>2008-01-10 13:00</t>
  </si>
  <si>
    <t>2008-04-10 13:00</t>
  </si>
  <si>
    <t>2008-06-10 13:00</t>
  </si>
  <si>
    <t>2008-06-10 18:30</t>
  </si>
  <si>
    <t>Weber of ECB Speaks on Central Bank Policy</t>
  </si>
  <si>
    <t>2008-07-10 13:00</t>
  </si>
  <si>
    <t>2008-10-10 17:00</t>
  </si>
  <si>
    <t>Magnus of UBS on Bank of Engalnd Inflation Report</t>
  </si>
  <si>
    <t>2008-07-11 07:40</t>
  </si>
  <si>
    <t>2008-09-11 10:30</t>
  </si>
  <si>
    <t>2008-09-11 10:40</t>
  </si>
  <si>
    <t>2008-09-11 10:45</t>
  </si>
  <si>
    <t>2008-12-11 10:30</t>
  </si>
  <si>
    <t>2008-03-12 07:40</t>
  </si>
  <si>
    <t>2008-03-12 10:25</t>
  </si>
  <si>
    <t>Hogan of Jefferies on U.S. Equities and Economy</t>
  </si>
  <si>
    <t>2008-05-12 13:00</t>
  </si>
  <si>
    <t>U.K. Earnings Expected: RM Plc, Robert Wiseman Dairies Plc</t>
  </si>
  <si>
    <t>2008-05-12 17:45</t>
  </si>
  <si>
    <t>2008-06-12 10:30</t>
  </si>
  <si>
    <t>2008-09-12 12:30</t>
  </si>
  <si>
    <t>2008-11-12 11:30</t>
  </si>
  <si>
    <t>2009-07-01 10:00</t>
  </si>
  <si>
    <t>2009-10-01 10:30</t>
  </si>
  <si>
    <t>2009-12-01 15:30</t>
  </si>
  <si>
    <t>2009-01-02 10:30</t>
  </si>
  <si>
    <t>2009-04-02 10:30</t>
  </si>
  <si>
    <t>2009-07-02 10:25</t>
  </si>
  <si>
    <t>2009-07-02 10:30</t>
  </si>
  <si>
    <t>2009-12-02 09:20</t>
  </si>
  <si>
    <t>2009-11-03 08:35</t>
  </si>
  <si>
    <t>2009-06-04 13:00</t>
  </si>
  <si>
    <t>2009-02-05 13:00</t>
  </si>
  <si>
    <t>2009-03-05 13:00</t>
  </si>
  <si>
    <t>2009-11-05 09:05</t>
  </si>
  <si>
    <t>2009-11-05 13:00</t>
  </si>
  <si>
    <t>2009-08-06 09:05</t>
  </si>
  <si>
    <t>2009-08-06 13:00</t>
  </si>
  <si>
    <t>2009-08-06 13:05</t>
  </si>
  <si>
    <t>2009-11-06 00:00</t>
  </si>
  <si>
    <t>G20 Finance Ministers, Central Bankers Meet in Scotland</t>
  </si>
  <si>
    <t>2009-12-06 20:15</t>
  </si>
  <si>
    <t>2009-05-07 10:30</t>
  </si>
  <si>
    <t>2009-05-07 12:40</t>
  </si>
  <si>
    <t>2009-05-07 13:00</t>
  </si>
  <si>
    <t>2009-01-08 07:40</t>
  </si>
  <si>
    <t>2009-01-08 13:00</t>
  </si>
  <si>
    <t>2009-07-08 13:30</t>
  </si>
  <si>
    <t>2009-09-08 13:00</t>
  </si>
  <si>
    <t>2009-10-08 07:40</t>
  </si>
  <si>
    <t>2009-10-08 09:05</t>
  </si>
  <si>
    <t>2009-10-08 12:40</t>
  </si>
  <si>
    <t>2009-10-08 13:00</t>
  </si>
  <si>
    <t>2009-04-09 13:00</t>
  </si>
  <si>
    <t>2009-06-09 11:00</t>
  </si>
  <si>
    <t>2009-07-09 13:00</t>
  </si>
  <si>
    <t>2009-06-10 22:20</t>
  </si>
  <si>
    <t>2009-09-10 13:00</t>
  </si>
  <si>
    <t>2009-11-10 16:30</t>
  </si>
  <si>
    <t>2009-12-10 13:00</t>
  </si>
  <si>
    <t>2009-02-11 11:30</t>
  </si>
  <si>
    <t>2009-06-11 01:01</t>
  </si>
  <si>
    <t>2009-06-11 10:30</t>
  </si>
  <si>
    <t>2009-11-11 11:30</t>
  </si>
  <si>
    <t>2009-12-11 12:00</t>
  </si>
  <si>
    <t>2009-03-12 10:30</t>
  </si>
  <si>
    <t>2009-03-12 19:30</t>
  </si>
  <si>
    <t>2009-06-12 10:45</t>
  </si>
  <si>
    <t>2009-06-12 15:00</t>
  </si>
  <si>
    <t>2009-08-12 11:30</t>
  </si>
  <si>
    <t>2010-04-01 01:00</t>
  </si>
  <si>
    <t>2010-07-01 10:30</t>
  </si>
  <si>
    <t>2010-12-01 11:20</t>
  </si>
  <si>
    <t>2010-12-01 19:40</t>
  </si>
  <si>
    <t>2010-09-02 14:00</t>
  </si>
  <si>
    <t>2010-08-03 11:38</t>
  </si>
  <si>
    <t>2010-09-03 02:45</t>
  </si>
  <si>
    <t>2010-02-04 13:00</t>
  </si>
  <si>
    <t>2010-03-04 13:00</t>
  </si>
  <si>
    <t>2010-10-04 12:25</t>
  </si>
  <si>
    <t>2010-11-04 13:00</t>
  </si>
  <si>
    <t>2010-05-05 10:30</t>
  </si>
  <si>
    <t>2010-08-05 13:00</t>
  </si>
  <si>
    <t>2010-01-07 13:00</t>
  </si>
  <si>
    <t>2010-10-07 13:00</t>
  </si>
  <si>
    <t>2010-03-08 18:00</t>
  </si>
  <si>
    <t>2010-04-08 10:00</t>
  </si>
  <si>
    <t>2010-04-08 13:00</t>
  </si>
  <si>
    <t>2010-07-08 08:25</t>
  </si>
  <si>
    <t>Buckley of Deutsche Bank on U.K. Inflation Report al Exe</t>
  </si>
  <si>
    <t>2010-07-08 13:00</t>
  </si>
  <si>
    <t>2010-10-08 01:00</t>
  </si>
  <si>
    <t>2010-09-09 13:00</t>
  </si>
  <si>
    <t>2010-12-09 12:20</t>
  </si>
  <si>
    <t>2010-12-09 13:00</t>
  </si>
  <si>
    <t>2010-02-10 11:30</t>
  </si>
  <si>
    <t>2010-03-10 11:00</t>
  </si>
  <si>
    <t>2010-05-10 13:00</t>
  </si>
  <si>
    <t>2010-06-10 13:00</t>
  </si>
  <si>
    <t>2010-10-10 01:00</t>
  </si>
  <si>
    <t>2010-11-10 11:30</t>
  </si>
  <si>
    <t>2010-03-11 10:30</t>
  </si>
  <si>
    <t>2010-06-11 10:30</t>
  </si>
  <si>
    <t>2010-08-11 11:30</t>
  </si>
  <si>
    <t>2010-10-11 01:00</t>
  </si>
  <si>
    <t>2010-11-11 01:01</t>
  </si>
  <si>
    <t>2010-01-12 19:30</t>
  </si>
  <si>
    <t>2010-03-12 12:00</t>
  </si>
  <si>
    <t>2010-05-12 11:30</t>
  </si>
  <si>
    <t>2010-10-12 10:00</t>
  </si>
  <si>
    <t>2011-03-01 10:45</t>
  </si>
  <si>
    <t>2011-03-01 12:00</t>
  </si>
  <si>
    <t>2011-06-01 19:35</t>
  </si>
  <si>
    <t>2011-08-01 13:30</t>
  </si>
  <si>
    <t>2011-12-01 11:30</t>
  </si>
  <si>
    <t>2011-05-02 15:00</t>
  </si>
  <si>
    <t>2011-11-02 11:45</t>
  </si>
  <si>
    <t>2011-03-03 14:00</t>
  </si>
  <si>
    <t>2011-10-03 10:30</t>
  </si>
  <si>
    <t>2011-11-03 10:45</t>
  </si>
  <si>
    <t>2011-11-03 11:15</t>
  </si>
  <si>
    <t>2011-08-04 13:00</t>
  </si>
  <si>
    <t>2011-10-04 10:30</t>
  </si>
  <si>
    <t>2011-05-05 13:00</t>
  </si>
  <si>
    <t>05/5</t>
  </si>
  <si>
    <t>2011-05-05 14:30</t>
  </si>
  <si>
    <t>2011-07-05 09:30</t>
  </si>
  <si>
    <t>2011-05-06 11:30</t>
  </si>
  <si>
    <t>2011-09-06 19:30</t>
  </si>
  <si>
    <t>Donald Kohn Speaks at London School of Economics</t>
  </si>
  <si>
    <t>2011-10-06 13:00</t>
  </si>
  <si>
    <t>2011-12-06 10:30</t>
  </si>
  <si>
    <t>2011-04-07 13:00</t>
  </si>
  <si>
    <t>2011-06-07 11:00</t>
  </si>
  <si>
    <t>U.K. FPC Members Cohrs, Clark Speak at Parliament Committee</t>
  </si>
  <si>
    <t>2011-07-07 13:00</t>
  </si>
  <si>
    <t>2011-02-08 11:30</t>
  </si>
  <si>
    <t>2011-07-08 03:45</t>
  </si>
  <si>
    <t>2011-07-08 19:10</t>
  </si>
  <si>
    <t>2011-09-08 12:10</t>
  </si>
  <si>
    <t>Chinese Central Bank Governor Zhou Gives London Briefing</t>
  </si>
  <si>
    <t>2011-09-08 13:00</t>
  </si>
  <si>
    <t>2011-11-08 01:01</t>
  </si>
  <si>
    <t>2011-11-08 13:50</t>
  </si>
  <si>
    <t>CA</t>
  </si>
  <si>
    <t>Bank of Canada Governor Carney Speaks on Liquidity in London</t>
  </si>
  <si>
    <t>2011-12-08 13:00</t>
  </si>
  <si>
    <t>2011-01-09 16:00</t>
  </si>
  <si>
    <t>2011-04-09 20:00</t>
  </si>
  <si>
    <t>2011-06-09 13:00</t>
  </si>
  <si>
    <t>2011-02-10 13:00</t>
  </si>
  <si>
    <t>2011-03-10 13:00</t>
  </si>
  <si>
    <t>2011-05-10 20:00</t>
  </si>
  <si>
    <t>2011-08-10 11:30</t>
  </si>
  <si>
    <t>2011-10-10 19:00</t>
  </si>
  <si>
    <t>2011-11-10 13:00</t>
  </si>
  <si>
    <t>2011-03-11 21:45</t>
  </si>
  <si>
    <t>2011-05-11 11:30</t>
  </si>
  <si>
    <t>2011-05-11 12:30</t>
  </si>
  <si>
    <t>ECB's Stark Speaking in London</t>
  </si>
  <si>
    <t>2011-10-11 17:30</t>
  </si>
  <si>
    <t>2011-05-12 14:00</t>
  </si>
  <si>
    <t>2011-07-12 09:30</t>
  </si>
  <si>
    <t>2011-10-12 20:30</t>
  </si>
  <si>
    <t>ECB's Trichet Speaks in London</t>
  </si>
  <si>
    <t>2012-02-01 20:00</t>
  </si>
  <si>
    <t>2012-03-01 11:00</t>
  </si>
  <si>
    <t>2012-02-02 15:00</t>
  </si>
  <si>
    <t>2012-07-02 01:00</t>
  </si>
  <si>
    <t>2012-08-02 13:00</t>
  </si>
  <si>
    <t>2012-12-03 10:30</t>
  </si>
  <si>
    <t>2012-12-03 13:00</t>
  </si>
  <si>
    <t>ECB's Coeure Speaks in London</t>
  </si>
  <si>
    <t>2012-10-04 13:00</t>
  </si>
  <si>
    <t>2012-04-05 13:00</t>
  </si>
  <si>
    <t>2012-07-05 13:00</t>
  </si>
  <si>
    <t>2012-07-06 10:30</t>
  </si>
  <si>
    <t>2012-09-06 13:00</t>
  </si>
  <si>
    <t>2012-12-06 13:00</t>
  </si>
  <si>
    <t>2012-12-06 18:15</t>
  </si>
  <si>
    <t>2012-06-07 13:00</t>
  </si>
  <si>
    <t>2012-11-07 10:30</t>
  </si>
  <si>
    <t>2012-03-08 13:00</t>
  </si>
  <si>
    <t>2012-05-08 12:00</t>
  </si>
  <si>
    <t>ECB's Honohan Speaks in London</t>
  </si>
  <si>
    <t>2012-08-08</t>
  </si>
  <si>
    <t>Bank of Canada Governor Carney Speaks in the UK</t>
  </si>
  <si>
    <t>2012-08-08 11:30</t>
  </si>
  <si>
    <t>2012-09-08 13:15</t>
  </si>
  <si>
    <t>2012-11-08 13:00</t>
  </si>
  <si>
    <t>2012-02-09 13:00</t>
  </si>
  <si>
    <t>2012-07-09 17:30</t>
  </si>
  <si>
    <t>2012-07-09 19:30</t>
  </si>
  <si>
    <t>2012-10-09 19:30</t>
  </si>
  <si>
    <t>2012-01-10 19:30</t>
  </si>
  <si>
    <t>BOJ's Shirakawa Speaks in London</t>
  </si>
  <si>
    <t>2012-02-10 17:00</t>
  </si>
  <si>
    <t>2012-04-10 01:30</t>
  </si>
  <si>
    <t>2012-05-10 13:00</t>
  </si>
  <si>
    <t>2012-07-10 11:00</t>
  </si>
  <si>
    <t>Barclays' Agius Testifies to Commons Treasury Panel on Libor</t>
  </si>
  <si>
    <t>2012-07-10 22:45</t>
  </si>
  <si>
    <t>Speech by Bob Jenkins at the Worshipful Company of Actuaries</t>
  </si>
  <si>
    <t>2012-10-10 13:00</t>
  </si>
  <si>
    <t>2012-12-10 18:15</t>
  </si>
  <si>
    <t>2012-06-11 16:15</t>
  </si>
  <si>
    <t>2012-09-11 11:00</t>
  </si>
  <si>
    <t>2012-09-11 19:15</t>
  </si>
  <si>
    <t>2012-12-11 16:15</t>
  </si>
  <si>
    <t>2012-01-12 13:00</t>
  </si>
  <si>
    <t>2012-03-12 20:15</t>
  </si>
  <si>
    <t>2012-04-12 20:00</t>
  </si>
  <si>
    <t>2012-06-12 19:05</t>
  </si>
  <si>
    <t>2012-09-12 13:00</t>
  </si>
  <si>
    <t>2012-10-12</t>
  </si>
  <si>
    <t>IMF Hosts Plenary Session of the Annual Meeting</t>
  </si>
  <si>
    <t>2012-10-12 07:45</t>
  </si>
  <si>
    <t>2012-11-12</t>
  </si>
  <si>
    <t>BoE's Haldane and IMF's Lipton Speak at Economic Conference</t>
  </si>
  <si>
    <t>2012-11-12 10:30</t>
  </si>
  <si>
    <t>2012-12-12 11:45</t>
  </si>
  <si>
    <t>2012-12-12 15:00</t>
  </si>
  <si>
    <t>2013-05-01 20:00</t>
  </si>
  <si>
    <t>2013-05-01 22:00</t>
  </si>
  <si>
    <t>2013-07-01</t>
  </si>
  <si>
    <t>2013-08-01 13:00</t>
  </si>
  <si>
    <t>2013-10-01 10:35</t>
  </si>
  <si>
    <t>2013-10-01 12:30</t>
  </si>
  <si>
    <t>2013-10-01 16:30</t>
  </si>
  <si>
    <t>BoE Chief Economist Dale Speaks at Milken Institute</t>
  </si>
  <si>
    <t>2013-05-02 00:05</t>
  </si>
  <si>
    <t>Bank of Canada Governor Carney Speaks at University of Alberta</t>
  </si>
  <si>
    <t>2013-07-02 11:00</t>
  </si>
  <si>
    <t>2013-08-02 01:01</t>
  </si>
  <si>
    <t>U.K.'s Niesr Publishes Quarterly Economic Forecasts</t>
  </si>
  <si>
    <t>2013-09-02 10:30</t>
  </si>
  <si>
    <t>2013-09-02 13:30</t>
  </si>
  <si>
    <t>2013-10-02 10:30</t>
  </si>
  <si>
    <t>2013-10-02 14:15</t>
  </si>
  <si>
    <t>PRA Deputy CEO Julian Adams Speaks in London.</t>
  </si>
  <si>
    <t>2013-12-02 10:30</t>
  </si>
  <si>
    <t>2013-04-03 10:30</t>
  </si>
  <si>
    <t>2013-04-03 12:00</t>
  </si>
  <si>
    <t>2013-05-03 19:05</t>
  </si>
  <si>
    <t>Bank of Canada's Carney Gives Panel Remarks in Toronto</t>
  </si>
  <si>
    <t>2013-06-03 22:00</t>
  </si>
  <si>
    <t>2013-07-03 10:30</t>
  </si>
  <si>
    <t>2013-10-03 10:30</t>
  </si>
  <si>
    <t>2013-12-03 10:30</t>
  </si>
  <si>
    <t>2013-04-04 13:00</t>
  </si>
  <si>
    <t>2013-06-04 11:00</t>
  </si>
  <si>
    <t>2013-07-04 13:00</t>
  </si>
  <si>
    <t>2013-09-04 19:00</t>
  </si>
  <si>
    <t>2013-11-04 16:40</t>
  </si>
  <si>
    <t>2013-02-05 16:30</t>
  </si>
  <si>
    <t>2013-04-05 10:00</t>
  </si>
  <si>
    <t>2013-04-05 10:30</t>
  </si>
  <si>
    <t>2013-09-05 13:00</t>
  </si>
  <si>
    <t>2013-12-05 13:00</t>
  </si>
  <si>
    <t>2013-01-06 17:00</t>
  </si>
  <si>
    <t>2013-03-06 10:45</t>
  </si>
  <si>
    <t>2013-06-06 13:00</t>
  </si>
  <si>
    <t>2013-09-06 10:30</t>
  </si>
  <si>
    <t>2013-11-06 18:00</t>
  </si>
  <si>
    <t>2013-02-07 10:45</t>
  </si>
  <si>
    <t>2013-02-07 13:00</t>
  </si>
  <si>
    <t>2013-02-07 20:00</t>
  </si>
  <si>
    <t>2013-03-07 13:00</t>
  </si>
  <si>
    <t>2013-08-07 11:30</t>
  </si>
  <si>
    <t>2013-11-07 13:00</t>
  </si>
  <si>
    <t>2013-02-08 17:30</t>
  </si>
  <si>
    <t>2013-10-08 11:00</t>
  </si>
  <si>
    <t>2013-04-09 21:00</t>
  </si>
  <si>
    <t>2013-05-09 13:00</t>
  </si>
  <si>
    <t>2013-07-09 16:30</t>
  </si>
  <si>
    <t>2013-07-09 17:00</t>
  </si>
  <si>
    <t>ECB's Asmussen speaks in London</t>
  </si>
  <si>
    <t>2013-12-09 18:20</t>
  </si>
  <si>
    <t>US</t>
  </si>
  <si>
    <t>2013-01-10 13:00</t>
  </si>
  <si>
    <t>2013-04-10 01:00</t>
  </si>
  <si>
    <t>2013-10-10 13:00</t>
  </si>
  <si>
    <t>2013-01-11 10:00</t>
  </si>
  <si>
    <t>2013-02-11 12:00</t>
  </si>
  <si>
    <t>Group of 30 Global Economy Report Released by Trichet</t>
  </si>
  <si>
    <t>2013-03-11 10:45</t>
  </si>
  <si>
    <t>2013-04-11 15:00</t>
  </si>
  <si>
    <t>2013-07-11 10:30</t>
  </si>
  <si>
    <t>2013-09-11 17:30</t>
  </si>
  <si>
    <t>2013-10-11 12:50</t>
  </si>
  <si>
    <t>2013-10-11 15:00</t>
  </si>
  <si>
    <t>2013-11-11 15:30</t>
  </si>
  <si>
    <t>EBA's Farkas Speaks in London</t>
  </si>
  <si>
    <t>2013-12-11 14:00</t>
  </si>
  <si>
    <t>2013-06-12 10:30</t>
  </si>
  <si>
    <t>FPC's Donald Kohn Speaks at U.K. Treasury Committee</t>
  </si>
  <si>
    <t>2013-06-12 11:00</t>
  </si>
  <si>
    <t>2013-06-12 22:10</t>
  </si>
  <si>
    <t>2013-09-12 11:00</t>
  </si>
  <si>
    <t>2013-10-12 16:00</t>
  </si>
  <si>
    <t>2013-11-12 13:00</t>
  </si>
  <si>
    <t>2013-11-12 17:00</t>
  </si>
  <si>
    <t>ECB's Asmussen Speaks in London</t>
  </si>
  <si>
    <t>2013-12-12 10:00</t>
  </si>
  <si>
    <t>2014-04-01 11:05</t>
  </si>
  <si>
    <t>2014-05-01 19:30</t>
  </si>
  <si>
    <t>2014-07-01 10:30</t>
  </si>
  <si>
    <t>2014-10-01 13:00</t>
  </si>
  <si>
    <t>2014-10-01 19:30</t>
  </si>
  <si>
    <t>2014-04-02 13:45</t>
  </si>
  <si>
    <t>2014-07-02 18:00</t>
  </si>
  <si>
    <t>2014-10-02 10:30</t>
  </si>
  <si>
    <t>2014-01-03 16:15</t>
  </si>
  <si>
    <t>2014-04-03 10:30</t>
  </si>
  <si>
    <t>2014-06-03 07:15</t>
  </si>
  <si>
    <t>2014-07-03 13:00</t>
  </si>
  <si>
    <t>2014-01-04 14:00</t>
  </si>
  <si>
    <t>2014-02-04 16:30</t>
  </si>
  <si>
    <t>2014-03-04 11:30</t>
  </si>
  <si>
    <t>2014-04-04 10:15</t>
  </si>
  <si>
    <t>2014-06-04 12:00</t>
  </si>
  <si>
    <t>2014-06-04 19:30</t>
  </si>
  <si>
    <t>2014-09-04 13:00</t>
  </si>
  <si>
    <t>2014-11-04 11:35</t>
  </si>
  <si>
    <t>2014-12-04 13:00</t>
  </si>
  <si>
    <t>2014-12-04 15:00</t>
  </si>
  <si>
    <t>2014-03-05 15:30</t>
  </si>
  <si>
    <t>2014-06-05 13:00</t>
  </si>
  <si>
    <t>2014-03-06 13:00</t>
  </si>
  <si>
    <t>2014-06-06 10:50</t>
  </si>
  <si>
    <t>ECB's Constancio, Fed's Powell Speak in London</t>
  </si>
  <si>
    <t>2014-10-06 11:30</t>
  </si>
  <si>
    <t>2014-11-06 13:00</t>
  </si>
  <si>
    <t>2014-05-07 19:30</t>
  </si>
  <si>
    <t>2014-07-07 11:00</t>
  </si>
  <si>
    <t>PRA and FCA publish review of bank industry entry requirements</t>
  </si>
  <si>
    <t>2014-08-07 13:00</t>
  </si>
  <si>
    <t>2014-10-07 10:30</t>
  </si>
  <si>
    <t>2014-11-07 11:15</t>
  </si>
  <si>
    <t>2014-05-08 13:00</t>
  </si>
  <si>
    <t>2014-12-08 12:15</t>
  </si>
  <si>
    <t>2014-12-08 19:30</t>
  </si>
  <si>
    <t>2014-01-09 13:00</t>
  </si>
  <si>
    <t>2014-07-09 15:15</t>
  </si>
  <si>
    <t>2014-07-09 20:30</t>
  </si>
  <si>
    <t>ECB President Mario Draghi speaks in London</t>
  </si>
  <si>
    <t>2014-09-09 12:45</t>
  </si>
  <si>
    <t>2014-10-09 13:00</t>
  </si>
  <si>
    <t>2014-03-10 14:15</t>
  </si>
  <si>
    <t>2014-04-10 13:00</t>
  </si>
  <si>
    <t>2014-07-10 09:30</t>
  </si>
  <si>
    <t>2014-07-10 13:00</t>
  </si>
  <si>
    <t>2014-09-10 15:45</t>
  </si>
  <si>
    <t>2014-10-10 10:30</t>
  </si>
  <si>
    <t>2014-10-10 15:00</t>
  </si>
  <si>
    <t>2014-10-10 16:00</t>
  </si>
  <si>
    <t>2014-10-10 21:00</t>
  </si>
  <si>
    <t>2014-11-10 07:45</t>
  </si>
  <si>
    <t>2014-12-10 09:00</t>
  </si>
  <si>
    <t>2014-03-11 13:45</t>
  </si>
  <si>
    <t>2014-05-11 18:45</t>
  </si>
  <si>
    <t>2014-06-11 15:45</t>
  </si>
  <si>
    <t>2014-07-11 11:00</t>
  </si>
  <si>
    <t>2014-10-11 15:30</t>
  </si>
  <si>
    <t>2014-12-11 11:00</t>
  </si>
  <si>
    <t>2014-01-12</t>
  </si>
  <si>
    <t>Central Bank and Regulatory Chiefs Meet in Basel</t>
  </si>
  <si>
    <t>2014-02-12 11:30</t>
  </si>
  <si>
    <t>2014-06-12 20:00</t>
  </si>
  <si>
    <t>2014-10-12 14:00</t>
  </si>
  <si>
    <t>2014-10-12 15:20</t>
  </si>
  <si>
    <t>2014-11-12 11:30</t>
  </si>
  <si>
    <t>2015-07-01 11:30</t>
  </si>
  <si>
    <t>2015-09-01 14:00</t>
  </si>
  <si>
    <t>ECB SSM Board Member Julie Dickson Speaks in London</t>
  </si>
  <si>
    <t>2015-10-01 10:30</t>
  </si>
  <si>
    <t>2015-12-01 08:00</t>
  </si>
  <si>
    <t>2015-12-01 09:00</t>
  </si>
  <si>
    <t>2015-07-02 10:05</t>
  </si>
  <si>
    <t>2015-02-03 11:00</t>
  </si>
  <si>
    <t>2015-03-03 11:00</t>
  </si>
  <si>
    <t>2015-03-04 15:45</t>
  </si>
  <si>
    <t>2015-06-04 13:00</t>
  </si>
  <si>
    <t>2015-02-05 13:00</t>
  </si>
  <si>
    <t>2015-03-05 13:00</t>
  </si>
  <si>
    <t>2015-11-05 13:00</t>
  </si>
  <si>
    <t>2015-11-05 13:45</t>
  </si>
  <si>
    <t>2015-08-06 13:00</t>
  </si>
  <si>
    <t>2015-08-06 13:45</t>
  </si>
  <si>
    <t>2015-04-07 10:30</t>
  </si>
  <si>
    <t>2015-06-07 09:30</t>
  </si>
  <si>
    <t>Martin Weale speaks in Geneva</t>
  </si>
  <si>
    <t>2015-09-07 11:15</t>
  </si>
  <si>
    <t>2015-12-07 15:00</t>
  </si>
  <si>
    <t>2015-01-08 13:00</t>
  </si>
  <si>
    <t>2015-07-08 10:30</t>
  </si>
  <si>
    <t>2015-10-08 13:00</t>
  </si>
  <si>
    <t>2015-10-08 18:30</t>
  </si>
  <si>
    <t>2015-10-08 20:00</t>
  </si>
  <si>
    <t>2015-02-09 07:40</t>
  </si>
  <si>
    <t>2015-03-09 15:15</t>
  </si>
  <si>
    <t>2015-04-09 13:00</t>
  </si>
  <si>
    <t>2015-07-09 13:00</t>
  </si>
  <si>
    <t>2015-09-09 15:15</t>
  </si>
  <si>
    <t>2015-11-09 08:30</t>
  </si>
  <si>
    <t>2015-12-09 10:30</t>
  </si>
  <si>
    <t>2015-03-10 15:35</t>
  </si>
  <si>
    <t>2015-03-10 19:00</t>
  </si>
  <si>
    <t>2015-03-10 19:30</t>
  </si>
  <si>
    <t>2015-06-10 18:00</t>
  </si>
  <si>
    <t>2015-06-10 22:00</t>
  </si>
  <si>
    <t>2015-09-10 13:00</t>
  </si>
  <si>
    <t>2015-10-10 21:00</t>
  </si>
  <si>
    <t>2015-11-10 18:30</t>
  </si>
  <si>
    <t>2015-12-10 13:00</t>
  </si>
  <si>
    <t>2015-12-10 19:30</t>
  </si>
  <si>
    <t>2015-02-11 14:50</t>
  </si>
  <si>
    <t>2015-03-11 12:00</t>
  </si>
  <si>
    <t>2015-03-11 16:00</t>
  </si>
  <si>
    <t>2015-05-11 13:00</t>
  </si>
  <si>
    <t>11/5</t>
  </si>
  <si>
    <t>2015-09-11 13:30</t>
  </si>
  <si>
    <t>2015-11-11 10:00</t>
  </si>
  <si>
    <t>2015-11-11 12:10</t>
  </si>
  <si>
    <t>2015-11-11 14:15</t>
  </si>
  <si>
    <t>2015-11-11 15:10</t>
  </si>
  <si>
    <t>2015-11-11 16:45</t>
  </si>
  <si>
    <t>2015-11-11 18:00</t>
  </si>
  <si>
    <t>2015-12-11 16:35</t>
  </si>
  <si>
    <t>2015-02-12 10:05</t>
  </si>
  <si>
    <t>ECB's Peter Praet Delivers a Speech</t>
  </si>
  <si>
    <t>2015-02-12 11:30</t>
  </si>
  <si>
    <t>2015-02-12 19:10</t>
  </si>
  <si>
    <t>ECB's Constancio Speaks in London</t>
  </si>
  <si>
    <t>2015-02-12 19:15</t>
  </si>
  <si>
    <t>Bundesbank's Weidmann Speaks in London</t>
  </si>
  <si>
    <t>2015-02-12 20:00</t>
  </si>
  <si>
    <t>2015-03-12 01:05</t>
  </si>
  <si>
    <t>2015-03-12 13:45</t>
  </si>
  <si>
    <t>2015-10-12 15:00</t>
  </si>
  <si>
    <t>2015-11-12 18:00</t>
  </si>
  <si>
    <t>2016-03-02 11:00</t>
  </si>
  <si>
    <t>2016-03-02 15:00</t>
  </si>
  <si>
    <t>2016-06-02 15:00</t>
  </si>
  <si>
    <t>2016-08-02 11:40</t>
  </si>
  <si>
    <t>BOE Indexed Long-Term Repo Operation Results</t>
  </si>
  <si>
    <t>2016-12-02 13:40</t>
  </si>
  <si>
    <t>2016-03-03 18:45</t>
  </si>
  <si>
    <t>2016-10-03 15:50</t>
  </si>
  <si>
    <t>2016-11-03 13:00</t>
  </si>
  <si>
    <t>03/11</t>
  </si>
  <si>
    <t>2016-11-03 13:30</t>
  </si>
  <si>
    <t>2016-11-03 21:55</t>
  </si>
  <si>
    <t>2016-02-04 13:00</t>
  </si>
  <si>
    <t>2016-02-04 13:30</t>
  </si>
  <si>
    <t>2016-04-04 17:00</t>
  </si>
  <si>
    <t>U.K. PRA's Moulder Speaks at Insurance Forum in London</t>
  </si>
  <si>
    <t>2016-08-04 13:00</t>
  </si>
  <si>
    <t>2016-08-04 13:30</t>
  </si>
  <si>
    <t>2016-10-04 15:50</t>
  </si>
  <si>
    <t>2016-10-04 17:00</t>
  </si>
  <si>
    <t>2016-11-04 21:00</t>
  </si>
  <si>
    <t>2016-04-05 10:30</t>
  </si>
  <si>
    <t>2016-07-05 11:30</t>
  </si>
  <si>
    <t>2016-07-05 11:40</t>
  </si>
  <si>
    <t>2016-07-05 12:00</t>
  </si>
  <si>
    <t>2016-09-05 15:50</t>
  </si>
  <si>
    <t>2016-10-05 10:30</t>
  </si>
  <si>
    <t>2016-10-05 15:50</t>
  </si>
  <si>
    <t>2016-12-05 15:50</t>
  </si>
  <si>
    <t>2016-12-05 18:00</t>
  </si>
  <si>
    <t>2016-09-06 11:40</t>
  </si>
  <si>
    <t>2016-09-06 15:50</t>
  </si>
  <si>
    <t>2016-12-06 15:50</t>
  </si>
  <si>
    <t>2016-03-07 10:10</t>
  </si>
  <si>
    <t>2016-03-07 21:00</t>
  </si>
  <si>
    <t>2016-06-07 23:00</t>
  </si>
  <si>
    <t>2016-09-07 15:15</t>
  </si>
  <si>
    <t>2016-09-07 15:50</t>
  </si>
  <si>
    <t>2016-11-07 11:45</t>
  </si>
  <si>
    <t>2016-12-07 15:50</t>
  </si>
  <si>
    <t>2016-01-08 01:01</t>
  </si>
  <si>
    <t>2016-03-08 10:15</t>
  </si>
  <si>
    <t>2016-03-08 18:00</t>
  </si>
  <si>
    <t>2016-11-08 18:00</t>
  </si>
  <si>
    <t>2016-02-09 10:30</t>
  </si>
  <si>
    <t>2016-03-09 10:00</t>
  </si>
  <si>
    <t>2016-03-09 15:15</t>
  </si>
  <si>
    <t>2016-03-09 16:15</t>
  </si>
  <si>
    <t>2016-08-09 11:40</t>
  </si>
  <si>
    <t>2016-11-09 10:15</t>
  </si>
  <si>
    <t>2016-11-09 19:00</t>
  </si>
  <si>
    <t>2016-10-10 15:50</t>
  </si>
  <si>
    <t>2016-11-10 18:00</t>
  </si>
  <si>
    <t>2016-02-11 12:30</t>
  </si>
  <si>
    <t>2016-04-11 12:05</t>
  </si>
  <si>
    <t>2016-10-11 11:00</t>
  </si>
  <si>
    <t>2016-10-11 12:00</t>
  </si>
  <si>
    <t>2016-10-11 15:50</t>
  </si>
  <si>
    <t>2016-01-12 15:15</t>
  </si>
  <si>
    <t>2016-04-12 12:20</t>
  </si>
  <si>
    <t>U.K. PRA's Moulder Speaks at Market Forum in London</t>
  </si>
  <si>
    <t>2016-05-12 13:00</t>
  </si>
  <si>
    <t>12/5</t>
  </si>
  <si>
    <t>2016-05-12 13:30</t>
  </si>
  <si>
    <t>2016-07-12 11:00</t>
  </si>
  <si>
    <t>2016-07-12 11:40</t>
  </si>
  <si>
    <t>2016-09-12 15:50</t>
  </si>
  <si>
    <t>2016-10-12 11:00</t>
  </si>
  <si>
    <t>2016-10-12 15:50</t>
  </si>
  <si>
    <t>2016-12-12 15:50</t>
  </si>
  <si>
    <t>2017-02-01 15:50</t>
  </si>
  <si>
    <t>2017-03-01 15:50</t>
  </si>
  <si>
    <t>2017-11-01 11:00</t>
  </si>
  <si>
    <t>2017-02-02 13:00</t>
  </si>
  <si>
    <t>02/2</t>
  </si>
  <si>
    <t>2017-02-02 13:30</t>
  </si>
  <si>
    <t>2017-10-02 12:15</t>
  </si>
  <si>
    <t>Denmark's Rohde Speaks At A Conference</t>
  </si>
  <si>
    <t>2017-10-02 15:00</t>
  </si>
  <si>
    <t>ECB's Praet Speaks in London</t>
  </si>
  <si>
    <t>2017-11-02 13:00</t>
  </si>
  <si>
    <t>02/11</t>
  </si>
  <si>
    <t>2017-11-02 13:30</t>
  </si>
  <si>
    <t>2017-07-03 10:30</t>
  </si>
  <si>
    <t>Fed's Bullard Speaks at BoE Conference in London</t>
  </si>
  <si>
    <t>2017-07-03 14:00</t>
  </si>
  <si>
    <t>2017-08-03 13:00</t>
  </si>
  <si>
    <t>2017-08-03 13:30</t>
  </si>
  <si>
    <t>2017-10-03 10:30</t>
  </si>
  <si>
    <t>Record of the Financial Policy Committee's September meeting</t>
  </si>
  <si>
    <t>2017-09-04 10:30</t>
  </si>
  <si>
    <t>2017-01-05 14:00</t>
  </si>
  <si>
    <t>2017-04-05 14:30</t>
  </si>
  <si>
    <t>2017-10-05 18:00</t>
  </si>
  <si>
    <t>2017-10-05 19:30</t>
  </si>
  <si>
    <t>2017-02-06 15:50</t>
  </si>
  <si>
    <t>2017-03-06 10:30</t>
  </si>
  <si>
    <t>2017-03-06 12:30</t>
  </si>
  <si>
    <t>2017-03-06 15:50</t>
  </si>
  <si>
    <t>2017-10-06 14:00</t>
  </si>
  <si>
    <t>2017-02-07 15:00</t>
  </si>
  <si>
    <t>2017-02-07 15:50</t>
  </si>
  <si>
    <t>2017-03-07 15:50</t>
  </si>
  <si>
    <t>2017-04-07 11:00</t>
  </si>
  <si>
    <t>2017-11-07 19:30</t>
  </si>
  <si>
    <t>2017-02-08 14:00</t>
  </si>
  <si>
    <t>2017-02-08 15:50</t>
  </si>
  <si>
    <t>2017-07-08 11:45</t>
  </si>
  <si>
    <t>2017-11-08 12:50</t>
  </si>
  <si>
    <t>2017-01-09 15:50</t>
  </si>
  <si>
    <t>2017-02-09 19:30</t>
  </si>
  <si>
    <t>2017-08-09 10:30</t>
  </si>
  <si>
    <t>2017-11-09 09:15</t>
  </si>
  <si>
    <t>2017-01-10 15:50</t>
  </si>
  <si>
    <t>2017-11-10 13:30</t>
  </si>
  <si>
    <t>ECB's Mersch Speaks in Windsor, England</t>
  </si>
  <si>
    <t>2017-01-11 15:15</t>
  </si>
  <si>
    <t>2017-01-11 15:50</t>
  </si>
  <si>
    <t>2017-02-11 12:30</t>
  </si>
  <si>
    <t>Fed's Fischer to Address Economics Conference in U.K.</t>
  </si>
  <si>
    <t>2017-05-11 13:00</t>
  </si>
  <si>
    <t>2017-05-11 13:30</t>
  </si>
  <si>
    <t>2017-07-11 11:00</t>
  </si>
  <si>
    <t>2017-07-11 14:30</t>
  </si>
  <si>
    <t>2017-04-12 10:30</t>
  </si>
  <si>
    <t>2017-09-12 11:20</t>
  </si>
  <si>
    <t>2017-10-12 21:45</t>
  </si>
  <si>
    <t>2018-02-01 18:30</t>
  </si>
  <si>
    <t>2018-10-01 16:50</t>
  </si>
  <si>
    <t>2018-11-01 13:00</t>
  </si>
  <si>
    <t>01/11</t>
  </si>
  <si>
    <t>2018-11-01 13:30</t>
  </si>
  <si>
    <t>2018-03-02 11:00</t>
  </si>
  <si>
    <t>2018-05-02 14:00</t>
  </si>
  <si>
    <t>Riksbank Governor Ingves Gives Speech in London</t>
  </si>
  <si>
    <t>2018-08-02 13:00</t>
  </si>
  <si>
    <t>2018-08-02 13:30</t>
  </si>
  <si>
    <t>2018-10-02 10:45</t>
  </si>
  <si>
    <t>2018-10-02 12:35</t>
  </si>
  <si>
    <t>2018-02-03 11:50</t>
  </si>
  <si>
    <t>Riksbank's Skingsley Gives Speech in Coventry, U.K.</t>
  </si>
  <si>
    <t>2018-12-03 16:00</t>
  </si>
  <si>
    <t>FCA Chief Executive Bailey Speaks in U.K. Parliament</t>
  </si>
  <si>
    <t>2018-06-04 19:00</t>
  </si>
  <si>
    <t>2018-07-04 10:05</t>
  </si>
  <si>
    <t>2018-07-04 12:55</t>
  </si>
  <si>
    <t>2018-09-04 14:15</t>
  </si>
  <si>
    <t>2018-12-04 10:15</t>
  </si>
  <si>
    <t>2018-12-04 19:00</t>
  </si>
  <si>
    <t>2018-06-05 12:00</t>
  </si>
  <si>
    <t>2018-07-05 12:00</t>
  </si>
  <si>
    <t>2018-03-06 19:15</t>
  </si>
  <si>
    <t>2018-04-06 17:15</t>
  </si>
  <si>
    <t>2018-06-06 17:00</t>
  </si>
  <si>
    <t>2018-12-06 11:00</t>
  </si>
  <si>
    <t>2018-06-07 17:00</t>
  </si>
  <si>
    <t>2018-08-07 17:00</t>
  </si>
  <si>
    <t>2018-02-08 13:00</t>
  </si>
  <si>
    <t>2018-02-08 13:30</t>
  </si>
  <si>
    <t>2018-02-09 17:45</t>
  </si>
  <si>
    <t>2018-07-09 09:50</t>
  </si>
  <si>
    <t>2018-10-09 16:35</t>
  </si>
  <si>
    <t>2018-11-09 19:30</t>
  </si>
  <si>
    <t>2018-04-10 11:30</t>
  </si>
  <si>
    <t>2018-05-10 13:00</t>
  </si>
  <si>
    <t>2018-05-10 13:30</t>
  </si>
  <si>
    <t>2018-07-10 11:25</t>
  </si>
  <si>
    <t>2018-10-10 11:10</t>
  </si>
  <si>
    <t>2018-09-11 13:45</t>
  </si>
  <si>
    <t>2018-10-11 11:00</t>
  </si>
  <si>
    <t>2018-02-12 10:30</t>
  </si>
  <si>
    <t>2018-02-12 17:30</t>
  </si>
  <si>
    <t>2018-04-12 08:30</t>
  </si>
  <si>
    <t>2018-04-12 21:00</t>
  </si>
  <si>
    <t>2018-09-12 10:30</t>
  </si>
  <si>
    <t>Riksbank Governor Ingves at Conference</t>
  </si>
  <si>
    <t>2019-05-01 15:15</t>
  </si>
  <si>
    <t>2019-08-01 13:00</t>
  </si>
  <si>
    <t>2019-08-01 13:30</t>
  </si>
  <si>
    <t>2019-05-02 13:00</t>
  </si>
  <si>
    <t>02/5</t>
  </si>
  <si>
    <t>2019-05-02 13:30</t>
  </si>
  <si>
    <t>2019-07-02 16:05</t>
  </si>
  <si>
    <t>2019-07-03 12:00</t>
  </si>
  <si>
    <t>2019-07-03 14:15</t>
  </si>
  <si>
    <t>2019-10-03 16:00</t>
  </si>
  <si>
    <t>2019-09-04 15:15</t>
  </si>
  <si>
    <t>2019-03-05 10:30</t>
  </si>
  <si>
    <t>2019-03-05 16:35</t>
  </si>
  <si>
    <t>2019-06-05 09:45</t>
  </si>
  <si>
    <t>2019-09-05 16:30</t>
  </si>
  <si>
    <t>2019-03-06 13:15</t>
  </si>
  <si>
    <t>2019-03-06 18:30</t>
  </si>
  <si>
    <t>2019-06-06 11:00</t>
  </si>
  <si>
    <t>2019-02-07 13:00</t>
  </si>
  <si>
    <t>2019-02-07 13:30</t>
  </si>
  <si>
    <t>2019-03-07 10:00</t>
  </si>
  <si>
    <t>2019-05-07 11:20</t>
  </si>
  <si>
    <t>2019-05-07 18:30</t>
  </si>
  <si>
    <t>2019-11-07 13:00</t>
  </si>
  <si>
    <t>2019-11-07 13:30</t>
  </si>
  <si>
    <t>2019-05-08 10:15</t>
  </si>
  <si>
    <t>2019-10-08 06:00</t>
  </si>
  <si>
    <t>2019-10-08 11:30</t>
  </si>
  <si>
    <t>2019-01-09 16:30</t>
  </si>
  <si>
    <t>2019-09-09 10:00</t>
  </si>
  <si>
    <t>2019-04-10 17:05</t>
  </si>
  <si>
    <t>2019-04-10 21:45</t>
  </si>
  <si>
    <t>2019-06-10 11:30</t>
  </si>
  <si>
    <t>2019-06-10 19:00</t>
  </si>
  <si>
    <t>2019-07-10 19:10</t>
  </si>
  <si>
    <t>2019-09-10 14:00</t>
  </si>
  <si>
    <t>2019-03-11 14:00</t>
  </si>
  <si>
    <t>2019-04-11 18:30</t>
  </si>
  <si>
    <t>2019-04-11 20:15</t>
  </si>
  <si>
    <t>2019-06-11 11:00</t>
  </si>
  <si>
    <t>2019-07-11 11:30</t>
  </si>
  <si>
    <t>2019-07-11 12:00</t>
  </si>
  <si>
    <t>2019-02-12 14:00</t>
  </si>
  <si>
    <t>2019-04-12 18:30</t>
  </si>
  <si>
    <t>2019-07-12 10:00</t>
  </si>
  <si>
    <t>2020-07-01 13:00</t>
  </si>
  <si>
    <t>2020-10-01 12:20</t>
  </si>
  <si>
    <t>2020-12-01 15:00</t>
  </si>
  <si>
    <t>2020-09-02 15:00</t>
  </si>
  <si>
    <t>2020-09-02 16:30</t>
  </si>
  <si>
    <t>2020-12-02 19:00</t>
  </si>
  <si>
    <t>2020-03-03 10:30</t>
  </si>
  <si>
    <t>2020-09-03 16:00</t>
  </si>
  <si>
    <t>2020-03-04 15:15</t>
  </si>
  <si>
    <t>2020-03-04 19:00</t>
  </si>
  <si>
    <t>2020-09-04 11:30</t>
  </si>
  <si>
    <t>2020-12-04 10:30</t>
  </si>
  <si>
    <t>2020-12-04 14:45</t>
  </si>
  <si>
    <t>2020-01-05 11:15</t>
  </si>
  <si>
    <t>2020-03-05 18:00</t>
  </si>
  <si>
    <t>2020-10-05 10:30</t>
  </si>
  <si>
    <t>2020-10-05 15:25</t>
  </si>
  <si>
    <t>2020-11-05 08:00</t>
  </si>
  <si>
    <t>2020-08-06 08:00</t>
  </si>
  <si>
    <t>2020-11-06 13:15</t>
  </si>
  <si>
    <t>2020-05-07 08:00</t>
  </si>
  <si>
    <t>2020-05-07 11:00</t>
  </si>
  <si>
    <t>2020-07-07 19:00</t>
  </si>
  <si>
    <t>2020-09-07 16:15</t>
  </si>
  <si>
    <t>2020-01-08 11:30</t>
  </si>
  <si>
    <t>2020-10-08 09:25</t>
  </si>
  <si>
    <t>2020-01-09 10:30</t>
  </si>
  <si>
    <t>2020-10-09 16:30</t>
  </si>
  <si>
    <t>2020-11-09 11:35</t>
  </si>
  <si>
    <t>2020-11-09 15:00</t>
  </si>
  <si>
    <t>2020-01-10 10:30</t>
  </si>
  <si>
    <t>2020-02-11 12:30</t>
  </si>
  <si>
    <t>2020-02-11 16:35</t>
  </si>
  <si>
    <t>2020-02-11 18:00</t>
  </si>
  <si>
    <t>2020-03-11 08:01</t>
  </si>
  <si>
    <t>11/3</t>
  </si>
  <si>
    <t>2020-05-11 14:00</t>
  </si>
  <si>
    <t>2020-12-11 08:00</t>
  </si>
  <si>
    <t>2020-10-12 10:00</t>
  </si>
  <si>
    <t>2020-10-12 16:00</t>
  </si>
  <si>
    <t>2020-10-12 18:00</t>
  </si>
  <si>
    <t>2020-11-12 09:00</t>
  </si>
  <si>
    <t>2020-11-12 17:00</t>
  </si>
  <si>
    <t>2020-11-12 17:45</t>
  </si>
  <si>
    <t>2000-01-13 13:00</t>
  </si>
  <si>
    <t>13/1</t>
  </si>
  <si>
    <t>2005-01-13 13:00</t>
  </si>
  <si>
    <t>2011-01-13 13:00</t>
  </si>
  <si>
    <t>2014-01-13 15:00</t>
  </si>
  <si>
    <t>2017-01-13 10:30</t>
  </si>
  <si>
    <t>1998-01-14 10:30</t>
  </si>
  <si>
    <t>2015-01-14 15:15</t>
  </si>
  <si>
    <t>2016-01-14 11:30</t>
  </si>
  <si>
    <t>2016-01-14 12:00</t>
  </si>
  <si>
    <t>2016-01-14 13:00</t>
  </si>
  <si>
    <t>14/1</t>
  </si>
  <si>
    <t>2000-01-15 08:00</t>
  </si>
  <si>
    <t>2013-01-15 11:00</t>
  </si>
  <si>
    <t>2014-01-15 15:15</t>
  </si>
  <si>
    <t>2018-01-15 19:15</t>
  </si>
  <si>
    <t>2020-01-15 09:40</t>
  </si>
  <si>
    <t>2006-01-16 21:20</t>
  </si>
  <si>
    <t>2007-01-16 13:00</t>
  </si>
  <si>
    <t>2009-01-16 09:30</t>
  </si>
  <si>
    <t>2017-01-16 15:50</t>
  </si>
  <si>
    <t>2017-01-16 19:30</t>
  </si>
  <si>
    <t>2018-01-16 10:15</t>
  </si>
  <si>
    <t>Woods, Boss and Yallop testify on PRA before U.K. lawmakers.</t>
  </si>
  <si>
    <t>2019-01-16 10:15</t>
  </si>
  <si>
    <t>2012-01-17 11:00</t>
  </si>
  <si>
    <t>2012-01-17 19:30</t>
  </si>
  <si>
    <t>2014-01-17 13:15</t>
  </si>
  <si>
    <t>2017-01-17 15:50</t>
  </si>
  <si>
    <t>2018-01-17 12:45</t>
  </si>
  <si>
    <t>2000-01-18</t>
  </si>
  <si>
    <t>2013-01-18 13:00</t>
  </si>
  <si>
    <t>2016-01-18 19:30</t>
  </si>
  <si>
    <t>2017-01-18 15:50</t>
  </si>
  <si>
    <t>1998-01-19 18:00</t>
  </si>
  <si>
    <t>2000-01-19</t>
  </si>
  <si>
    <t>2001-01-19 10:30</t>
  </si>
  <si>
    <t>M4 Provisional Estimate</t>
  </si>
  <si>
    <t>2004-01-19 17:00</t>
  </si>
  <si>
    <t>EU's Prodi Speaks at London School of Economics</t>
  </si>
  <si>
    <t>2010-01-19 20:00</t>
  </si>
  <si>
    <t>2011-01-19 18:00</t>
  </si>
  <si>
    <t>2016-01-19 13:00</t>
  </si>
  <si>
    <t>1998-01-20 11:45</t>
  </si>
  <si>
    <t>2003-01-20 22:00</t>
  </si>
  <si>
    <t>2005-01-20 21:00</t>
  </si>
  <si>
    <t>2009-01-20 21:00</t>
  </si>
  <si>
    <t>2009-01-20 21:15</t>
  </si>
  <si>
    <t>2010-01-20 10:30</t>
  </si>
  <si>
    <t>2010-01-20 16:30</t>
  </si>
  <si>
    <t>2011-01-20 14:00</t>
  </si>
  <si>
    <t>2011-01-20 15:30</t>
  </si>
  <si>
    <t>2015-01-20 14:45</t>
  </si>
  <si>
    <t>1998-01-21 10:30</t>
  </si>
  <si>
    <t>2004-01-21 10:30</t>
  </si>
  <si>
    <t>2009-01-21 10:30</t>
  </si>
  <si>
    <t>2009-01-21 10:40</t>
  </si>
  <si>
    <t>2009-01-21 10:45</t>
  </si>
  <si>
    <t>2010-01-21 08:35</t>
  </si>
  <si>
    <t>2010-01-21 19:30</t>
  </si>
  <si>
    <t>2013-01-21 15:15</t>
  </si>
  <si>
    <t>2013-01-21 17:30</t>
  </si>
  <si>
    <t>2014-01-21 09:40</t>
  </si>
  <si>
    <t>2015-01-21 10:30</t>
  </si>
  <si>
    <t>2015-01-21 13:00</t>
  </si>
  <si>
    <t>2019-01-21 17:00</t>
  </si>
  <si>
    <t>2020-01-21 16:00</t>
  </si>
  <si>
    <t>1998-01-22</t>
  </si>
  <si>
    <t>2004-01-22 01:30</t>
  </si>
  <si>
    <t>RICS Publishes Latest Housing Survey</t>
  </si>
  <si>
    <t>2008-01-22 17:25</t>
  </si>
  <si>
    <t>2008-01-22 21:10</t>
  </si>
  <si>
    <t>2013-01-22 20:45</t>
  </si>
  <si>
    <t>2014-01-22 10:30</t>
  </si>
  <si>
    <t>2014-01-22 19:30</t>
  </si>
  <si>
    <t>2015-01-22 10:00</t>
  </si>
  <si>
    <t>2015-01-22 10:25</t>
  </si>
  <si>
    <t>2016-01-22 13:00</t>
  </si>
  <si>
    <t>2020-01-22 08:40</t>
  </si>
  <si>
    <t>2002-01-23 10:30</t>
  </si>
  <si>
    <t>2003-01-23 11:30</t>
  </si>
  <si>
    <t>2006-01-23 07:20</t>
  </si>
  <si>
    <t>2007-01-23 20:00</t>
  </si>
  <si>
    <t>2008-01-23 15:30</t>
  </si>
  <si>
    <t>2012-01-23 19:00</t>
  </si>
  <si>
    <t>2013-01-23 10:30</t>
  </si>
  <si>
    <t>2014-01-23 10:00</t>
  </si>
  <si>
    <t>2015-01-23 09:00</t>
  </si>
  <si>
    <t>2015-01-23 12:40</t>
  </si>
  <si>
    <t>2017-01-23 15:50</t>
  </si>
  <si>
    <t>2019-01-23 10:30</t>
  </si>
  <si>
    <t>2000-01-24 11:45</t>
  </si>
  <si>
    <t>2001-01-24 10:30</t>
  </si>
  <si>
    <t>2003-01-24 18:30</t>
  </si>
  <si>
    <t>2005-01-24 11:10</t>
  </si>
  <si>
    <t>Central Bank Journal's Carver Speaks on Report</t>
  </si>
  <si>
    <t>2006-01-24 10:35</t>
  </si>
  <si>
    <t>2007-01-24 10:30</t>
  </si>
  <si>
    <t>2011-01-24 19:00</t>
  </si>
  <si>
    <t>2012-01-24 21:00</t>
  </si>
  <si>
    <t>2013-01-24 07:00</t>
  </si>
  <si>
    <t>2013-01-24 17:30</t>
  </si>
  <si>
    <t>2014-01-24 13:05</t>
  </si>
  <si>
    <t>2015-01-24 14:00</t>
  </si>
  <si>
    <t>2017-01-24 15:50</t>
  </si>
  <si>
    <t>2020-01-24 10:30</t>
  </si>
  <si>
    <t>2005-01-25 10:10</t>
  </si>
  <si>
    <t>Lehman's McCormick Speaks on Central Banks, Dollar</t>
  </si>
  <si>
    <t>2006-01-25 10:30</t>
  </si>
  <si>
    <t>2007-01-25 15:55</t>
  </si>
  <si>
    <t>Fischer of Bank of Israel on Economy, Policy:Davos</t>
  </si>
  <si>
    <t>2011-01-25 14:15</t>
  </si>
  <si>
    <t>Nowotny, Costa to Speak at event in Surrey, England</t>
  </si>
  <si>
    <t>2011-01-25 20:40</t>
  </si>
  <si>
    <t>2012-01-25 10:30</t>
  </si>
  <si>
    <t>2014-01-25 14:00</t>
  </si>
  <si>
    <t>2017-01-25 15:50</t>
  </si>
  <si>
    <t>2017-01-25 17:50</t>
  </si>
  <si>
    <t>2005-01-26 10:30</t>
  </si>
  <si>
    <t>2010-01-26 10:45</t>
  </si>
  <si>
    <t>2011-01-26 10:30</t>
  </si>
  <si>
    <t>2016-01-26 11:00</t>
  </si>
  <si>
    <t>2016-01-26 14:00</t>
  </si>
  <si>
    <t>2018-01-26</t>
  </si>
  <si>
    <t>2018-01-26 15:00</t>
  </si>
  <si>
    <t>2010-01-27 10:30</t>
  </si>
  <si>
    <t>2010-01-27 22:15</t>
  </si>
  <si>
    <t>2014-01-27 12:30</t>
  </si>
  <si>
    <t>2016-01-27 10:25</t>
  </si>
  <si>
    <t>2016-01-27 17:30</t>
  </si>
  <si>
    <t>1998-01-28 20:30</t>
  </si>
  <si>
    <t>2015-01-28 19:50</t>
  </si>
  <si>
    <t>2019-01-28 15:30</t>
  </si>
  <si>
    <t>1998-01-29 11:45</t>
  </si>
  <si>
    <t>2003-01-29 15:30</t>
  </si>
  <si>
    <t>IFS Releases Green Budget</t>
  </si>
  <si>
    <t>2003-01-29 19:00</t>
  </si>
  <si>
    <t>2004-01-29</t>
  </si>
  <si>
    <t>2009-01-29 18:00</t>
  </si>
  <si>
    <t>2014-01-29 14:15</t>
  </si>
  <si>
    <t>2019-01-29 10:15</t>
  </si>
  <si>
    <t>1998-01-30 10:30</t>
  </si>
  <si>
    <t>2001-01-30 10:30</t>
  </si>
  <si>
    <t>2017-01-30 15:50</t>
  </si>
  <si>
    <t>2018-01-30 16:30</t>
  </si>
  <si>
    <t>2020-01-30 13:00</t>
  </si>
  <si>
    <t>30/1</t>
  </si>
  <si>
    <t>2020-01-30 13:30</t>
  </si>
  <si>
    <t>2006-01-31 14:00</t>
  </si>
  <si>
    <t>2011-01-31 18:00</t>
  </si>
  <si>
    <t>2015-01-31 11:10</t>
  </si>
  <si>
    <t>ECB's Constancio speaks in Cambridge</t>
  </si>
  <si>
    <t>2017-01-31 15:50</t>
  </si>
  <si>
    <t>2001-02-13</t>
  </si>
  <si>
    <t>2002-02-13 11:30</t>
  </si>
  <si>
    <t>2008-02-13 11:30</t>
  </si>
  <si>
    <t>2013-02-13 11:30</t>
  </si>
  <si>
    <t>2015-02-13 19:00</t>
  </si>
  <si>
    <t>ECB's Constancio Speaks in Coventry, UK</t>
  </si>
  <si>
    <t>2017-02-13 15:50</t>
  </si>
  <si>
    <t>2000-02-14 11:30</t>
  </si>
  <si>
    <t>2001-02-14 11:30</t>
  </si>
  <si>
    <t>2003-02-14 11:20</t>
  </si>
  <si>
    <t>2007-02-14 11:15</t>
  </si>
  <si>
    <t>2007-02-14 11:30</t>
  </si>
  <si>
    <t>2013-02-14</t>
  </si>
  <si>
    <t>G20 Finance Ministers, Central Bank Deputy Governors Meeting</t>
  </si>
  <si>
    <t>2017-02-14 15:50</t>
  </si>
  <si>
    <t>2019-02-14 10:30</t>
  </si>
  <si>
    <t>2006-02-15 08:00</t>
  </si>
  <si>
    <t>U.K. Earnings Expected: ARC International Plc, BHP Billiton Pl</t>
  </si>
  <si>
    <t>2006-02-15 11:30</t>
  </si>
  <si>
    <t>2012-02-15 11:30</t>
  </si>
  <si>
    <t>2017-02-15 15:50</t>
  </si>
  <si>
    <t>2000-02-16 11:30</t>
  </si>
  <si>
    <t>2000-02-16 17:40</t>
  </si>
  <si>
    <t>2005-02-16 11:30</t>
  </si>
  <si>
    <t>2009-02-16 15:00</t>
  </si>
  <si>
    <t>2011-02-16 11:30</t>
  </si>
  <si>
    <t>2014-02-16 10:00</t>
  </si>
  <si>
    <t>2016-02-16 15:30</t>
  </si>
  <si>
    <t>2004-02-17 01:30</t>
  </si>
  <si>
    <t>2009-02-17 19:30</t>
  </si>
  <si>
    <t>2010-02-17 10:30</t>
  </si>
  <si>
    <t>2011-02-17 10:35</t>
  </si>
  <si>
    <t>2012-02-17 13:30</t>
  </si>
  <si>
    <t>ECB's Knot Speaks in London</t>
  </si>
  <si>
    <t>2012-02-17 20:00</t>
  </si>
  <si>
    <t>2015-02-17 19:30</t>
  </si>
  <si>
    <t>1999-02-18 10:30</t>
  </si>
  <si>
    <t>2004-02-18 10:30</t>
  </si>
  <si>
    <t>2008-02-18 12:00</t>
  </si>
  <si>
    <t>2009-02-18 10:30</t>
  </si>
  <si>
    <t>2010-02-18 20:00</t>
  </si>
  <si>
    <t>2011-02-18 19:30</t>
  </si>
  <si>
    <t>2014-02-18 15:45</t>
  </si>
  <si>
    <t>ECB's Nowotny Speaks in London</t>
  </si>
  <si>
    <t>2015-02-18 10:30</t>
  </si>
  <si>
    <t>2016-02-18 09:55</t>
  </si>
  <si>
    <t>1998-02-19</t>
  </si>
  <si>
    <t>1998-02-19 10:30</t>
  </si>
  <si>
    <t>2007-02-19 11:00</t>
  </si>
  <si>
    <t>2008-02-19 20:35</t>
  </si>
  <si>
    <t>2009-02-19 18:00</t>
  </si>
  <si>
    <t>2014-02-19 10:30</t>
  </si>
  <si>
    <t>2018-02-19 19:45</t>
  </si>
  <si>
    <t>2001-02-20 10:10</t>
  </si>
  <si>
    <t>Fed's Gramlich Speaks in London</t>
  </si>
  <si>
    <t>2001-02-20 10:30</t>
  </si>
  <si>
    <t>2002-02-20 10:30</t>
  </si>
  <si>
    <t>2006-02-20 12:30</t>
  </si>
  <si>
    <t>2008-02-20 10:30</t>
  </si>
  <si>
    <t>2008-02-20 14:45</t>
  </si>
  <si>
    <t>U.K. Earnings Expected: Alliance &amp; Leicester, Pendragon,</t>
  </si>
  <si>
    <t>2013-02-20 10:30</t>
  </si>
  <si>
    <t>2017-02-20 15:50</t>
  </si>
  <si>
    <t>2001-02-21 09:50</t>
  </si>
  <si>
    <t>ECB's Trichet speaks in London</t>
  </si>
  <si>
    <t>2001-02-21 10:30</t>
  </si>
  <si>
    <t>2001-02-21 11:20</t>
  </si>
  <si>
    <t>ECB's Issing speaks in London</t>
  </si>
  <si>
    <t>2001-02-21 18:20</t>
  </si>
  <si>
    <t>2007-02-21 10:25</t>
  </si>
  <si>
    <t>2007-02-21 10:30</t>
  </si>
  <si>
    <t>2007-02-21 22:30</t>
  </si>
  <si>
    <t>2008-02-21 14:45</t>
  </si>
  <si>
    <t>U.K. Earnings Expected:Centrica, Shire, Colt Telecom, BAE Syst</t>
  </si>
  <si>
    <t>2011-02-21 20:30</t>
  </si>
  <si>
    <t>2012-02-21 20:30</t>
  </si>
  <si>
    <t>2013-02-21 19:15</t>
  </si>
  <si>
    <t>2017-02-21 11:00</t>
  </si>
  <si>
    <t>2017-02-21 15:50</t>
  </si>
  <si>
    <t>2018-02-21 15:15</t>
  </si>
  <si>
    <t>2020-02-21 19:30</t>
  </si>
  <si>
    <t>2006-02-22 10:30</t>
  </si>
  <si>
    <t>2008-02-22 14:45</t>
  </si>
  <si>
    <t>U.K. Earnings Expected: Advent Capital Holdings, Spectris,</t>
  </si>
  <si>
    <t>2011-02-22 18:00</t>
  </si>
  <si>
    <t>2012-02-22 10:30</t>
  </si>
  <si>
    <t>2017-02-22 12:00</t>
  </si>
  <si>
    <t>2017-02-22 12:30</t>
  </si>
  <si>
    <t>2017-02-22 15:50</t>
  </si>
  <si>
    <t>2017-02-22 21:00</t>
  </si>
  <si>
    <t>1999-02-23 11:45</t>
  </si>
  <si>
    <t>2005-02-23 10:30</t>
  </si>
  <si>
    <t>2006-02-23 19:30</t>
  </si>
  <si>
    <t>2010-02-23 10:10</t>
  </si>
  <si>
    <t>2010-02-23 13:10</t>
  </si>
  <si>
    <t>2011-02-23 10:30</t>
  </si>
  <si>
    <t>2011-02-23 19:30</t>
  </si>
  <si>
    <t>2012-02-23 10:35</t>
  </si>
  <si>
    <t>2016-02-23 11:00</t>
  </si>
  <si>
    <t>2016-02-23 18:00</t>
  </si>
  <si>
    <t>2018-02-23 13:00</t>
  </si>
  <si>
    <t>2005-02-24 12:25</t>
  </si>
  <si>
    <t>2009-02-24 10:40</t>
  </si>
  <si>
    <t>2010-02-24 10:25</t>
  </si>
  <si>
    <t>2011-02-24 16:30</t>
  </si>
  <si>
    <t>2011-02-24 19:30</t>
  </si>
  <si>
    <t>2015-02-24 10:10</t>
  </si>
  <si>
    <t>2015-02-24 11:00</t>
  </si>
  <si>
    <t>2016-02-24 19:10</t>
  </si>
  <si>
    <t>2020-02-24 19:30</t>
  </si>
  <si>
    <t>1999-02-25 10:30</t>
  </si>
  <si>
    <t>2008-02-25 08:00</t>
  </si>
  <si>
    <t>U.K. Earnings Expected: Raymarine, Waterman Group, Brammer,</t>
  </si>
  <si>
    <t>2009-02-25 18:30</t>
  </si>
  <si>
    <t>2010-02-25 10:30</t>
  </si>
  <si>
    <t>2010-02-25 12:40</t>
  </si>
  <si>
    <t>2010-02-25 19:00</t>
  </si>
  <si>
    <t>2011-02-25 05:00</t>
  </si>
  <si>
    <t>2011-02-25 19:30</t>
  </si>
  <si>
    <t>2013-02-25 12:15</t>
  </si>
  <si>
    <t>2013-02-25 17:55</t>
  </si>
  <si>
    <t>Bank of Canada Governor Carney Speaks in London, Ontario</t>
  </si>
  <si>
    <t>2014-02-25 17:30</t>
  </si>
  <si>
    <t>2015-02-25 11:00</t>
  </si>
  <si>
    <t>2015-02-25 14:40</t>
  </si>
  <si>
    <t>2015-02-25 15:05</t>
  </si>
  <si>
    <t>2015-02-25 16:00</t>
  </si>
  <si>
    <t>2019-02-25 11:00</t>
  </si>
  <si>
    <t>1998-02-26 10:30</t>
  </si>
  <si>
    <t>British Banking Group's Sterling Mortgage Lending</t>
  </si>
  <si>
    <t>2001-02-26 16:15</t>
  </si>
  <si>
    <t>Federal Reserve's Donald Kohn testifies to U.K. parliament</t>
  </si>
  <si>
    <t>2007-02-26 18:30</t>
  </si>
  <si>
    <t>2008-02-26 12:00</t>
  </si>
  <si>
    <t>2008-02-26 12:45</t>
  </si>
  <si>
    <t>2009-02-26 11:30</t>
  </si>
  <si>
    <t>2013-02-26 11:00</t>
  </si>
  <si>
    <t>2013-02-26 19:30</t>
  </si>
  <si>
    <t>2014-02-26 10:25</t>
  </si>
  <si>
    <t>2015-02-26 18:30</t>
  </si>
  <si>
    <t>2015-02-26 19:00</t>
  </si>
  <si>
    <t>2018-02-26 19:00</t>
  </si>
  <si>
    <t>2019-02-26 11:00</t>
  </si>
  <si>
    <t>2000-02-27 11:45</t>
  </si>
  <si>
    <t>2001-02-27 11:45</t>
  </si>
  <si>
    <t>2008-02-27 08:00</t>
  </si>
  <si>
    <t>U.K. Earnings Expected: HBOS, Royal &amp; Sun, Serco, Informa</t>
  </si>
  <si>
    <t>2008-02-27 16:20</t>
  </si>
  <si>
    <t>2013-02-27 10:40</t>
  </si>
  <si>
    <t>2014-02-27 19:30</t>
  </si>
  <si>
    <t>2017-02-27 15:50</t>
  </si>
  <si>
    <t>2018-02-27 10:00</t>
  </si>
  <si>
    <t>2020-02-27 10:45</t>
  </si>
  <si>
    <t>ECB President Lagarde Speaks in London</t>
  </si>
  <si>
    <t>2020-02-27 11:30</t>
  </si>
  <si>
    <t>2002-02-28 10:30</t>
  </si>
  <si>
    <t>2007-02-28 19:00</t>
  </si>
  <si>
    <t>2008-02-28 08:00</t>
  </si>
  <si>
    <t>U.K. Earnings Expected:Ladbrokes, BBA Aviation, RBS, Rentokil,</t>
  </si>
  <si>
    <t>2012-02-28 22:10</t>
  </si>
  <si>
    <t>2014-02-28 11:00</t>
  </si>
  <si>
    <t>2014-02-28 14:30</t>
  </si>
  <si>
    <t>BoE Carney, Bundesbank Dombret, BaFin Koenig in Frankfurt</t>
  </si>
  <si>
    <t>2017-02-28 10:15</t>
  </si>
  <si>
    <t>2017-02-28 15:50</t>
  </si>
  <si>
    <t>2020-02-28 12:15</t>
  </si>
  <si>
    <t>2020-02-28 17:15</t>
  </si>
  <si>
    <t>2008-02-29 08:00</t>
  </si>
  <si>
    <t>U.K. Earnings Expected: Rank Group, WPP Group, Capita, Molins,</t>
  </si>
  <si>
    <t>2012-02-29 10:30</t>
  </si>
  <si>
    <t>2012-02-29 10:45</t>
  </si>
  <si>
    <t>2012-02-29 19:30</t>
  </si>
  <si>
    <t>2006-03-13 12:15</t>
  </si>
  <si>
    <t>2012-03-13 09:35</t>
  </si>
  <si>
    <t>2013-03-13 15:15</t>
  </si>
  <si>
    <t>2015-03-13 10:40</t>
  </si>
  <si>
    <t>2017-03-13 15:50</t>
  </si>
  <si>
    <t>2008-03-14 10:00</t>
  </si>
  <si>
    <t>2012-03-14 13:45</t>
  </si>
  <si>
    <t>2013-03-14 01:01</t>
  </si>
  <si>
    <t>2014-03-14 01:05</t>
  </si>
  <si>
    <t>2000-03-15 19:00</t>
  </si>
  <si>
    <t>2000-03-15 19:30</t>
  </si>
  <si>
    <t>2007-03-15 19:00</t>
  </si>
  <si>
    <t>2010-03-15 01:01</t>
  </si>
  <si>
    <t>2012-03-15 12:30</t>
  </si>
  <si>
    <t>2013-03-15 12:30</t>
  </si>
  <si>
    <t>2000-03-16 22:30</t>
  </si>
  <si>
    <t>2004-03-16 01:30</t>
  </si>
  <si>
    <t>2006-03-16 16:40</t>
  </si>
  <si>
    <t>2009-03-16 01:01</t>
  </si>
  <si>
    <t>2010-03-16 20:15</t>
  </si>
  <si>
    <t>2012-03-16 01:00</t>
  </si>
  <si>
    <t>2017-03-16 13:00</t>
  </si>
  <si>
    <t>16/3</t>
  </si>
  <si>
    <t>1998-03-17 11:45</t>
  </si>
  <si>
    <t>U.K.'s CBI Gives Evidence on The European Central Bank</t>
  </si>
  <si>
    <t>2004-03-17 10:30</t>
  </si>
  <si>
    <t>2009-03-17 21:10</t>
  </si>
  <si>
    <t>2010-03-17 10:30</t>
  </si>
  <si>
    <t>2011-03-17 10:30</t>
  </si>
  <si>
    <t>2011-03-17 11:00</t>
  </si>
  <si>
    <t>2014-03-17 10:30</t>
  </si>
  <si>
    <t>2015-03-17 11:00</t>
  </si>
  <si>
    <t>2016-03-17 13:00</t>
  </si>
  <si>
    <t>17/3</t>
  </si>
  <si>
    <t>1999-03-18 10:30</t>
  </si>
  <si>
    <t>2009-03-18 10:30</t>
  </si>
  <si>
    <t>2010-03-18 17:45</t>
  </si>
  <si>
    <t>2014-03-18 19:00</t>
  </si>
  <si>
    <t>2015-03-18 10:30</t>
  </si>
  <si>
    <t>2015-03-18 15:30</t>
  </si>
  <si>
    <t>2008-03-19 10:30</t>
  </si>
  <si>
    <t>2010-03-19 11:35</t>
  </si>
  <si>
    <t>2013-03-19</t>
  </si>
  <si>
    <t>BoE Financial Policy Committee Meeting on Capital Shortfall</t>
  </si>
  <si>
    <t>2014-03-19 10:30</t>
  </si>
  <si>
    <t>2015-03-19 14:50</t>
  </si>
  <si>
    <t>2020-03-19 15:33</t>
  </si>
  <si>
    <t>19/3</t>
  </si>
  <si>
    <t>1998-03-20</t>
  </si>
  <si>
    <t>EU Finance Ministers, Central Bank Governors Meet</t>
  </si>
  <si>
    <t>2001-03-20 10:30</t>
  </si>
  <si>
    <t>2002-03-20 10:30</t>
  </si>
  <si>
    <t>2007-03-20 20:25</t>
  </si>
  <si>
    <t>2012-03-20 19:00</t>
  </si>
  <si>
    <t>2013-03-20 10:30</t>
  </si>
  <si>
    <t>2014-03-20 17:30</t>
  </si>
  <si>
    <t>2017-03-20 19:30</t>
  </si>
  <si>
    <t>1998-03-21 11:00</t>
  </si>
  <si>
    <t>2001-03-21 10:30</t>
  </si>
  <si>
    <t>2005-03-21 21:30</t>
  </si>
  <si>
    <t>2006-03-21 22:45</t>
  </si>
  <si>
    <t>2007-03-21 10:25</t>
  </si>
  <si>
    <t>2007-03-21 10:30</t>
  </si>
  <si>
    <t>2012-03-21 10:30</t>
  </si>
  <si>
    <t>2014-03-21 21:30</t>
  </si>
  <si>
    <t>2016-03-21 10:30</t>
  </si>
  <si>
    <t>ECB Vice President Constancio Speaks in London</t>
  </si>
  <si>
    <t>2016-03-21 12:00</t>
  </si>
  <si>
    <t>2017-03-21 11:35</t>
  </si>
  <si>
    <t>2019-03-21 13:00</t>
  </si>
  <si>
    <t>21/3</t>
  </si>
  <si>
    <t>2019-03-21 17:15</t>
  </si>
  <si>
    <t>2000-03-22 10:30</t>
  </si>
  <si>
    <t>2006-03-22 10:30</t>
  </si>
  <si>
    <t>2010-03-22 16:30</t>
  </si>
  <si>
    <t>2011-03-22 09:40</t>
  </si>
  <si>
    <t>2011-03-22 15:00</t>
  </si>
  <si>
    <t>2016-03-22 14:30</t>
  </si>
  <si>
    <t>2018-03-22 13:00</t>
  </si>
  <si>
    <t>22/3</t>
  </si>
  <si>
    <t>2018-03-22 18:00</t>
  </si>
  <si>
    <t>2005-03-23 10:30</t>
  </si>
  <si>
    <t>2010-03-23 10:25</t>
  </si>
  <si>
    <t>2011-03-23 10:30</t>
  </si>
  <si>
    <t>2012-03-23 10:30</t>
  </si>
  <si>
    <t>2016-03-23 17:15</t>
  </si>
  <si>
    <t>2017-03-23 10:00</t>
  </si>
  <si>
    <t>2018-03-23 13:30</t>
  </si>
  <si>
    <t>2005-03-24 10:27</t>
  </si>
  <si>
    <t>2009-03-24 10:40</t>
  </si>
  <si>
    <t>2009-03-24 10:45</t>
  </si>
  <si>
    <t>2009-03-24 16:30</t>
  </si>
  <si>
    <t>2009-03-24 19:30</t>
  </si>
  <si>
    <t>2010-03-24 07:00</t>
  </si>
  <si>
    <t>2011-03-24 10:00</t>
  </si>
  <si>
    <t>2012-03-24 13:30</t>
  </si>
  <si>
    <t>2014-03-24 15:15</t>
  </si>
  <si>
    <t>2013-03-25 18:15</t>
  </si>
  <si>
    <t>2015-03-25 10:30</t>
  </si>
  <si>
    <t>2015-03-25 12:25</t>
  </si>
  <si>
    <t>ECB Executive Board Member Praet Speaks in London</t>
  </si>
  <si>
    <t>2015-03-25 19:30</t>
  </si>
  <si>
    <t>Bank of Greece Governor Stournaras Speaks in London</t>
  </si>
  <si>
    <t>2007-03-26 18:00</t>
  </si>
  <si>
    <t>2008-03-26 10:10</t>
  </si>
  <si>
    <t>2012-03-26 22:45</t>
  </si>
  <si>
    <t>2013-03-26</t>
  </si>
  <si>
    <t>Riksbank's Ingves, Svensson Speak at LSE in London</t>
  </si>
  <si>
    <t>2015-03-26 10:30</t>
  </si>
  <si>
    <t>2018-03-26 10:30</t>
  </si>
  <si>
    <t>Record of Financial Policy Committee's March Meeting.</t>
  </si>
  <si>
    <t>2019-03-26 12:00</t>
  </si>
  <si>
    <t>2020-03-26 13:00</t>
  </si>
  <si>
    <t>26/3</t>
  </si>
  <si>
    <t>2001-03-27</t>
  </si>
  <si>
    <t>2003-03-27 11:15</t>
  </si>
  <si>
    <t>2007-03-27 10:45</t>
  </si>
  <si>
    <t>2009-03-27 10:30</t>
  </si>
  <si>
    <t>2009-03-27 12:45</t>
  </si>
  <si>
    <t>2012-03-27 16:30</t>
  </si>
  <si>
    <t>2012-03-27 18:30</t>
  </si>
  <si>
    <t>2012-03-27 19:00</t>
  </si>
  <si>
    <t>2013-03-27 10:30</t>
  </si>
  <si>
    <t>2014-03-27 10:30</t>
  </si>
  <si>
    <t>2015-03-27 09:00</t>
  </si>
  <si>
    <t>Bundesbank Conference Hosts World's Top Finance Officials</t>
  </si>
  <si>
    <t>2015-03-27 09:45</t>
  </si>
  <si>
    <t>2015-03-27 10:15</t>
  </si>
  <si>
    <t>2006-03-28 10:30</t>
  </si>
  <si>
    <t>Lawmakers quiz governor, MPC members on Inflation Report</t>
  </si>
  <si>
    <t>2012-03-28 12:30</t>
  </si>
  <si>
    <t>2014-03-28 13:15</t>
  </si>
  <si>
    <t>2018-03-28 10:30</t>
  </si>
  <si>
    <t>2019-03-28 14:30</t>
  </si>
  <si>
    <t>2001-03-29 10:30</t>
  </si>
  <si>
    <t>2010-03-29 18:45</t>
  </si>
  <si>
    <t>2011-03-29 17:00</t>
  </si>
  <si>
    <t>2012-03-29 10:10</t>
  </si>
  <si>
    <t>2016-03-29 12:00</t>
  </si>
  <si>
    <t>2009-03-30 15:00</t>
  </si>
  <si>
    <t>2010-03-30 18:45</t>
  </si>
  <si>
    <t>2015-03-30 11:30</t>
  </si>
  <si>
    <t>2008-03-31 11:30</t>
  </si>
  <si>
    <t>2011-03-31 10:30</t>
  </si>
  <si>
    <t>2011-03-31 12:15</t>
  </si>
  <si>
    <t>2014-03-31 15:10</t>
  </si>
  <si>
    <t>2014-03-31 19:15</t>
  </si>
  <si>
    <t>2016-03-31 09:00</t>
  </si>
  <si>
    <t>2000-04-13 18:50</t>
  </si>
  <si>
    <t>2013-04-13 20:30</t>
  </si>
  <si>
    <t>2000-04-14 23:00</t>
  </si>
  <si>
    <t>2011-04-14 00:00</t>
  </si>
  <si>
    <t>2012-04-14 10:55</t>
  </si>
  <si>
    <t>2016-04-14 13:00</t>
  </si>
  <si>
    <t>14/4</t>
  </si>
  <si>
    <t>2016-04-14 19:00</t>
  </si>
  <si>
    <t>2016-04-14 22:00</t>
  </si>
  <si>
    <t>2011-04-15 01:05</t>
  </si>
  <si>
    <t>2013-04-15 15:15</t>
  </si>
  <si>
    <t>2019-04-15 18:00</t>
  </si>
  <si>
    <t>2013-04-16 21:00</t>
  </si>
  <si>
    <t>2013-04-16 23:00</t>
  </si>
  <si>
    <t>2020-04-16 15:30</t>
  </si>
  <si>
    <t>2008-04-17 21:20</t>
  </si>
  <si>
    <t>2013-04-17 10:30</t>
  </si>
  <si>
    <t>2013-04-17 10:40</t>
  </si>
  <si>
    <t>2019-04-17 15:00</t>
  </si>
  <si>
    <t>2000-04-18 17:15</t>
  </si>
  <si>
    <t>MPC Testimony in House of Lords</t>
  </si>
  <si>
    <t>2001-04-18 10:30</t>
  </si>
  <si>
    <t>2007-04-18 10:30</t>
  </si>
  <si>
    <t>2011-04-18 18:30</t>
  </si>
  <si>
    <t>2012-04-18 10:30</t>
  </si>
  <si>
    <t>2013-04-18 17:00</t>
  </si>
  <si>
    <t>Bank of Canada's Carney Gives Interview in Washington</t>
  </si>
  <si>
    <t>2018-04-18 15:15</t>
  </si>
  <si>
    <t>2000-04-19 10:30</t>
  </si>
  <si>
    <t>2006-04-19 10:30</t>
  </si>
  <si>
    <t>2011-04-19 14:30</t>
  </si>
  <si>
    <t>2012-04-19 19:00</t>
  </si>
  <si>
    <t>2013-04-19 10:30</t>
  </si>
  <si>
    <t>2016-04-19 16:35</t>
  </si>
  <si>
    <t>2018-04-19 12:10</t>
  </si>
  <si>
    <t>2018-04-19 18:30</t>
  </si>
  <si>
    <t>2000-04-20 10:30</t>
  </si>
  <si>
    <t>M4 Money Supply figures</t>
  </si>
  <si>
    <t>2004-04-20 01:30</t>
  </si>
  <si>
    <t>2005-04-20 10:30</t>
  </si>
  <si>
    <t>2011-04-20 10:30</t>
  </si>
  <si>
    <t>2016-04-20 10:30</t>
  </si>
  <si>
    <t>2016-04-20 15:00</t>
  </si>
  <si>
    <t>2017-04-20 17:30</t>
  </si>
  <si>
    <t>2017-04-20 18:30</t>
  </si>
  <si>
    <t>2018-04-20 11:30</t>
  </si>
  <si>
    <t>2020-04-20 10:30</t>
  </si>
  <si>
    <t>2004-04-21 10:30</t>
  </si>
  <si>
    <t>2009-04-21 10:30</t>
  </si>
  <si>
    <t>2009-04-21 10:45</t>
  </si>
  <si>
    <t>2009-04-21 11:30</t>
  </si>
  <si>
    <t>2010-04-21 10:30</t>
  </si>
  <si>
    <t>2016-04-21 16:00</t>
  </si>
  <si>
    <t>2017-04-21 13:45</t>
  </si>
  <si>
    <t>2008-04-22 14:15</t>
  </si>
  <si>
    <t>2009-04-22 10:30</t>
  </si>
  <si>
    <t>2009-04-22 11:15</t>
  </si>
  <si>
    <t>2011-04-22 16:15</t>
  </si>
  <si>
    <t>2013-04-22 10:30</t>
  </si>
  <si>
    <t>2013-04-22 12:10</t>
  </si>
  <si>
    <t>2013-04-22 19:00</t>
  </si>
  <si>
    <t>ECB's Noyer Speaks in New York</t>
  </si>
  <si>
    <t>2013-04-22 20:30</t>
  </si>
  <si>
    <t>BoE's Tucker Speaks in New York</t>
  </si>
  <si>
    <t>2015-04-22 10:30</t>
  </si>
  <si>
    <t>2001-04-23 10:30</t>
  </si>
  <si>
    <t>2002-04-23 14:00</t>
  </si>
  <si>
    <t>2008-04-23 10:30</t>
  </si>
  <si>
    <t>2008-04-23 19:00</t>
  </si>
  <si>
    <t>2010-04-23 11:10</t>
  </si>
  <si>
    <t>2013-04-23 13:00</t>
  </si>
  <si>
    <t>2014-04-23 10:30</t>
  </si>
  <si>
    <t>2020-04-23 11:30</t>
  </si>
  <si>
    <t>2008-04-24 10:30</t>
  </si>
  <si>
    <t>2018-04-24 09:00</t>
  </si>
  <si>
    <t>2018-04-24 10:20</t>
  </si>
  <si>
    <t>2018-04-24 12:35</t>
  </si>
  <si>
    <t>2018-04-24 15:10</t>
  </si>
  <si>
    <t>2013-04-25 09:55</t>
  </si>
  <si>
    <t>2013-04-25 13:30</t>
  </si>
  <si>
    <t>2000-04-26 14:30</t>
  </si>
  <si>
    <t>2000-04-26 19:35</t>
  </si>
  <si>
    <t>2007-04-26 01:00</t>
  </si>
  <si>
    <t>2007-04-26 16:05</t>
  </si>
  <si>
    <t>2011-04-26 14:50</t>
  </si>
  <si>
    <t>2016-04-26 19:00</t>
  </si>
  <si>
    <t>2018-04-26 10:30</t>
  </si>
  <si>
    <t>2006-04-27 10:45</t>
  </si>
  <si>
    <t>2009-04-27 10:30</t>
  </si>
  <si>
    <t>2012-04-27 09:40</t>
  </si>
  <si>
    <t>2016-04-27 09:00</t>
  </si>
  <si>
    <t>2018-04-27 16:00</t>
  </si>
  <si>
    <t>2018-04-27 16:15</t>
  </si>
  <si>
    <t>2009-04-28 11:40</t>
  </si>
  <si>
    <t>2002-04-29 10:30</t>
  </si>
  <si>
    <t>2008-04-29 10:45</t>
  </si>
  <si>
    <t>2008-04-29 19:00</t>
  </si>
  <si>
    <t>2014-04-29 16:00</t>
  </si>
  <si>
    <t>2016-04-29 09:30</t>
  </si>
  <si>
    <t>2016-04-29 14:00</t>
  </si>
  <si>
    <t>2019-04-29 10:10</t>
  </si>
  <si>
    <t>1998-04-30</t>
  </si>
  <si>
    <t>U.K. Legislators Debate Economic and Monetary Union</t>
  </si>
  <si>
    <t>2001-04-30 10:30</t>
  </si>
  <si>
    <t>2002-04-30 10:30</t>
  </si>
  <si>
    <t>2013-04-30 10:30</t>
  </si>
  <si>
    <t>2013-04-30 11:00</t>
  </si>
  <si>
    <t>2014-04-30 17:30</t>
  </si>
  <si>
    <t>2019-04-30 09:40</t>
  </si>
  <si>
    <t>1998-05-13 11:30</t>
  </si>
  <si>
    <t>2003-05-13 14:30</t>
  </si>
  <si>
    <t>2008-05-13 13:00</t>
  </si>
  <si>
    <t>U.K. Earnings Expected: VT Group Plc, TUI Travel Plc</t>
  </si>
  <si>
    <t>2009-05-13 11:30</t>
  </si>
  <si>
    <t>2014-05-13 10:10</t>
  </si>
  <si>
    <t>2015-05-13 11:30</t>
  </si>
  <si>
    <t>2016-05-13 11:00</t>
  </si>
  <si>
    <t>2016-05-13 14:30</t>
  </si>
  <si>
    <t>2008-05-14 11:30</t>
  </si>
  <si>
    <t>2008-05-14 13:00</t>
  </si>
  <si>
    <t>U.K. Earnings Expected: Phoenix IT Group Ltd.</t>
  </si>
  <si>
    <t>2009-05-14 16:10</t>
  </si>
  <si>
    <t>2014-05-14 11:30</t>
  </si>
  <si>
    <t>2020-05-14 12:30</t>
  </si>
  <si>
    <t>2002-05-15 11:30</t>
  </si>
  <si>
    <t>2003-05-15 11:30</t>
  </si>
  <si>
    <t>2008-05-15 13:00</t>
  </si>
  <si>
    <t>U.K. Earnings Expected: 3i Group, Invensys</t>
  </si>
  <si>
    <t>2009-05-15 18:00</t>
  </si>
  <si>
    <t>2013-05-15 11:30</t>
  </si>
  <si>
    <t>Bank of England Releases Inflation Report; King Holds Briefing</t>
  </si>
  <si>
    <t>2001-05-16 11:30</t>
  </si>
  <si>
    <t>2007-05-16 11:15</t>
  </si>
  <si>
    <t>2007-05-16 11:30</t>
  </si>
  <si>
    <t>2008-05-16 13:00</t>
  </si>
  <si>
    <t>U.K. Earnings Expected: British Airways Plc, Telent Plc</t>
  </si>
  <si>
    <t>2012-05-16 11:30</t>
  </si>
  <si>
    <t>2018-05-16 10:10</t>
  </si>
  <si>
    <t>2019-05-16 19:30</t>
  </si>
  <si>
    <t>2000-05-17 10:30</t>
  </si>
  <si>
    <t>2006-05-17 10:25</t>
  </si>
  <si>
    <t>2006-05-17 10:30</t>
  </si>
  <si>
    <t>2011-05-17 10:45</t>
  </si>
  <si>
    <t>2011-05-17 12:00</t>
  </si>
  <si>
    <t>2011-05-17 12:35</t>
  </si>
  <si>
    <t>2012-05-17</t>
  </si>
  <si>
    <t>2013-05-17 11:15</t>
  </si>
  <si>
    <t>2018-05-17 18:00</t>
  </si>
  <si>
    <t>2019-05-17 14:00</t>
  </si>
  <si>
    <t>2004-05-18 01:30</t>
  </si>
  <si>
    <t>2005-05-18 10:30</t>
  </si>
  <si>
    <t>2006-05-18 16:00</t>
  </si>
  <si>
    <t>2011-05-18 10:30</t>
  </si>
  <si>
    <t>2012-05-18 11:00</t>
  </si>
  <si>
    <t>ECB's Gonzalez-Paramo Speaks on Euro at London Conference</t>
  </si>
  <si>
    <t>2014-05-18 11:00</t>
  </si>
  <si>
    <t>2016-05-18 21:30</t>
  </si>
  <si>
    <t>2020-05-18 17:00</t>
  </si>
  <si>
    <t>2000-05-19 10:30</t>
  </si>
  <si>
    <t>2003-05-19 01:01</t>
  </si>
  <si>
    <t>Rightmove Publishes May House Prices Report</t>
  </si>
  <si>
    <t>2004-05-19 10:30</t>
  </si>
  <si>
    <t>2008-05-19 10:25</t>
  </si>
  <si>
    <t>Al Maraj of Bahrain Central Bank Speaks at WEF</t>
  </si>
  <si>
    <t>2008-05-19 11:30</t>
  </si>
  <si>
    <t>2008-05-19 13:00</t>
  </si>
  <si>
    <t>U.K. Earnings Expected: John Wood Group, Hansen</t>
  </si>
  <si>
    <t>2010-05-19 10:30</t>
  </si>
  <si>
    <t>2011-05-19 12:15</t>
  </si>
  <si>
    <t>2011-05-19 13:20</t>
  </si>
  <si>
    <t>2014-05-19 12:00</t>
  </si>
  <si>
    <t>2015-05-19 01:00</t>
  </si>
  <si>
    <t>2015-05-19 09:30</t>
  </si>
  <si>
    <t>2016-05-19 19:00</t>
  </si>
  <si>
    <t>2008-05-20 13:00</t>
  </si>
  <si>
    <t>U.K. Earnings Expected: Imperial Tobaco, Marks&amp;Spencer</t>
  </si>
  <si>
    <t>2009-05-20 10:30</t>
  </si>
  <si>
    <t>2009-05-20 15:15</t>
  </si>
  <si>
    <t>2010-05-20 11:00</t>
  </si>
  <si>
    <t>2010-05-20 15:15</t>
  </si>
  <si>
    <t>2013-05-20 09:00</t>
  </si>
  <si>
    <t>2014-05-20 19:30</t>
  </si>
  <si>
    <t>2015-05-20 10:30</t>
  </si>
  <si>
    <t>2019-05-20 18:30</t>
  </si>
  <si>
    <t>2020-05-20 15:30</t>
  </si>
  <si>
    <t>1998-05-21 10:30</t>
  </si>
  <si>
    <t>1998-05-21 11:45</t>
  </si>
  <si>
    <t>1998-05-21 15:35</t>
  </si>
  <si>
    <t>U.K. Chancellor Takes Questions</t>
  </si>
  <si>
    <t>2001-05-21 09:00</t>
  </si>
  <si>
    <t>2001-05-21 10:30</t>
  </si>
  <si>
    <t>2008-05-21 10:30</t>
  </si>
  <si>
    <t>2008-05-21 13:00</t>
  </si>
  <si>
    <t>U.K. Earnings Expected: Experian, Great Portland, Britvic</t>
  </si>
  <si>
    <t>2009-05-21 22:55</t>
  </si>
  <si>
    <t>2013-05-21 18:45</t>
  </si>
  <si>
    <t>Bank of Canada Governor Carney Speaks in Montreal</t>
  </si>
  <si>
    <t>2014-05-21 10:30</t>
  </si>
  <si>
    <t>2014-05-21 19:00</t>
  </si>
  <si>
    <t>2015-05-21 10:30</t>
  </si>
  <si>
    <t>2015-05-21 15:15</t>
  </si>
  <si>
    <t>2000-05-22 17:15</t>
  </si>
  <si>
    <t>2001-05-22</t>
  </si>
  <si>
    <t>2008-05-22 13:00</t>
  </si>
  <si>
    <t>U.K. Earnings Expected:Cable&amp;Wireless, London Stock Exchange</t>
  </si>
  <si>
    <t>2013-05-22 10:30</t>
  </si>
  <si>
    <t>2014-05-22 11:00</t>
  </si>
  <si>
    <t>HU</t>
  </si>
  <si>
    <t>Hungarian Central Bank President Matolcsy Speaks in London</t>
  </si>
  <si>
    <t>2015-05-22 11:45</t>
  </si>
  <si>
    <t>2015-05-22 13:00</t>
  </si>
  <si>
    <t>2018-05-22 10:15</t>
  </si>
  <si>
    <t>2000-05-23 11:45</t>
  </si>
  <si>
    <t>2000-05-23 17:15</t>
  </si>
  <si>
    <t>Parliamentary Committee hears testimony</t>
  </si>
  <si>
    <t>2001-05-23 10:20</t>
  </si>
  <si>
    <t>2001-05-23 10:30</t>
  </si>
  <si>
    <t>2007-05-23 10:25</t>
  </si>
  <si>
    <t>2007-05-23 10:30</t>
  </si>
  <si>
    <t>2008-05-23 13:00</t>
  </si>
  <si>
    <t>U.K. Earnings Expected: Marston's, Future Plc</t>
  </si>
  <si>
    <t>2011-05-23 14:30</t>
  </si>
  <si>
    <t>2012-05-23 10:30</t>
  </si>
  <si>
    <t>2012-05-23 11:15</t>
  </si>
  <si>
    <t>2006-05-24 10:15</t>
  </si>
  <si>
    <t>U.K. Treasury Committee: Blanchflower Appointment</t>
  </si>
  <si>
    <t>2010-05-24 19:30</t>
  </si>
  <si>
    <t>2013-05-24 09:00</t>
  </si>
  <si>
    <t>2013-05-24 13:30</t>
  </si>
  <si>
    <t>FI</t>
  </si>
  <si>
    <t>2016-05-24</t>
  </si>
  <si>
    <t>2016-05-24 11:00</t>
  </si>
  <si>
    <t>2016-05-24 15:00</t>
  </si>
  <si>
    <t>2018-05-24 09:00</t>
  </si>
  <si>
    <t>2018-05-24 19:00</t>
  </si>
  <si>
    <t>2011-05-25 14:40</t>
  </si>
  <si>
    <t>2016-05-25 12:30</t>
  </si>
  <si>
    <t>ECB's Constancio Speaks at Workshop in London</t>
  </si>
  <si>
    <t>2018-05-25</t>
  </si>
  <si>
    <t>2004-05-26</t>
  </si>
  <si>
    <t>2006-05-26 01:00</t>
  </si>
  <si>
    <t>2011-05-26 10:30</t>
  </si>
  <si>
    <t>ECB's Mersch Speaks in London</t>
  </si>
  <si>
    <t>2011-05-26 14:00</t>
  </si>
  <si>
    <t>ECB's Bini Smaghi Speaks at Event in London</t>
  </si>
  <si>
    <t>2011-05-26 15:00</t>
  </si>
  <si>
    <t>2016-05-26 13:30</t>
  </si>
  <si>
    <t>2016-05-26 15:00</t>
  </si>
  <si>
    <t>AU</t>
  </si>
  <si>
    <t>2020-05-26 11:00</t>
  </si>
  <si>
    <t>2014-05-27 21:00</t>
  </si>
  <si>
    <t>2009-05-28 03:25</t>
  </si>
  <si>
    <t>2012-05-28 17:00</t>
  </si>
  <si>
    <t>2013-05-28 11:30</t>
  </si>
  <si>
    <t>2013-05-28 19:00</t>
  </si>
  <si>
    <t>2020-05-28 12:00</t>
  </si>
  <si>
    <t>1998-05-29 10:30</t>
  </si>
  <si>
    <t>2007-05-29 10:25</t>
  </si>
  <si>
    <t>2013-05-29 11:30</t>
  </si>
  <si>
    <t>2013-05-29 12:00</t>
  </si>
  <si>
    <t>FR</t>
  </si>
  <si>
    <t>2014-05-29 10:30</t>
  </si>
  <si>
    <t>2000-05-30 16:00</t>
  </si>
  <si>
    <t>2000-05-30 17:00</t>
  </si>
  <si>
    <t>2002-05-30 10:30</t>
  </si>
  <si>
    <t>2007-05-30 19:00</t>
  </si>
  <si>
    <t>2014-05-30</t>
  </si>
  <si>
    <t>2019-05-30 09:30</t>
  </si>
  <si>
    <t>2000-05-31 10:10</t>
  </si>
  <si>
    <t>2000-05-31 10:30</t>
  </si>
  <si>
    <t>2001-05-31 10:30</t>
  </si>
  <si>
    <t>2004-05-31</t>
  </si>
  <si>
    <t>2013-05-31 11:00</t>
  </si>
  <si>
    <t>G-7 Finance Ministers and Central Bankers Meet in Whistler</t>
  </si>
  <si>
    <t>2000-06-13 11:15</t>
  </si>
  <si>
    <t>2004-06-13</t>
  </si>
  <si>
    <t>2011-06-13 01:01</t>
  </si>
  <si>
    <t>2011-06-13 15:00</t>
  </si>
  <si>
    <t>ECB's Trichet Speaks at London School of Economics</t>
  </si>
  <si>
    <t>2011-06-13 20:00</t>
  </si>
  <si>
    <t>2013-06-13 07:45</t>
  </si>
  <si>
    <t>2013-06-13 14:15</t>
  </si>
  <si>
    <t>2017-06-13 16:20</t>
  </si>
  <si>
    <t>2018-06-13 19:15</t>
  </si>
  <si>
    <t>2004-06-14</t>
  </si>
  <si>
    <t>2007-06-14 10:30</t>
  </si>
  <si>
    <t>Brown of U.K. Speaks on Monetary Policy Committee</t>
  </si>
  <si>
    <t>2010-06-14 09:30</t>
  </si>
  <si>
    <t>2012-06-14 20:00</t>
  </si>
  <si>
    <t>2013-06-14 11:50</t>
  </si>
  <si>
    <t>2016-06-14 11:00</t>
  </si>
  <si>
    <t>2019-06-14 14:55</t>
  </si>
  <si>
    <t>2000-06-15 20:30</t>
  </si>
  <si>
    <t>2004-06-15</t>
  </si>
  <si>
    <t>2004-06-15 01:30</t>
  </si>
  <si>
    <t>2007-06-15 10:00</t>
  </si>
  <si>
    <t>2011-06-15 21:45</t>
  </si>
  <si>
    <t>2015-06-15 16:30</t>
  </si>
  <si>
    <t>2017-06-15 13:00</t>
  </si>
  <si>
    <t>15/6</t>
  </si>
  <si>
    <t>1998-06-16 11:45</t>
  </si>
  <si>
    <t>1998-06-16 15:00</t>
  </si>
  <si>
    <t>1998-06-16 17:15</t>
  </si>
  <si>
    <t>BoE's Buiter, Plenderleith and Clementi Questioned</t>
  </si>
  <si>
    <t>2003-06-16 17:30</t>
  </si>
  <si>
    <t>2004-06-16</t>
  </si>
  <si>
    <t>2010-06-16 11:30</t>
  </si>
  <si>
    <t>ECB's Paramo Speaks in London</t>
  </si>
  <si>
    <t>2010-06-16 21:45</t>
  </si>
  <si>
    <t>2011-06-16 01:00</t>
  </si>
  <si>
    <t>Interim Financial Policy Committee Holds First Meeting</t>
  </si>
  <si>
    <t>2016-06-16 13:00</t>
  </si>
  <si>
    <t>16/6</t>
  </si>
  <si>
    <t>2016-06-16 22:00</t>
  </si>
  <si>
    <t>2003-06-17 10:00</t>
  </si>
  <si>
    <t>U.K.'s Brown Speaks to Euromoney Conference</t>
  </si>
  <si>
    <t>2003-06-17 17:00</t>
  </si>
  <si>
    <t>U.K.'s Blair Speaks About Public Services Reform</t>
  </si>
  <si>
    <t>2004-06-17</t>
  </si>
  <si>
    <t>2008-06-17 13:00</t>
  </si>
  <si>
    <t>2009-06-17 10:30</t>
  </si>
  <si>
    <t>2009-06-17 21:00</t>
  </si>
  <si>
    <t>2009-06-17 22:30</t>
  </si>
  <si>
    <t>2013-06-17 10:30</t>
  </si>
  <si>
    <t>2014-06-17</t>
  </si>
  <si>
    <t>2015-06-17 10:30</t>
  </si>
  <si>
    <t>1998-06-18 10:30</t>
  </si>
  <si>
    <t>1998-06-18 17:15</t>
  </si>
  <si>
    <t>2003-06-18 12:00</t>
  </si>
  <si>
    <t>U.K.'s Straw Briefs Journalists on EU Summit</t>
  </si>
  <si>
    <t>2003-06-18 13:00</t>
  </si>
  <si>
    <t>U.K.'s Blair Takes Questions from Parliament</t>
  </si>
  <si>
    <t>2003-06-18 13:30</t>
  </si>
  <si>
    <t>U.K.'s Blair Comments on Constitutional Changes</t>
  </si>
  <si>
    <t>2003-06-18 15:30</t>
  </si>
  <si>
    <t>Inland Revenue Chief speaks on building sale</t>
  </si>
  <si>
    <t>2003-06-18 20:00</t>
  </si>
  <si>
    <t>Hain Speaks on Euro Policy</t>
  </si>
  <si>
    <t>2003-06-18 22:00</t>
  </si>
  <si>
    <t>2004-06-18</t>
  </si>
  <si>
    <t>2008-06-18 08:00</t>
  </si>
  <si>
    <t>2008-06-18 10:30</t>
  </si>
  <si>
    <t>2008-06-18 22:30</t>
  </si>
  <si>
    <t>2009-06-18 10:30</t>
  </si>
  <si>
    <t>2012-06-18 13:30</t>
  </si>
  <si>
    <t>2014-06-18 10:30</t>
  </si>
  <si>
    <t>2014-06-18 13:15</t>
  </si>
  <si>
    <t>2014-06-18 15:45</t>
  </si>
  <si>
    <t>2014-06-18 19:30</t>
  </si>
  <si>
    <t>2019-06-18 16:00</t>
  </si>
  <si>
    <t>2020-06-18 13:00</t>
  </si>
  <si>
    <t>18/6</t>
  </si>
  <si>
    <t>2020-06-18 15:00</t>
  </si>
  <si>
    <t>2008-06-19 08:00</t>
  </si>
  <si>
    <t>2008-06-19 21:30</t>
  </si>
  <si>
    <t>2013-06-19 10:30</t>
  </si>
  <si>
    <t>2013-06-19 21:00</t>
  </si>
  <si>
    <t>2014-06-19 13:30</t>
  </si>
  <si>
    <t>2000-06-20 10:30</t>
  </si>
  <si>
    <t>2000-06-20 12:45</t>
  </si>
  <si>
    <t>2000-06-20 17:15</t>
  </si>
  <si>
    <t>Parliamentary Committee hears trade union testimony</t>
  </si>
  <si>
    <t>2001-06-20 10:30</t>
  </si>
  <si>
    <t>2001-06-20 20:30</t>
  </si>
  <si>
    <t>2004-06-20</t>
  </si>
  <si>
    <t>2005-06-20 10:00</t>
  </si>
  <si>
    <t>2007-06-20 01:00</t>
  </si>
  <si>
    <t>UK Treasury Select Committee Hears Evidence on Private Equity</t>
  </si>
  <si>
    <t>2007-06-20 10:25</t>
  </si>
  <si>
    <t>2007-06-20 10:30</t>
  </si>
  <si>
    <t>2007-06-20 17:45</t>
  </si>
  <si>
    <t>2007-06-20 20:00</t>
  </si>
  <si>
    <t>2008-06-20 08:00</t>
  </si>
  <si>
    <t>2011-06-20 11:00</t>
  </si>
  <si>
    <t>2012-06-20 01:01</t>
  </si>
  <si>
    <t>2012-06-20 10:25</t>
  </si>
  <si>
    <t>2012-06-20 10:30</t>
  </si>
  <si>
    <t>2017-06-20 09:30</t>
  </si>
  <si>
    <t>2019-06-20 13:00</t>
  </si>
  <si>
    <t>20/6</t>
  </si>
  <si>
    <t>2019-06-20 18:00</t>
  </si>
  <si>
    <t>2000-06-21 10:30</t>
  </si>
  <si>
    <t>2004-06-21</t>
  </si>
  <si>
    <t>2006-06-21 10:30</t>
  </si>
  <si>
    <t>2006-06-21 17:00</t>
  </si>
  <si>
    <t>Investec's Shaw Discusses Bank of Engand Minutes</t>
  </si>
  <si>
    <t>2010-06-21 12:45</t>
  </si>
  <si>
    <t>ECB's Stark Speaks in London</t>
  </si>
  <si>
    <t>2011-06-21 10:10</t>
  </si>
  <si>
    <t>2012-06-21 19:30</t>
  </si>
  <si>
    <t>2016-06-21 11:00</t>
  </si>
  <si>
    <t>2017-06-21 13:00</t>
  </si>
  <si>
    <t>2018-06-21 13:00</t>
  </si>
  <si>
    <t>21/6</t>
  </si>
  <si>
    <t>2018-06-21 22:15</t>
  </si>
  <si>
    <t>2019-06-21 14:30</t>
  </si>
  <si>
    <t>2000-06-22</t>
  </si>
  <si>
    <t>2000-06-22 12:30</t>
  </si>
  <si>
    <t>2004-06-22</t>
  </si>
  <si>
    <t>2005-06-22 10:30</t>
  </si>
  <si>
    <t>2005-06-22 22:30</t>
  </si>
  <si>
    <t>Chancellor Speaks on Economic Policy at Mansion House Dinner</t>
  </si>
  <si>
    <t>U.K.'s Brown Speaks at Annual Mansion House Event</t>
  </si>
  <si>
    <t>2005-06-22 22:42</t>
  </si>
  <si>
    <t>2011-06-22 10:30</t>
  </si>
  <si>
    <t>2011-06-22 18:30</t>
  </si>
  <si>
    <t>2015-06-22 19:30</t>
  </si>
  <si>
    <t>2017-06-22 20:00</t>
  </si>
  <si>
    <t>2003-06-23 01:01</t>
  </si>
  <si>
    <t>Rightmove Publishes June House Prices Report</t>
  </si>
  <si>
    <t>2004-06-23</t>
  </si>
  <si>
    <t>2004-06-23 10:30</t>
  </si>
  <si>
    <t>Standard Chartered Plc Preclose 1st Half Earnings Statement</t>
  </si>
  <si>
    <t>2005-06-23 12:30</t>
  </si>
  <si>
    <t>2005-06-23 19:30</t>
  </si>
  <si>
    <t>2008-06-23 08:00</t>
  </si>
  <si>
    <t>2009-06-23 10:05</t>
  </si>
  <si>
    <t>2010-06-23 10:30</t>
  </si>
  <si>
    <t>2020-06-23 10:45</t>
  </si>
  <si>
    <t>2004-06-24</t>
  </si>
  <si>
    <t>2004-06-24 08:00</t>
  </si>
  <si>
    <t>Trinity Mirror Plc Publishes Trading Update</t>
  </si>
  <si>
    <t>2009-06-24 15:30</t>
  </si>
  <si>
    <t>2009-06-24 16:45</t>
  </si>
  <si>
    <t>2011-06-24 10:00</t>
  </si>
  <si>
    <t>2011-06-24 11:30</t>
  </si>
  <si>
    <t>2013-06-24 19:00</t>
  </si>
  <si>
    <t>Fed's Fisher Speaks in London</t>
  </si>
  <si>
    <t>2014-06-24 10:30</t>
  </si>
  <si>
    <t>1998-06-25 10:30</t>
  </si>
  <si>
    <t>1998-06-25 15:35</t>
  </si>
  <si>
    <t>2010-06-25 01:01</t>
  </si>
  <si>
    <t>2013-06-25 08:30</t>
  </si>
  <si>
    <t>2013-06-25 10:30</t>
  </si>
  <si>
    <t>2015-06-25 11:30</t>
  </si>
  <si>
    <t>2020-06-25 19:00</t>
  </si>
  <si>
    <t>2006-06-26 10:10</t>
  </si>
  <si>
    <t>BNP Paribas's Stannard: ECB Monetary Policy</t>
  </si>
  <si>
    <t>2007-06-26 18:00</t>
  </si>
  <si>
    <t>2008-06-26 10:45</t>
  </si>
  <si>
    <t>2009-06-26 01:01</t>
  </si>
  <si>
    <t>2012-06-26 11:00</t>
  </si>
  <si>
    <t>2013-06-26 10:00</t>
  </si>
  <si>
    <t>2013-06-26 11:30</t>
  </si>
  <si>
    <t>2014-06-26</t>
  </si>
  <si>
    <t>2014-06-26 11:30</t>
  </si>
  <si>
    <t>2015-06-26 10:05</t>
  </si>
  <si>
    <t>2015-06-26 16:45</t>
  </si>
  <si>
    <t>2018-06-26 11:00</t>
  </si>
  <si>
    <t>2018-06-26 11:30</t>
  </si>
  <si>
    <t>2019-06-26 11:15</t>
  </si>
  <si>
    <t>2000-06-27 17:00</t>
  </si>
  <si>
    <t>Parliamentary Committee hears Automotive testimony</t>
  </si>
  <si>
    <t>2000-06-27 17:15</t>
  </si>
  <si>
    <t>2004-06-27</t>
  </si>
  <si>
    <t>2005-06-27 01:01</t>
  </si>
  <si>
    <t>2011-06-27 19:00</t>
  </si>
  <si>
    <t>2017-06-27 12:00</t>
  </si>
  <si>
    <t>2018-06-27 11:30</t>
  </si>
  <si>
    <t>2004-06-28</t>
  </si>
  <si>
    <t>2007-06-28 10:45</t>
  </si>
  <si>
    <t>2011-06-28 11:00</t>
  </si>
  <si>
    <t>2011-06-28 12:00</t>
  </si>
  <si>
    <t>2012-06-28 19:00</t>
  </si>
  <si>
    <t>2015-06-28 09:30</t>
  </si>
  <si>
    <t>2016-06-28 11:00</t>
  </si>
  <si>
    <t>2017-06-28 15:30</t>
  </si>
  <si>
    <t>2018-06-28 10:30</t>
  </si>
  <si>
    <t>2018-06-28 12:00</t>
  </si>
  <si>
    <t>2018-06-28 15:30</t>
  </si>
  <si>
    <t>1998-06-29 10:30</t>
  </si>
  <si>
    <t>2000-06-29 10:30</t>
  </si>
  <si>
    <t>2001-06-29 10:30</t>
  </si>
  <si>
    <t>2004-06-29</t>
  </si>
  <si>
    <t>2004-06-29 17:15</t>
  </si>
  <si>
    <t>2006-06-29 10:15</t>
  </si>
  <si>
    <t>2007-06-29 14:00</t>
  </si>
  <si>
    <t>2012-06-29 11:30</t>
  </si>
  <si>
    <t>2020-06-29 11:30</t>
  </si>
  <si>
    <t>2020-06-29 14:30</t>
  </si>
  <si>
    <t>2009-06-30 11:30</t>
  </si>
  <si>
    <t>2010-06-30 10:05</t>
  </si>
  <si>
    <t>2015-06-30 13:00</t>
  </si>
  <si>
    <t>2016-06-30 17:00</t>
  </si>
  <si>
    <t>2016-06-30 21:15</t>
  </si>
  <si>
    <t>Fed's Bullard Speaks in London</t>
  </si>
  <si>
    <t>2020-06-30 12:00</t>
  </si>
  <si>
    <t>2020-06-30 16:00</t>
  </si>
  <si>
    <t>2000-07-13 12:45</t>
  </si>
  <si>
    <t>UK Exchequer's Gordon Brown speaks at conference</t>
  </si>
  <si>
    <t>2004-07-13</t>
  </si>
  <si>
    <t>Earnings Expected: BBI Holdings, Center Parcs, ContentFilm</t>
  </si>
  <si>
    <t>2007-07-13 10:00</t>
  </si>
  <si>
    <t>2010-07-13 14:30</t>
  </si>
  <si>
    <t>2010-07-13 16:50</t>
  </si>
  <si>
    <t>2012-07-13 12:00</t>
  </si>
  <si>
    <t>2018-07-13 13:30</t>
  </si>
  <si>
    <t>2020-07-13 15:00</t>
  </si>
  <si>
    <t>2020-07-13 17:30</t>
  </si>
  <si>
    <t>2009-07-14 10:30</t>
  </si>
  <si>
    <t>2015-07-14 11:15</t>
  </si>
  <si>
    <t>2015-07-14 19:15</t>
  </si>
  <si>
    <t>2016-07-14 13:00</t>
  </si>
  <si>
    <t>14/7</t>
  </si>
  <si>
    <t>1998-07-15 10:30</t>
  </si>
  <si>
    <t>2003-07-15 10:30</t>
  </si>
  <si>
    <t>2008-07-15 10:00</t>
  </si>
  <si>
    <t>2014-07-15 11:00</t>
  </si>
  <si>
    <t>2014-07-15 11:15</t>
  </si>
  <si>
    <t>2016-07-15 11:30</t>
  </si>
  <si>
    <t>2016-07-15 14:00</t>
  </si>
  <si>
    <t>2020-07-15 10:00</t>
  </si>
  <si>
    <t>2008-07-16 15:20</t>
  </si>
  <si>
    <t>2008-07-16 16:45</t>
  </si>
  <si>
    <t>2012-07-16 17:00</t>
  </si>
  <si>
    <t>Barclays Ex-COO Del Missier, FSA's Turner Testify to Lawmakers</t>
  </si>
  <si>
    <t>2013-07-16 12:30</t>
  </si>
  <si>
    <t>2015-07-16 20:00</t>
  </si>
  <si>
    <t>2019-07-16 14:00</t>
  </si>
  <si>
    <t>2020-07-16 13:15</t>
  </si>
  <si>
    <t>2002-07-17 10:30</t>
  </si>
  <si>
    <t>2012-07-17 11:00</t>
  </si>
  <si>
    <t>2013-07-17 10:30</t>
  </si>
  <si>
    <t>2013-07-17 11:30</t>
  </si>
  <si>
    <t>IN</t>
  </si>
  <si>
    <t>India RBI Governor Subbarao to Speak in London</t>
  </si>
  <si>
    <t>2014-07-17 08:15</t>
  </si>
  <si>
    <t>2014-07-17 09:45</t>
  </si>
  <si>
    <t>2017-07-17 15:00</t>
  </si>
  <si>
    <t>2018-07-17 10:00</t>
  </si>
  <si>
    <t>2019-07-17 12:30</t>
  </si>
  <si>
    <t>G-7 Finance Officials Meet in Chantilly, France</t>
  </si>
  <si>
    <t>2020-07-17 12:00</t>
  </si>
  <si>
    <t>2000-07-18 17:15</t>
  </si>
  <si>
    <t>Shadow Chancellor Michael Portillo gives testimony in parliame</t>
  </si>
  <si>
    <t>2001-07-18 10:30</t>
  </si>
  <si>
    <t>2006-07-18 10:25</t>
  </si>
  <si>
    <t>Knightley of ING Discusses U.K. Inflation Data</t>
  </si>
  <si>
    <t>2007-07-18 10:25</t>
  </si>
  <si>
    <t>2007-07-18 10:30</t>
  </si>
  <si>
    <t>2008-07-18 10:05</t>
  </si>
  <si>
    <t>2012-07-18 10:30</t>
  </si>
  <si>
    <t>2013-07-18 10:30</t>
  </si>
  <si>
    <t>2016-07-18 10:15</t>
  </si>
  <si>
    <t>2017-07-18 15:30</t>
  </si>
  <si>
    <t>2019-07-18 12:30</t>
  </si>
  <si>
    <t>2000-07-19 10:30</t>
  </si>
  <si>
    <t>2006-07-19 10:30</t>
  </si>
  <si>
    <t>2007-07-19 18:30</t>
  </si>
  <si>
    <t>2016-07-19 11:40</t>
  </si>
  <si>
    <t>2016-07-19 16:05</t>
  </si>
  <si>
    <t>2000-07-20 10:30</t>
  </si>
  <si>
    <t>2005-07-20 10:30</t>
  </si>
  <si>
    <t>2005-07-20 13:10</t>
  </si>
  <si>
    <t>Former MPC Member Allsopp on U.K. Interest Rates</t>
  </si>
  <si>
    <t>2006-07-20 14:00</t>
  </si>
  <si>
    <t>2007-07-20 07:35</t>
  </si>
  <si>
    <t>2009-07-20 10:30</t>
  </si>
  <si>
    <t>2011-07-20 10:30</t>
  </si>
  <si>
    <t>2020-07-20 17:10</t>
  </si>
  <si>
    <t>2000-07-21 10:30</t>
  </si>
  <si>
    <t>2004-07-21 10:30</t>
  </si>
  <si>
    <t>2010-07-21 10:30</t>
  </si>
  <si>
    <t>2008-07-22 10:35</t>
  </si>
  <si>
    <t>2008-07-22 10:45</t>
  </si>
  <si>
    <t>2009-07-22 10:30</t>
  </si>
  <si>
    <t>2015-07-22 10:30</t>
  </si>
  <si>
    <t>2016-07-22 05:25</t>
  </si>
  <si>
    <t>2008-07-23 10:30</t>
  </si>
  <si>
    <t>2010-07-23 12:00</t>
  </si>
  <si>
    <t>ECB's Tumpel-Gugerell Speaks in London</t>
  </si>
  <si>
    <t>2012-07-23 11:15</t>
  </si>
  <si>
    <t>ECB's Draghi Speaks in London</t>
  </si>
  <si>
    <t>2014-07-23 10:30</t>
  </si>
  <si>
    <t>2014-07-23 13:45</t>
  </si>
  <si>
    <t>2018-07-23 19:00</t>
  </si>
  <si>
    <t>2020-07-23 13:00</t>
  </si>
  <si>
    <t>2000-07-24 10:30</t>
  </si>
  <si>
    <t>2001-07-24 13:30</t>
  </si>
  <si>
    <t>2007-07-24 13:30</t>
  </si>
  <si>
    <t>2008-07-24 19:35</t>
  </si>
  <si>
    <t>2017-07-24 18:00</t>
  </si>
  <si>
    <t>2000-07-25 12:00</t>
  </si>
  <si>
    <t>Bank of France's Trichet Testifies in UK Parliament</t>
  </si>
  <si>
    <t>2006-07-25 19:30</t>
  </si>
  <si>
    <t>2011-07-25 10:30</t>
  </si>
  <si>
    <t>2017-07-25 19:00</t>
  </si>
  <si>
    <t>2012-07-26 11:15</t>
  </si>
  <si>
    <t>ECB's Draghi Speaking at Global Investment Forum in the U.K.</t>
  </si>
  <si>
    <t>2016-07-26 11:40</t>
  </si>
  <si>
    <t>2011-07-27 19:30</t>
  </si>
  <si>
    <t>2004-07-28 19:30</t>
  </si>
  <si>
    <t>2010-07-28 10:45</t>
  </si>
  <si>
    <t>2010-07-28 11:45</t>
  </si>
  <si>
    <t>2015-07-28 16:00</t>
  </si>
  <si>
    <t>2015-07-28 20:00</t>
  </si>
  <si>
    <t>2002-07-29 10:30</t>
  </si>
  <si>
    <t>2014-07-29 09:00</t>
  </si>
  <si>
    <t>2000-07-31 10:30</t>
  </si>
  <si>
    <t>2007-07-31 10:25</t>
  </si>
  <si>
    <t>2003-08-13 11:30</t>
  </si>
  <si>
    <t>2008-08-13 10:30</t>
  </si>
  <si>
    <t>Chester of HBOS Speaks on Outlook for U.K. Economy</t>
  </si>
  <si>
    <t>2008-08-13 10:45</t>
  </si>
  <si>
    <t>2008-08-13 11:30</t>
  </si>
  <si>
    <t>2014-08-13 11:30</t>
  </si>
  <si>
    <t>2013-08-14 10:30</t>
  </si>
  <si>
    <t>2001-08-15 10:30</t>
  </si>
  <si>
    <t>2007-08-15 10:30</t>
  </si>
  <si>
    <t>2012-08-15 10:30</t>
  </si>
  <si>
    <t>2000-08-16 10:30</t>
  </si>
  <si>
    <t>2006-08-16 07:05</t>
  </si>
  <si>
    <t>2006-08-16 10:30</t>
  </si>
  <si>
    <t>2016-08-16 11:40</t>
  </si>
  <si>
    <t>2005-08-17 10:30</t>
  </si>
  <si>
    <t>2011-08-17 10:30</t>
  </si>
  <si>
    <t>2000-08-18 10:30</t>
  </si>
  <si>
    <t>2004-08-18 10:30</t>
  </si>
  <si>
    <t>2010-08-18 10:30</t>
  </si>
  <si>
    <t>2009-08-19 10:30</t>
  </si>
  <si>
    <t>2002-08-20 10:30</t>
  </si>
  <si>
    <t>2008-08-20 10:30</t>
  </si>
  <si>
    <t>2009-08-20 10:30</t>
  </si>
  <si>
    <t>2014-08-20 10:30</t>
  </si>
  <si>
    <t>2008-08-21 08:00</t>
  </si>
  <si>
    <t>Hochschild Mining Plc H1 Earnings</t>
  </si>
  <si>
    <t>Huntsworth Plc H1 Earnings</t>
  </si>
  <si>
    <t>Cineworld Group Plc H1 Earnings</t>
  </si>
  <si>
    <t>2016-08-22 15:50</t>
  </si>
  <si>
    <t>2007-08-23 17:00</t>
  </si>
  <si>
    <t>Betbeze of Credit Agricole on Central Bank Policy</t>
  </si>
  <si>
    <t>2011-08-23 16:00</t>
  </si>
  <si>
    <t>2014-08-23 18:25</t>
  </si>
  <si>
    <t>2016-08-23 11:40</t>
  </si>
  <si>
    <t>2016-08-23 15:50</t>
  </si>
  <si>
    <t>2019-08-23 21:00</t>
  </si>
  <si>
    <t>2016-08-24 15:50</t>
  </si>
  <si>
    <t>2009-08-25 18:45</t>
  </si>
  <si>
    <t>2011-08-25 13:00</t>
  </si>
  <si>
    <t>2006-08-26 18:10</t>
  </si>
  <si>
    <t>2016-08-26 16:50</t>
  </si>
  <si>
    <t>2020-08-26 18:00</t>
  </si>
  <si>
    <t>2019-08-27 14:00</t>
  </si>
  <si>
    <t>2010-08-28 16:00</t>
  </si>
  <si>
    <t>2013-08-28 14:45</t>
  </si>
  <si>
    <t>2015-08-28 10:15</t>
  </si>
  <si>
    <t>2020-08-28 15:05</t>
  </si>
  <si>
    <t>2002-08-29 23:15</t>
  </si>
  <si>
    <t>2015-08-29 18:25</t>
  </si>
  <si>
    <t>2000-08-30 10:30</t>
  </si>
  <si>
    <t>2002-08-30 10:30</t>
  </si>
  <si>
    <t>2016-08-30 11:40</t>
  </si>
  <si>
    <t>2016-08-30 15:50</t>
  </si>
  <si>
    <t>2017-08-30 11:45</t>
  </si>
  <si>
    <t>2016-08-31 15:50</t>
  </si>
  <si>
    <t>2017-08-31 09:25</t>
  </si>
  <si>
    <t>2001-09-13 17:00</t>
  </si>
  <si>
    <t>2011-09-13 13:00</t>
  </si>
  <si>
    <t>2012-09-13 01:01</t>
  </si>
  <si>
    <t>2016-09-13 11:40</t>
  </si>
  <si>
    <t>2016-09-13 15:50</t>
  </si>
  <si>
    <t>2018-09-13 13:00</t>
  </si>
  <si>
    <t>13/9</t>
  </si>
  <si>
    <t>2001-09-14 14:00</t>
  </si>
  <si>
    <t>2001-09-14 16:30</t>
  </si>
  <si>
    <t>2004-09-14 13:00</t>
  </si>
  <si>
    <t>MPC Member Nickell Speaks to Bloomberg Television</t>
  </si>
  <si>
    <t>2007-09-14 10:05</t>
  </si>
  <si>
    <t>2007-09-14 10:30</t>
  </si>
  <si>
    <t>Northern Rock Executives on Outlook: Teleconf.</t>
  </si>
  <si>
    <t>2009-09-14 19:00</t>
  </si>
  <si>
    <t>2010-09-14 10:45</t>
  </si>
  <si>
    <t>2010-09-14 12:00</t>
  </si>
  <si>
    <t>2015-09-14 15:30</t>
  </si>
  <si>
    <t>2016-09-14 13:00</t>
  </si>
  <si>
    <t>2016-09-14 15:50</t>
  </si>
  <si>
    <t>2017-09-14 13:00</t>
  </si>
  <si>
    <t>14/9</t>
  </si>
  <si>
    <t>2018-09-14 12:00</t>
  </si>
  <si>
    <t>2009-09-15 10:45</t>
  </si>
  <si>
    <t>2010-09-15 12:30</t>
  </si>
  <si>
    <t>2016-09-15 13:00</t>
  </si>
  <si>
    <t>15/9</t>
  </si>
  <si>
    <t>2017-09-15 10:50</t>
  </si>
  <si>
    <t>2003-09-16 12:00</t>
  </si>
  <si>
    <t>2010-09-16 10:30</t>
  </si>
  <si>
    <t>2010-09-16 20:45</t>
  </si>
  <si>
    <t>2015-09-16 15:15</t>
  </si>
  <si>
    <t>2003-09-17 10:30</t>
  </si>
  <si>
    <t>2008-09-17 10:30</t>
  </si>
  <si>
    <t>2009-09-17 10:30</t>
  </si>
  <si>
    <t>2012-09-17 17:00</t>
  </si>
  <si>
    <t>ECB's Coene Speaks on Euro-Area Economy in London</t>
  </si>
  <si>
    <t>2013-09-17 01:05</t>
  </si>
  <si>
    <t>2013-09-17 10:30</t>
  </si>
  <si>
    <t>2013-09-17 12:45</t>
  </si>
  <si>
    <t>2013-09-17 17:30</t>
  </si>
  <si>
    <t>2014-09-17 10:30</t>
  </si>
  <si>
    <t>2020-09-17 13:00</t>
  </si>
  <si>
    <t>17/9</t>
  </si>
  <si>
    <t>2001-09-18 13:00</t>
  </si>
  <si>
    <t>18/9</t>
  </si>
  <si>
    <t>2007-09-18 13:00</t>
  </si>
  <si>
    <t>Questa of Cass Business School on Northern Rock</t>
  </si>
  <si>
    <t>2008-09-18 10:00</t>
  </si>
  <si>
    <t>2009-09-18 10:30</t>
  </si>
  <si>
    <t>2013-09-18 10:30</t>
  </si>
  <si>
    <t>2015-09-18 13:00</t>
  </si>
  <si>
    <t>2015-09-18 13:05</t>
  </si>
  <si>
    <t>2017-09-18 17:00</t>
  </si>
  <si>
    <t>2001-09-19 10:30</t>
  </si>
  <si>
    <t>2002-09-19 10:30</t>
  </si>
  <si>
    <t>2006-09-19 10:25</t>
  </si>
  <si>
    <t>2007-09-19 10:30</t>
  </si>
  <si>
    <t>2011-09-19 01:01</t>
  </si>
  <si>
    <t>2012-09-19 10:30</t>
  </si>
  <si>
    <t>2016-09-19 15:50</t>
  </si>
  <si>
    <t>2017-09-19 13:45</t>
  </si>
  <si>
    <t>2018-09-19 10:00</t>
  </si>
  <si>
    <t>2019-09-19 13:00</t>
  </si>
  <si>
    <t>19/9</t>
  </si>
  <si>
    <t>2000-09-20 10:30</t>
  </si>
  <si>
    <t>2001-09-20 10:30</t>
  </si>
  <si>
    <t>2002-09-20 11:00</t>
  </si>
  <si>
    <t>2006-09-20 10:30</t>
  </si>
  <si>
    <t>2007-09-20 07:35</t>
  </si>
  <si>
    <t>2007-09-20 10:25</t>
  </si>
  <si>
    <t>2007-09-20 10:45</t>
  </si>
  <si>
    <t>2010-09-20 17:45</t>
  </si>
  <si>
    <t>2011-09-20 01:00</t>
  </si>
  <si>
    <t>2013-09-20 16:45</t>
  </si>
  <si>
    <t>2016-09-20 11:40</t>
  </si>
  <si>
    <t>2016-09-20 15:10</t>
  </si>
  <si>
    <t>2016-09-20 15:50</t>
  </si>
  <si>
    <t>2005-09-21 10:30</t>
  </si>
  <si>
    <t>2007-09-21 13:00</t>
  </si>
  <si>
    <t>Hilton of CSFI Speaks on Northern Rock Bailout</t>
  </si>
  <si>
    <t>2009-09-21 01:01</t>
  </si>
  <si>
    <t>2009-09-21 12:05</t>
  </si>
  <si>
    <t>2010-09-21 22:30</t>
  </si>
  <si>
    <t>2011-09-21 10:30</t>
  </si>
  <si>
    <t>2011-09-21 13:35</t>
  </si>
  <si>
    <t>2015-09-21 22:30</t>
  </si>
  <si>
    <t>2016-09-21 10:15</t>
  </si>
  <si>
    <t>2016-09-21 15:50</t>
  </si>
  <si>
    <t>1999-09-22</t>
  </si>
  <si>
    <t>2004-09-22 10:30</t>
  </si>
  <si>
    <t>2008-09-22 15:40</t>
  </si>
  <si>
    <t>2010-09-22 10:30</t>
  </si>
  <si>
    <t>2010-09-22 19:30</t>
  </si>
  <si>
    <t>2015-09-22 20:00</t>
  </si>
  <si>
    <t>2016-09-22 14:00</t>
  </si>
  <si>
    <t>2016-09-22 15:30</t>
  </si>
  <si>
    <t>2016-09-22 19:10</t>
  </si>
  <si>
    <t>2020-09-22 09:30</t>
  </si>
  <si>
    <t>2009-09-23 10:30</t>
  </si>
  <si>
    <t>2009-09-23 14:10</t>
  </si>
  <si>
    <t>2013-09-23 20:00</t>
  </si>
  <si>
    <t>2015-09-23 18:00</t>
  </si>
  <si>
    <t>2019-09-23 11:15</t>
  </si>
  <si>
    <t>2007-09-24 18:30</t>
  </si>
  <si>
    <t>2008-09-24 22:45</t>
  </si>
  <si>
    <t>2009-09-24 14:15</t>
  </si>
  <si>
    <t>2012-09-24 10:30</t>
  </si>
  <si>
    <t>2013-09-24 12:30</t>
  </si>
  <si>
    <t>2013-09-24 13:00</t>
  </si>
  <si>
    <t>2013-09-24 14:45</t>
  </si>
  <si>
    <t>2013-09-24 19:00</t>
  </si>
  <si>
    <t>2020-09-24 16:00</t>
  </si>
  <si>
    <t>2007-09-25 07:35</t>
  </si>
  <si>
    <t>2008-09-25 14:40</t>
  </si>
  <si>
    <t>2012-09-25 11:30</t>
  </si>
  <si>
    <t>2013-09-25 10:30</t>
  </si>
  <si>
    <t>2014-09-25 14:40</t>
  </si>
  <si>
    <t>2015-09-25 15:00</t>
  </si>
  <si>
    <t>2018-09-25 10:40</t>
  </si>
  <si>
    <t>2019-09-25 15:05</t>
  </si>
  <si>
    <t>2019-09-25 17:15</t>
  </si>
  <si>
    <t>2006-09-26 19:30</t>
  </si>
  <si>
    <t>2008-09-26 09:30</t>
  </si>
  <si>
    <t>2011-09-26 10:30</t>
  </si>
  <si>
    <t>2016-09-26 15:50</t>
  </si>
  <si>
    <t>2019-09-26 15:45</t>
  </si>
  <si>
    <t>2006-09-27 09:30</t>
  </si>
  <si>
    <t>2007-09-27 15:00</t>
  </si>
  <si>
    <t>Paulson, Blair, Brundtland Speak at Clinton Event</t>
  </si>
  <si>
    <t>2007-09-27 16:55</t>
  </si>
  <si>
    <t>2007-09-27 17:00</t>
  </si>
  <si>
    <t>2011-09-27 09:30</t>
  </si>
  <si>
    <t>2016-09-27 11:40</t>
  </si>
  <si>
    <t>2016-09-27 15:50</t>
  </si>
  <si>
    <t>2018-09-27 13:45</t>
  </si>
  <si>
    <t>2018-09-27 16:00</t>
  </si>
  <si>
    <t>2019-09-27 09:00</t>
  </si>
  <si>
    <t>2009-09-28 10:00</t>
  </si>
  <si>
    <t>2010-09-28 15:00</t>
  </si>
  <si>
    <t>2011-09-28 10:30</t>
  </si>
  <si>
    <t>2015-09-28 09:00</t>
  </si>
  <si>
    <t>2016-09-28 10:05</t>
  </si>
  <si>
    <t>2016-09-28 15:50</t>
  </si>
  <si>
    <t>2017-09-28 11:00</t>
  </si>
  <si>
    <t>2017-09-28 16:00</t>
  </si>
  <si>
    <t>2018-09-28 15:20</t>
  </si>
  <si>
    <t>2000-09-29 08:00</t>
  </si>
  <si>
    <t>2000-09-29 10:30</t>
  </si>
  <si>
    <t>2000-09-29 12:00</t>
  </si>
  <si>
    <t>Tomkins Plc - Annual General Meeting</t>
  </si>
  <si>
    <t>2011-09-29 09:00</t>
  </si>
  <si>
    <t>2015-09-29 21:15</t>
  </si>
  <si>
    <t>2016-09-29 16:00</t>
  </si>
  <si>
    <t>2017-09-29 10:45</t>
  </si>
  <si>
    <t>2017-09-29 12:30</t>
  </si>
  <si>
    <t>2017-09-29 14:00</t>
  </si>
  <si>
    <t>2017-09-29 14:30</t>
  </si>
  <si>
    <t>2020-09-29 16:00</t>
  </si>
  <si>
    <t>2002-09-30 10:30</t>
  </si>
  <si>
    <t>2004-09-30 10:45</t>
  </si>
  <si>
    <t>2009-09-30 11:00</t>
  </si>
  <si>
    <t>2010-09-30 09:00</t>
  </si>
  <si>
    <t>2010-09-30 10:30</t>
  </si>
  <si>
    <t>2010-09-30 11:05</t>
  </si>
  <si>
    <t>2014-09-30 10:15</t>
  </si>
  <si>
    <t>Bank of Portugal Vice Governor Speaks in London</t>
  </si>
  <si>
    <t>2014-09-30 19:30</t>
  </si>
  <si>
    <t>2015-09-30 13:00</t>
  </si>
  <si>
    <t>PRA's Paul Fisher - Deputy Head of the PRA - speaks in London</t>
  </si>
  <si>
    <t>2020-09-30 10:30</t>
  </si>
  <si>
    <t>2005-10-13 12:45</t>
  </si>
  <si>
    <t>2008-10-13 12:30</t>
  </si>
  <si>
    <t>2009-10-13 08:35</t>
  </si>
  <si>
    <t>2009-10-13 10:30</t>
  </si>
  <si>
    <t>2009-10-13 15:00</t>
  </si>
  <si>
    <t>2010-10-13 19:40</t>
  </si>
  <si>
    <t>2011-10-13 15:00</t>
  </si>
  <si>
    <t>2015-10-13 11:00</t>
  </si>
  <si>
    <t>2015-10-13 12:00</t>
  </si>
  <si>
    <t>2015-10-13 19:00</t>
  </si>
  <si>
    <t>2017-10-13 20:10</t>
  </si>
  <si>
    <t>2020-10-13 16:00</t>
  </si>
  <si>
    <t>2010-10-14 12:30</t>
  </si>
  <si>
    <t>ECB's Mersch Speaking in London</t>
  </si>
  <si>
    <t>2013-10-14 17:00</t>
  </si>
  <si>
    <t>2016-10-14 01:01</t>
  </si>
  <si>
    <t>2016-10-14 13:45</t>
  </si>
  <si>
    <t>2016-10-14 15:30</t>
  </si>
  <si>
    <t>2019-10-14 14:10</t>
  </si>
  <si>
    <t>2020-10-14 15:30</t>
  </si>
  <si>
    <t>2020-10-14 18:00</t>
  </si>
  <si>
    <t>2007-10-15 19:30</t>
  </si>
  <si>
    <t>2010-10-15 01:00</t>
  </si>
  <si>
    <t>2013-10-15 11:00</t>
  </si>
  <si>
    <t>2015-10-15 10:30</t>
  </si>
  <si>
    <t>2019-10-15 10:30</t>
  </si>
  <si>
    <t>2019-10-15 12:15</t>
  </si>
  <si>
    <t>Riksbank Governor Ingves Speaks in London</t>
  </si>
  <si>
    <t>2019-10-15 14:30</t>
  </si>
  <si>
    <t>2020-10-15 15:00</t>
  </si>
  <si>
    <t>2008-10-16 12:00</t>
  </si>
  <si>
    <t>2014-10-16 11:45</t>
  </si>
  <si>
    <t>2015-10-16 12:20</t>
  </si>
  <si>
    <t>2019-10-16 16:00</t>
  </si>
  <si>
    <t>2001-10-17 10:30</t>
  </si>
  <si>
    <t>2005-10-17 17:30</t>
  </si>
  <si>
    <t>2006-10-17 12:20</t>
  </si>
  <si>
    <t>2007-10-17 10:30</t>
  </si>
  <si>
    <t>2012-10-17 10:30</t>
  </si>
  <si>
    <t>2012-10-17 11:15</t>
  </si>
  <si>
    <t>2014-10-17 08:45</t>
  </si>
  <si>
    <t>2016-10-17 15:50</t>
  </si>
  <si>
    <t>2016-10-17 16:45</t>
  </si>
  <si>
    <t>2017-10-17 10:15</t>
  </si>
  <si>
    <t>2017-10-17 12:15</t>
  </si>
  <si>
    <t>2017-10-17 15:30</t>
  </si>
  <si>
    <t>2018-10-17 10:30</t>
  </si>
  <si>
    <t>2018-10-17 15:15</t>
  </si>
  <si>
    <t>2018-10-17 19:00</t>
  </si>
  <si>
    <t>2019-10-17 00:00</t>
  </si>
  <si>
    <t>2000-10-18 10:30</t>
  </si>
  <si>
    <t>2002-10-18 10:30</t>
  </si>
  <si>
    <t>2006-10-18 10:25</t>
  </si>
  <si>
    <t>2006-10-18 10:30</t>
  </si>
  <si>
    <t>2009-10-18 15:05</t>
  </si>
  <si>
    <t>2011-10-18 11:00</t>
  </si>
  <si>
    <t>2011-10-18 21:00</t>
  </si>
  <si>
    <t>2012-10-18 13:00</t>
  </si>
  <si>
    <t>2013-10-18 12:00</t>
  </si>
  <si>
    <t>2016-10-18 15:50</t>
  </si>
  <si>
    <t>2019-10-18 19:45</t>
  </si>
  <si>
    <t>2019-10-18 23:15</t>
  </si>
  <si>
    <t>2020-10-18 15:05</t>
  </si>
  <si>
    <t>2001-10-19 12:30</t>
  </si>
  <si>
    <t>2005-10-19 10:30</t>
  </si>
  <si>
    <t>2005-10-19 13:15</t>
  </si>
  <si>
    <t>2007-10-19 11:10</t>
  </si>
  <si>
    <t>2010-10-19 20:30</t>
  </si>
  <si>
    <t>2011-10-19 10:30</t>
  </si>
  <si>
    <t>2011-10-19 15:15</t>
  </si>
  <si>
    <t>2015-10-19 21:05</t>
  </si>
  <si>
    <t>2016-10-19 15:15</t>
  </si>
  <si>
    <t>U.K. Chancellor Hammond Testifies to Treasury Committee</t>
  </si>
  <si>
    <t>2016-10-19 15:50</t>
  </si>
  <si>
    <t>2016-10-19 19:00</t>
  </si>
  <si>
    <t>2018-10-19 18:10</t>
  </si>
  <si>
    <t>2020-10-19 15:30</t>
  </si>
  <si>
    <t>2020-10-19 16:05</t>
  </si>
  <si>
    <t>2020-10-19 17:00</t>
  </si>
  <si>
    <t>1999-10-20</t>
  </si>
  <si>
    <t>2000-10-20 08:00</t>
  </si>
  <si>
    <t>2004-10-20 10:30</t>
  </si>
  <si>
    <t>2009-10-20 21:15</t>
  </si>
  <si>
    <t>2010-10-20 10:30</t>
  </si>
  <si>
    <t>2014-10-20 13:10</t>
  </si>
  <si>
    <t>2015-10-20 11:00</t>
  </si>
  <si>
    <t>2015-10-20 11:45</t>
  </si>
  <si>
    <t>2015-10-20 12:00</t>
  </si>
  <si>
    <t>2016-10-20 15:00</t>
  </si>
  <si>
    <t>2020-10-20 11:30</t>
  </si>
  <si>
    <t>2008-10-21 13:05</t>
  </si>
  <si>
    <t>2008-10-21 21:10</t>
  </si>
  <si>
    <t>2009-10-21 10:30</t>
  </si>
  <si>
    <t>2010-10-21 18:00</t>
  </si>
  <si>
    <t>2013-10-21 14:30</t>
  </si>
  <si>
    <t>2015-10-21 19:00</t>
  </si>
  <si>
    <t>2019-10-21 17:00</t>
  </si>
  <si>
    <t>2020-10-21 14:10</t>
  </si>
  <si>
    <t>2003-10-22 10:30</t>
  </si>
  <si>
    <t>2008-10-22 10:30</t>
  </si>
  <si>
    <t>2008-10-22 13:05</t>
  </si>
  <si>
    <t>2009-10-22 10:30</t>
  </si>
  <si>
    <t>2009-10-22 17:30</t>
  </si>
  <si>
    <t>2009-10-22 18:00</t>
  </si>
  <si>
    <t>Fed's Lockhart Speaks About Childhood Education</t>
  </si>
  <si>
    <t>2012-10-22 10:30</t>
  </si>
  <si>
    <t>2013-10-22 10:10</t>
  </si>
  <si>
    <t>2014-10-22 10:30</t>
  </si>
  <si>
    <t>2014-10-22 15:15</t>
  </si>
  <si>
    <t>2015-10-22 10:20</t>
  </si>
  <si>
    <t>2015-10-22 21:30</t>
  </si>
  <si>
    <t>2020-10-22 10:30</t>
  </si>
  <si>
    <t>2020-10-22 11:25</t>
  </si>
  <si>
    <t>2000-10-23 08:00</t>
  </si>
  <si>
    <t>2007-10-23 10:40</t>
  </si>
  <si>
    <t>2007-10-23 13:45</t>
  </si>
  <si>
    <t>2012-10-23 11:00</t>
  </si>
  <si>
    <t>2012-10-23 21:00</t>
  </si>
  <si>
    <t>2013-10-23 10:30</t>
  </si>
  <si>
    <t>2013-10-23 20:30</t>
  </si>
  <si>
    <t>2014-10-23 10:10</t>
  </si>
  <si>
    <t>2018-10-23 12:30</t>
  </si>
  <si>
    <t>2018-10-23 17:20</t>
  </si>
  <si>
    <t>2020-10-23 16:00</t>
  </si>
  <si>
    <t>2000-10-24 12:30</t>
  </si>
  <si>
    <t>2006-10-24 19:30</t>
  </si>
  <si>
    <t>2011-10-24 10:05</t>
  </si>
  <si>
    <t>2011-10-24 18:30</t>
  </si>
  <si>
    <t>2012-10-24 15:00</t>
  </si>
  <si>
    <t>FSA's Bailey Speaks in London</t>
  </si>
  <si>
    <t>2013-10-24 18:45</t>
  </si>
  <si>
    <t>2016-10-24 05:15</t>
  </si>
  <si>
    <t>2016-10-24 08:30</t>
  </si>
  <si>
    <t>2016-10-24 15:50</t>
  </si>
  <si>
    <t>2005-10-25 16:40</t>
  </si>
  <si>
    <t>2007-10-25 09:55</t>
  </si>
  <si>
    <t>2010-10-25 10:30</t>
  </si>
  <si>
    <t>2010-10-25 13:15</t>
  </si>
  <si>
    <t>2010-10-25 21:00</t>
  </si>
  <si>
    <t>2011-10-25 10:45</t>
  </si>
  <si>
    <t>2011-10-25 18:30</t>
  </si>
  <si>
    <t>2012-10-25 12:00</t>
  </si>
  <si>
    <t>2012-10-25 12:15</t>
  </si>
  <si>
    <t>2016-10-25 15:50</t>
  </si>
  <si>
    <t>2016-10-25 16:35</t>
  </si>
  <si>
    <t>2009-10-26 08:10</t>
  </si>
  <si>
    <t>2009-10-26 10:30</t>
  </si>
  <si>
    <t>2009-10-26 19:35</t>
  </si>
  <si>
    <t>2010-10-26 18:00</t>
  </si>
  <si>
    <t>2011-10-26 16:30</t>
  </si>
  <si>
    <t>2011-10-26 20:00</t>
  </si>
  <si>
    <t>2016-10-26 15:50</t>
  </si>
  <si>
    <t>2003-10-27 01:01</t>
  </si>
  <si>
    <t>Hometrack Publishes October House Prices Report</t>
  </si>
  <si>
    <t>2010-10-27 11:20</t>
  </si>
  <si>
    <t>2014-10-27 19:00</t>
  </si>
  <si>
    <t>2014-10-27 19:30</t>
  </si>
  <si>
    <t>2015-10-27 17:00</t>
  </si>
  <si>
    <t>2008-10-28 01:01</t>
  </si>
  <si>
    <t>2008-10-28 18:20</t>
  </si>
  <si>
    <t>2013-10-28 14:20</t>
  </si>
  <si>
    <t>2014-10-28 18:30</t>
  </si>
  <si>
    <t>2019-10-28 18:00</t>
  </si>
  <si>
    <t>2001-10-29 10:30</t>
  </si>
  <si>
    <t>2002-10-29 10:30</t>
  </si>
  <si>
    <t>2006-10-29 18:20</t>
  </si>
  <si>
    <t>2007-10-29 08:00</t>
  </si>
  <si>
    <t>U.K. Earnings Expected:Lancashire Holdings, Chloride Group,</t>
  </si>
  <si>
    <t>2008-10-29 19:00</t>
  </si>
  <si>
    <t>2010-10-29 10:30</t>
  </si>
  <si>
    <t>2012-10-29 16:00</t>
  </si>
  <si>
    <t>2012-10-29 19:00</t>
  </si>
  <si>
    <t>2014-10-29 18:30</t>
  </si>
  <si>
    <t>2015-10-29 16:00</t>
  </si>
  <si>
    <t>2019-10-29 19:00</t>
  </si>
  <si>
    <t>2000-10-30 10:30</t>
  </si>
  <si>
    <t>2000-10-30 17:15</t>
  </si>
  <si>
    <t>2007-10-30 07:35</t>
  </si>
  <si>
    <t>2007-10-30 08:00</t>
  </si>
  <si>
    <t>U.K. Earnings Expected: Imperial Tobacco, LiDCO Group, Endace</t>
  </si>
  <si>
    <t>2007-10-30 19:00</t>
  </si>
  <si>
    <t>2009-10-30 08:15</t>
  </si>
  <si>
    <t>2013-10-30 11:30</t>
  </si>
  <si>
    <t>ECB's Costa Speaks at OMFIF Event in London</t>
  </si>
  <si>
    <t>2013-10-30 19:30</t>
  </si>
  <si>
    <t>Bundesbank Board Member Nagel Speaks in London</t>
  </si>
  <si>
    <t>2015-10-30 10:00</t>
  </si>
  <si>
    <t>2000-10-31 11:45</t>
  </si>
  <si>
    <t>2006-10-31 13:15</t>
  </si>
  <si>
    <t>Salameh of Lebanon Discusses Economic Outlook</t>
  </si>
  <si>
    <t>2006-10-31 16:30</t>
  </si>
  <si>
    <t>2006-10-31 16:37</t>
  </si>
  <si>
    <t>2007-10-31 08:00</t>
  </si>
  <si>
    <t>U.K. Earnings Expected: RDF Media Group, Celsis, Nord Anglia</t>
  </si>
  <si>
    <t>2007-10-31 18:55</t>
  </si>
  <si>
    <t>2007-10-31 20:00</t>
  </si>
  <si>
    <t>2012-10-31 02:00</t>
  </si>
  <si>
    <t>2012-10-31 19:00</t>
  </si>
  <si>
    <t>2014-10-31 15:00</t>
  </si>
  <si>
    <t>2016-10-31 15:50</t>
  </si>
  <si>
    <t>MX</t>
  </si>
  <si>
    <t>2002-11-13 11:30</t>
  </si>
  <si>
    <t>2003-11-13 12:30</t>
  </si>
  <si>
    <t>Brown Answers Questions in Parliament</t>
  </si>
  <si>
    <t>2012-11-13 12:30</t>
  </si>
  <si>
    <t>2013-11-13 11:30</t>
  </si>
  <si>
    <t>2020-11-13 14:00</t>
  </si>
  <si>
    <t>2020-11-13 15:00</t>
  </si>
  <si>
    <t>2000-11-14 18:30</t>
  </si>
  <si>
    <t>2001-11-14 11:30</t>
  </si>
  <si>
    <t>2007-11-14 11:30</t>
  </si>
  <si>
    <t>2011-11-14 20:00</t>
  </si>
  <si>
    <t>2012-11-14 11:30</t>
  </si>
  <si>
    <t>2013-11-14 10:30</t>
  </si>
  <si>
    <t>2013-11-14 19:45</t>
  </si>
  <si>
    <t>2017-11-14 11:00</t>
  </si>
  <si>
    <t>2017-11-14 16:30</t>
  </si>
  <si>
    <t>FPC's Kohn speaks on panel in Frankfurt</t>
  </si>
  <si>
    <t>2017-11-14 18:30</t>
  </si>
  <si>
    <t>2019-11-14 10:45</t>
  </si>
  <si>
    <t>ECB's Guindos Speaks in London</t>
  </si>
  <si>
    <t>2006-11-15 11:30</t>
  </si>
  <si>
    <t>2010-11-15 01:00</t>
  </si>
  <si>
    <t>2013-11-15 15:30</t>
  </si>
  <si>
    <t>2016-11-15 11:00</t>
  </si>
  <si>
    <t>2017-11-15 09:00</t>
  </si>
  <si>
    <t>ECB's Hansson Participates in Panel Discussion in London</t>
  </si>
  <si>
    <t>2017-11-15 11:00</t>
  </si>
  <si>
    <t>2017-11-15 14:00</t>
  </si>
  <si>
    <t>1999-11-16 20:30</t>
  </si>
  <si>
    <t>2000-11-16 11:30</t>
  </si>
  <si>
    <t>2000-11-16 17:00</t>
  </si>
  <si>
    <t>2000-11-16 20:00</t>
  </si>
  <si>
    <t>2005-11-16 11:29</t>
  </si>
  <si>
    <t>2005-11-16 11:30</t>
  </si>
  <si>
    <t>2006-11-16 20:00</t>
  </si>
  <si>
    <t>2009-11-16 09:15</t>
  </si>
  <si>
    <t>2009-11-16 19:00</t>
  </si>
  <si>
    <t>2010-11-16 16:30</t>
  </si>
  <si>
    <t>2011-11-16 11:30</t>
  </si>
  <si>
    <t>2016-11-16 09:05</t>
  </si>
  <si>
    <t>St. Louis Fed's Bullard addresses UBS European Confere</t>
  </si>
  <si>
    <t>2016-11-16 15:00</t>
  </si>
  <si>
    <t>2017-11-16 15:00</t>
  </si>
  <si>
    <t>2020-11-16 18:30</t>
  </si>
  <si>
    <t>1999-11-17 10:30</t>
  </si>
  <si>
    <t>2003-11-17 01:01</t>
  </si>
  <si>
    <t>Rightmove Publishes November House Prices Report</t>
  </si>
  <si>
    <t>2004-11-17 10:30</t>
  </si>
  <si>
    <t>2009-11-17 10:30</t>
  </si>
  <si>
    <t>2010-11-17 10:30</t>
  </si>
  <si>
    <t>2014-11-17 04:00</t>
  </si>
  <si>
    <t>2014-11-17 10:30</t>
  </si>
  <si>
    <t>2020-11-17 12:15</t>
  </si>
  <si>
    <t>2020-11-17 18:00</t>
  </si>
  <si>
    <t>1999-11-18 10:30</t>
  </si>
  <si>
    <t>2005-11-18 11:45</t>
  </si>
  <si>
    <t>2008-11-18 16:45</t>
  </si>
  <si>
    <t>2009-11-18 10:30</t>
  </si>
  <si>
    <t>2010-11-18 15:45</t>
  </si>
  <si>
    <t>2014-11-18 19:30</t>
  </si>
  <si>
    <t>2015-11-18 10:00</t>
  </si>
  <si>
    <t>2016-11-18 10:10</t>
  </si>
  <si>
    <t>2020-11-18 11:30</t>
  </si>
  <si>
    <t>2020-11-18 17:30</t>
  </si>
  <si>
    <t>1999-11-19</t>
  </si>
  <si>
    <t>1999-11-19 10:45</t>
  </si>
  <si>
    <t>1999-11-19 18:30</t>
  </si>
  <si>
    <t>2002-11-19 19:30</t>
  </si>
  <si>
    <t>2003-11-19 10:30</t>
  </si>
  <si>
    <t>2008-11-19 10:30</t>
  </si>
  <si>
    <t>2008-11-19 14:30</t>
  </si>
  <si>
    <t>Bank of Canada Governor Carney Speaks in London</t>
  </si>
  <si>
    <t>2008-11-19 19:40</t>
  </si>
  <si>
    <t>2009-11-19 10:20</t>
  </si>
  <si>
    <t>2009-11-19 10:30</t>
  </si>
  <si>
    <t>2010-11-19 13:45</t>
  </si>
  <si>
    <t>2012-11-19 10:30</t>
  </si>
  <si>
    <t>2012-11-19 17:30</t>
  </si>
  <si>
    <t>Turner and FSA's Bailey Speak at Parliament Commission, London</t>
  </si>
  <si>
    <t>2013-11-19 19:00</t>
  </si>
  <si>
    <t>2014-11-19 10:30</t>
  </si>
  <si>
    <t>2014-11-19 15:45</t>
  </si>
  <si>
    <t>2000-11-20 10:30</t>
  </si>
  <si>
    <t>2003-11-20 11:45</t>
  </si>
  <si>
    <t>2003-11-20 19:45</t>
  </si>
  <si>
    <t>Kate Barker speaks at Teeside Business School</t>
  </si>
  <si>
    <t>2007-11-20 12:15</t>
  </si>
  <si>
    <t>2010-11-20 21:35</t>
  </si>
  <si>
    <t>2013-11-20 10:30</t>
  </si>
  <si>
    <t>2013-11-20 11:20</t>
  </si>
  <si>
    <t>2013-11-20 18:35</t>
  </si>
  <si>
    <t>PRA's Chris Moulder Speaks in London</t>
  </si>
  <si>
    <t>2013-11-20 19:30</t>
  </si>
  <si>
    <t>2014-11-20 10:10</t>
  </si>
  <si>
    <t>2017-11-20 19:30</t>
  </si>
  <si>
    <t>2018-11-20 11:00</t>
  </si>
  <si>
    <t>2001-11-21 10:30</t>
  </si>
  <si>
    <t>2007-11-21 10:30</t>
  </si>
  <si>
    <t>2012-11-21</t>
  </si>
  <si>
    <t>2012-11-21 10:30</t>
  </si>
  <si>
    <t>2012-11-21 15:30</t>
  </si>
  <si>
    <t>2014-11-21 20:45</t>
  </si>
  <si>
    <t>2016-11-21 15:50</t>
  </si>
  <si>
    <t>2016-11-21 20:25</t>
  </si>
  <si>
    <t>2017-11-21 11:00</t>
  </si>
  <si>
    <t>2018-11-21 16:15</t>
  </si>
  <si>
    <t>2000-11-22 10:30</t>
  </si>
  <si>
    <t>2000-11-22 17:15</t>
  </si>
  <si>
    <t>2006-11-22 10:30</t>
  </si>
  <si>
    <t>2007-11-22 22:40</t>
  </si>
  <si>
    <t>2008-11-22 10:45</t>
  </si>
  <si>
    <t>2011-11-22 11:30</t>
  </si>
  <si>
    <t>2011-11-22 20:00</t>
  </si>
  <si>
    <t>2012-11-22 10:30</t>
  </si>
  <si>
    <t>2013-11-22 00:00</t>
  </si>
  <si>
    <t>Riksbank Deputy Governor Karolina Ekholm panel participation</t>
  </si>
  <si>
    <t>2016-11-22 15:50</t>
  </si>
  <si>
    <t>2018-11-22 21:55</t>
  </si>
  <si>
    <t>1999-11-23 10:30</t>
  </si>
  <si>
    <t>2004-11-23 22:30</t>
  </si>
  <si>
    <t>2005-11-23 10:30</t>
  </si>
  <si>
    <t>2010-11-23 17:30</t>
  </si>
  <si>
    <t>2011-11-23 01:00</t>
  </si>
  <si>
    <t>2011-11-23 10:30</t>
  </si>
  <si>
    <t>2016-11-23 12:30</t>
  </si>
  <si>
    <t>2020-11-23 16:30</t>
  </si>
  <si>
    <t>2005-11-24 10:30</t>
  </si>
  <si>
    <t>2005-11-24 20:30</t>
  </si>
  <si>
    <t>2009-11-24 10:45</t>
  </si>
  <si>
    <t>2009-11-24 16:35</t>
  </si>
  <si>
    <t>2010-11-24 13:20</t>
  </si>
  <si>
    <t>2011-11-24 10:30</t>
  </si>
  <si>
    <t>FSA's Andrew Bailey Speaks in London</t>
  </si>
  <si>
    <t>2014-11-24 11:00</t>
  </si>
  <si>
    <t>2015-11-24 11:00</t>
  </si>
  <si>
    <t>2016-11-24 15:50</t>
  </si>
  <si>
    <t>2020-11-24 12:00</t>
  </si>
  <si>
    <t>2004-11-25 10:30</t>
  </si>
  <si>
    <t>2004-11-25 22:00</t>
  </si>
  <si>
    <t>2008-11-25 10:45</t>
  </si>
  <si>
    <t>2010-11-25 11:00</t>
  </si>
  <si>
    <t>2011-11-25 14:00</t>
  </si>
  <si>
    <t>2014-11-25 11:00</t>
  </si>
  <si>
    <t>2019-11-25 19:00</t>
  </si>
  <si>
    <t>ECB's Lane Speaks in London</t>
  </si>
  <si>
    <t>2002-11-26 11:30</t>
  </si>
  <si>
    <t>2009-11-26 09:30</t>
  </si>
  <si>
    <t>2013-11-26 11:00</t>
  </si>
  <si>
    <t>2013-11-26 14:45</t>
  </si>
  <si>
    <t>2014-11-26 10:10</t>
  </si>
  <si>
    <t>2018-11-26 19:30</t>
  </si>
  <si>
    <t>2001-11-27 11:45</t>
  </si>
  <si>
    <t>2006-11-27 20:10</t>
  </si>
  <si>
    <t>2007-11-27 17:15</t>
  </si>
  <si>
    <t>2007-11-27 19:45</t>
  </si>
  <si>
    <t>2012-11-27 11:00</t>
  </si>
  <si>
    <t>2013-11-27 10:20</t>
  </si>
  <si>
    <t>2017-11-27 15:30</t>
  </si>
  <si>
    <t>2000-11-28 19:30</t>
  </si>
  <si>
    <t>2000-11-28 20:00</t>
  </si>
  <si>
    <t>2005-11-28 11:25</t>
  </si>
  <si>
    <t>2011-11-28 16:00</t>
  </si>
  <si>
    <t>2013-11-28 11:30</t>
  </si>
  <si>
    <t>2016-11-28 15:50</t>
  </si>
  <si>
    <t>2016-11-28 17:00</t>
  </si>
  <si>
    <t>2017-11-28 08:30</t>
  </si>
  <si>
    <t>2018-11-28 17:30</t>
  </si>
  <si>
    <t>2018-11-28 17:45</t>
  </si>
  <si>
    <t>2000-11-29 10:30</t>
  </si>
  <si>
    <t>2001-11-29 10:30</t>
  </si>
  <si>
    <t>2007-11-29 10:25</t>
  </si>
  <si>
    <t>2007-11-29 10:45</t>
  </si>
  <si>
    <t>2012-11-29 11:30</t>
  </si>
  <si>
    <t>2016-11-29 15:50</t>
  </si>
  <si>
    <t>2017-11-29 15:00</t>
  </si>
  <si>
    <t>2017-11-29 15:45</t>
  </si>
  <si>
    <t>1999-11-30 18:30</t>
  </si>
  <si>
    <t>1999-11-30 20:00</t>
  </si>
  <si>
    <t>2004-11-30 10:30</t>
  </si>
  <si>
    <t>2006-11-30 11:00</t>
  </si>
  <si>
    <t>2011-11-30 17:00</t>
  </si>
  <si>
    <t>2016-11-30 08:00</t>
  </si>
  <si>
    <t>2016-11-30 15:50</t>
  </si>
  <si>
    <t>2017-11-30 19:10</t>
  </si>
  <si>
    <t>2020-11-30 15:30</t>
  </si>
  <si>
    <t>2007-12-13 16:20</t>
  </si>
  <si>
    <t>2011-12-13 10:30</t>
  </si>
  <si>
    <t>2013-12-13 09:45</t>
  </si>
  <si>
    <t>2013-12-13 13:30</t>
  </si>
  <si>
    <t>2016-12-13 15:50</t>
  </si>
  <si>
    <t>2006-12-14 09:45</t>
  </si>
  <si>
    <t>2009-12-14 01:01</t>
  </si>
  <si>
    <t>2012-12-14 03:00</t>
  </si>
  <si>
    <t>2015-12-14 13:00</t>
  </si>
  <si>
    <t>2016-12-14 13:15</t>
  </si>
  <si>
    <t>2016-12-14 15:50</t>
  </si>
  <si>
    <t>2017-12-14 13:00</t>
  </si>
  <si>
    <t>14/12</t>
  </si>
  <si>
    <t>2015-12-15 13:00</t>
  </si>
  <si>
    <t>2016-12-15 13:00</t>
  </si>
  <si>
    <t>15/12</t>
  </si>
  <si>
    <t>CH</t>
  </si>
  <si>
    <t>2017-12-15 14:15</t>
  </si>
  <si>
    <t>2003-12-16 01:30</t>
  </si>
  <si>
    <t>2009-12-16 09:30</t>
  </si>
  <si>
    <t>2010-12-16 09:20</t>
  </si>
  <si>
    <t>2010-12-16 10:30</t>
  </si>
  <si>
    <t>2011-12-16 09:00</t>
  </si>
  <si>
    <t>IT</t>
  </si>
  <si>
    <t>2011-12-16 09:30</t>
  </si>
  <si>
    <t>2014-12-16 10:00</t>
  </si>
  <si>
    <t>2019-12-16 18:00</t>
  </si>
  <si>
    <t>2019-12-16 18:30</t>
  </si>
  <si>
    <t>1999-12-17 09:45</t>
  </si>
  <si>
    <t>2003-12-17 10:30</t>
  </si>
  <si>
    <t>2008-12-17 10:30</t>
  </si>
  <si>
    <t>2009-12-17 10:30</t>
  </si>
  <si>
    <t>2010-12-17 01:01</t>
  </si>
  <si>
    <t>2013-12-17 16:30</t>
  </si>
  <si>
    <t>2014-12-17 10:30</t>
  </si>
  <si>
    <t>2019-12-17 20:15</t>
  </si>
  <si>
    <t>2020-12-17 13:00</t>
  </si>
  <si>
    <t>17/12</t>
  </si>
  <si>
    <t>2007-12-18 10:40</t>
  </si>
  <si>
    <t>2007-12-18 10:45</t>
  </si>
  <si>
    <t>2007-12-18 11:00</t>
  </si>
  <si>
    <t>2007-12-18 11:45</t>
  </si>
  <si>
    <t>2009-12-18 01:01</t>
  </si>
  <si>
    <t>2009-12-18 10:30</t>
  </si>
  <si>
    <t>2012-12-18 01:01</t>
  </si>
  <si>
    <t>2013-12-18 10:30</t>
  </si>
  <si>
    <t>2013-12-18 11:00</t>
  </si>
  <si>
    <t>2001-12-19 10:30</t>
  </si>
  <si>
    <t>2002-12-19 01:30</t>
  </si>
  <si>
    <t>2002-12-19 08:30</t>
  </si>
  <si>
    <t>Nationwide Publishes 2003 House Price Forecast</t>
  </si>
  <si>
    <t>2007-12-19 10:30</t>
  </si>
  <si>
    <t>2012-12-19 10:30</t>
  </si>
  <si>
    <t>2019-12-19 13:00</t>
  </si>
  <si>
    <t>19/12</t>
  </si>
  <si>
    <t>1999-12-20 10:30</t>
  </si>
  <si>
    <t>2000-12-20 10:30</t>
  </si>
  <si>
    <t>2006-12-20 10:25</t>
  </si>
  <si>
    <t>2006-12-20 10:30</t>
  </si>
  <si>
    <t>2012-12-20 15:00</t>
  </si>
  <si>
    <t>2013-12-20 01:05</t>
  </si>
  <si>
    <t>2017-12-20 14:15</t>
  </si>
  <si>
    <t>2018-12-20 13:00</t>
  </si>
  <si>
    <t>20/12</t>
  </si>
  <si>
    <t>2019-12-20 12:00</t>
  </si>
  <si>
    <t>2005-12-21 10:30</t>
  </si>
  <si>
    <t>2006-12-21 03:15</t>
  </si>
  <si>
    <t>2010-12-21 01:01</t>
  </si>
  <si>
    <t>2011-12-21 10:30</t>
  </si>
  <si>
    <t>1999-12-22 10:30</t>
  </si>
  <si>
    <t>2004-12-22 10:30</t>
  </si>
  <si>
    <t>2010-12-22 10:30</t>
  </si>
  <si>
    <t>2011-12-22 17:00</t>
  </si>
  <si>
    <t>2009-12-23 10:30</t>
  </si>
  <si>
    <t>2001-12-31 10:30</t>
  </si>
  <si>
    <t>M0 Provisional Money Supply Figures for December</t>
  </si>
  <si>
    <t>2003-12-31 01:01</t>
  </si>
  <si>
    <t>Nationwide Publishes House-Price Survey for December</t>
  </si>
  <si>
    <t>2009-12-31 10:30</t>
  </si>
  <si>
    <t>CANCELLED: Bank of England Interest Rate Decision</t>
  </si>
  <si>
    <t>U.K. Earnings Expected: Topnotch Health Clubs</t>
  </si>
  <si>
    <t>U.K. Earnings Expected: Northern Rock, Domino's Pizza</t>
  </si>
  <si>
    <t>U.K. Earnings Expected: Alliance &amp; Leicester</t>
  </si>
  <si>
    <t>U.K. Earnings Expected: West 175</t>
  </si>
  <si>
    <t>U.K. Earnings Expected: Stavert Zigomala, Allied Leisure, Stockcube</t>
  </si>
  <si>
    <t>U.K. Earnings Expected: Manchester United, HIT Entertainment</t>
  </si>
  <si>
    <t>U.K. Earnings Expected: Leeds Sporting, Tornado, Empire Interactive</t>
  </si>
  <si>
    <t>U.K. Earnings Expected: WPP Group, Jetcam</t>
  </si>
  <si>
    <t>U.K. Earnings Expected:Costain, Gallaher, LogicaCMG, Savills, Serco</t>
  </si>
  <si>
    <t>U.K. Earnings Expected: Protherics Plc. Pilkington, Liontrust, De L</t>
  </si>
  <si>
    <t>U.K. Earnings Expected: Eckoh, RWS, SCI, Synstar, Fount</t>
  </si>
  <si>
    <t>U.K. Earnings Expected: Expro International, AWG, Northern Foods, C</t>
  </si>
  <si>
    <t>U.K. Earnings Expected: Carphone Warehouse, Daily Mail, Speedy Hire</t>
  </si>
  <si>
    <t>U.K. Earnings Expected: Cambridge Mineral Resources, Hornby, Park G</t>
  </si>
  <si>
    <t>U.K. Earnings Expected: Cropper (James) Plc, Severn Trent, Walker C</t>
  </si>
  <si>
    <t>U.K. Earnings Expected: Erinaceous Group, Yates Group, Kewill Syste</t>
  </si>
  <si>
    <t>U.K. Earnings Expected: Dewhurst Plc, TBI Plc, Teather &amp; Greenwood</t>
  </si>
  <si>
    <t>U.K. Earnings Expected: Capcon, Majestic Wine, Creston, Renold, Rad</t>
  </si>
  <si>
    <t>U.K. Earnings Expected: Civica Plc, Goldshield</t>
  </si>
  <si>
    <t>U.K. Earnings Expected: Oasis Healthcare, Tops Estates Plc</t>
  </si>
  <si>
    <t>U.K. Earnings Expected: AEA Technology Plc, Dart Group Plc</t>
  </si>
  <si>
    <t>U.K. Earnings Expected: Business Systems,</t>
  </si>
  <si>
    <t>U.K. Earnings Expected: Wyndeham Press Group,</t>
  </si>
  <si>
    <t>U.K. Earnings Expected: GW Pharmaceutical, Faupel, Quintrain</t>
  </si>
  <si>
    <t>U.K. Earnings Expected: Atkins WS Plc, Courts Plc, Halma Plc</t>
  </si>
  <si>
    <t>U.K. Earnings Expected: Dixons, LPA, iSOFT, Stagecoach</t>
  </si>
  <si>
    <t>U.K. Earnings Expected: Dyson, Computerland, Mountview Estate</t>
  </si>
  <si>
    <t>U.K. Earnings Expected: 600 Group, Berkeley, ContentFilm, Heavitree</t>
  </si>
  <si>
    <t>U.K. Earnings Expected: Beale, CNG Travel, Honeycombe, Northgate</t>
  </si>
  <si>
    <t>U.K. Earnings Expected: Accident Exchange Group, Carpetright, Cosal</t>
  </si>
  <si>
    <t>U.K. Earnings Expected: ASOS PLC, HMV Group Plc, Somerfield Plc</t>
  </si>
  <si>
    <t>U.K. Earnings Expected: Total Systems, Terrace Hill</t>
  </si>
  <si>
    <t>U.K. Earnings Expected: Alphameric, Halladale, Northgate, Vega</t>
  </si>
  <si>
    <t>U.K. Earnings Expected: Bespak, Broker Network, DTZ, Kleeneze</t>
  </si>
  <si>
    <t>U.K. Earnings Expected: Birse, Debt Free Direct, Heath (Samuel) &amp;</t>
  </si>
  <si>
    <t>U.K. Earnings Expected: Alterian, Daniel Stewart Securities</t>
  </si>
  <si>
    <t>U.K. Earnings Expected: Anite, Diagonal, Inter Link Foods</t>
  </si>
  <si>
    <t>U.K. Earnings Expected: Woolworths, RPC Plc, Sainsbury</t>
  </si>
  <si>
    <t>U.K. Earnings Expected: Norcros, GW Pharmaceuticals</t>
  </si>
  <si>
    <t>U.K. Earnings Expected: Byotrol Plc</t>
  </si>
  <si>
    <t>U.K. Earnings Expected: Caimar, Weir, Aggreko</t>
  </si>
  <si>
    <t>BoE Publishes Mortgage Equity Withdrawal Data</t>
  </si>
  <si>
    <t>BoE Governor George Speaks to Mortgage Lenders</t>
  </si>
  <si>
    <t>BoE Publishes Mortgage/Lending/M4 Data</t>
  </si>
  <si>
    <t>BoE Publishes Mortgage Approvals, M4 Data</t>
  </si>
  <si>
    <t>BoE Bond Buying Operation</t>
  </si>
  <si>
    <t>BoE Bond Buying Operation (Reinvestment)</t>
  </si>
  <si>
    <t>First Additional ILTR Operation Around EU Referendum</t>
  </si>
  <si>
    <t>Second Additional ILTR Operation Around EU Referendum</t>
  </si>
  <si>
    <t>Third Additional ILTR Operation Around EU Referendum</t>
  </si>
  <si>
    <t>BoE Monetary Policy Committee Meeting</t>
  </si>
  <si>
    <t>BoE Interest Rate Decision</t>
  </si>
  <si>
    <t>BoE Monetary Committee Minutes</t>
  </si>
  <si>
    <t>rate_survey</t>
  </si>
  <si>
    <t>rate_actual</t>
  </si>
  <si>
    <t>impl_date</t>
  </si>
  <si>
    <t>BoE Releases Financial Stability Report</t>
  </si>
  <si>
    <t>BoE Releases Financial Stability Report, Stress Tests</t>
  </si>
  <si>
    <t>Financial Stability Board Releases Final Version of TLAC</t>
  </si>
  <si>
    <t>BoE Publishes Results of UK Stress Test and Financial Stability</t>
  </si>
  <si>
    <t>BoE Releases Financial Stability Report, Brexit Analysis</t>
  </si>
  <si>
    <t>BoE Releases Monetary Policy Report</t>
  </si>
  <si>
    <t>BoE Releases Quarterly Inflation Report</t>
  </si>
  <si>
    <t>BoE Releases Inflation Attitudes Survey</t>
  </si>
  <si>
    <t>BoE Quarterly Inflation Attitudes Survey</t>
  </si>
  <si>
    <t>BoE Quarterly Credit Conditions Survey</t>
  </si>
  <si>
    <t>BoE Releases Quarterly Inflation Attitudes Survey</t>
  </si>
  <si>
    <t>BoE Releases Quarterly Bulletin</t>
  </si>
  <si>
    <t>BoE Releases Trends in Lending Report</t>
  </si>
  <si>
    <t>BoE to Release Quarterly APF Report</t>
  </si>
  <si>
    <t>BoE Releases Comments By Haldane</t>
  </si>
  <si>
    <t>BoE Releases Interbank Payment Systems Report</t>
  </si>
  <si>
    <t>BoE releases quarterly bulletin in London</t>
  </si>
  <si>
    <t>BoE/GfK NOP Inflation Attitudes survey</t>
  </si>
  <si>
    <t>BoE Publishes Quarterly Bulletin</t>
  </si>
  <si>
    <t>BoE Releases Paper by Adam Posen and Ken Kuttner</t>
  </si>
  <si>
    <t>BoE Publishes Annual Report</t>
  </si>
  <si>
    <t>BoE Publishes Systemic Risk Survey</t>
  </si>
  <si>
    <t>BoE Publishes Quarterly FLS Lending Data</t>
  </si>
  <si>
    <t>BoE Releases 2013 Q1 Quarterly Bulletin</t>
  </si>
  <si>
    <t>BoE Publishes Trends in Lending Report</t>
  </si>
  <si>
    <t>BoE Systemic Risk Survey 1H 2013</t>
  </si>
  <si>
    <t>BoE publishes Quarterly Bulletin</t>
  </si>
  <si>
    <t>BoE Releases Funding for Lending Data</t>
  </si>
  <si>
    <t>BoE Policy Maker Ian McCafferty Releases Text</t>
  </si>
  <si>
    <t>BoE Publishes Proposals for Money Market Reforms</t>
  </si>
  <si>
    <t>BoE, U.K. Treasury Release Funding for Lending Program Details</t>
  </si>
  <si>
    <t>BoE Publishes Remarks by Robert Jenkins from Dec. 12 Event</t>
  </si>
  <si>
    <t>BoE Releases Annual Reports For Charles Bean and Paul Tucker</t>
  </si>
  <si>
    <t>BoE Publishes Monthly Credit Statistics</t>
  </si>
  <si>
    <t>BoE Publishes Bank Liabilities Survey</t>
  </si>
  <si>
    <t>BoE Publishes Articles from Quarterly Bulletin</t>
  </si>
  <si>
    <t>BoE Publishes Results of Plastic Banknote Consultation</t>
  </si>
  <si>
    <t>BoE Publishes Funding for Lending Data</t>
  </si>
  <si>
    <t>ECB and BoE Publish Paper on Securitization</t>
  </si>
  <si>
    <t>BoE Publishes Response to Foreign Exchange Investigation</t>
  </si>
  <si>
    <t>BoE Publishes Review of October 2014 Payment System Shutdown</t>
  </si>
  <si>
    <t>BoE Publishes Scenarios for 2015 Stress Test</t>
  </si>
  <si>
    <t>BoE Publishes Fair and Effective Markets Review</t>
  </si>
  <si>
    <t>BoE Releases Financial Report, Bank Stress-Test Results</t>
  </si>
  <si>
    <t>BoE Agents Summary of Business Conditions</t>
  </si>
  <si>
    <t>BoE Releases Financial Policy Committee Statement</t>
  </si>
  <si>
    <t>BoE Releases Asset Purchase Facility Quarterly Report</t>
  </si>
  <si>
    <t>BoE Releases Financial Policy Committee Statement, Systemic Risk Buffer Paper</t>
  </si>
  <si>
    <t>BoE Releases Financial Policy Committee Record (Interim)</t>
  </si>
  <si>
    <t>BoE Releases Financial Policy Committee Record</t>
  </si>
  <si>
    <t>Stress Test</t>
  </si>
  <si>
    <t>BoE Quarterly Credit Conditions Survey, Bank Liabilities Surveys</t>
  </si>
  <si>
    <t>Stability</t>
  </si>
  <si>
    <t>BoE Releases Financial Policy Committee Review of Leverage Ratio</t>
  </si>
  <si>
    <t>BoE releases Annual Reports</t>
  </si>
  <si>
    <t>Final M4 Growth Rates, Private Lending</t>
  </si>
  <si>
    <t>December M4 Growth Rates, Lending to Individuals</t>
  </si>
  <si>
    <t>January Narrow Money Supply</t>
  </si>
  <si>
    <t>March Final M4 Growth Rates, Private Lending</t>
  </si>
  <si>
    <t>November Final M4 Growth Rates, M4 Lending</t>
  </si>
  <si>
    <t>November Provisional M0 Money Supply</t>
  </si>
  <si>
    <t>Provisional April Narrow Money Supply</t>
  </si>
  <si>
    <t>Provisional June Narrow Money Supply</t>
  </si>
  <si>
    <t>Provisional May Narrow Money Supply</t>
  </si>
  <si>
    <t>Jan. Provisional Broad Money Supply, Revised M0</t>
  </si>
  <si>
    <t>Date_h</t>
  </si>
  <si>
    <t>BoE Governor George Gives Evidence to Parliament</t>
  </si>
  <si>
    <t>BoE Governor George Speaks at Chamber of Commerce</t>
  </si>
  <si>
    <t>BoE Governor George Speaks</t>
  </si>
  <si>
    <t>BoE Governor George, ECB's Trichet Speak in Paris</t>
  </si>
  <si>
    <t>BoE Governor George Gives Evidence on Bank's Inflation Report</t>
  </si>
  <si>
    <t>BoE Governor George, King, Goodhart, Buiter Give Evidence</t>
  </si>
  <si>
    <t>BoE Governor George Gives Evidence on Inflation Report</t>
  </si>
  <si>
    <t>BoE Governor George and King Testify in Parliament</t>
  </si>
  <si>
    <t>BoE Governor George, King testify in parliament</t>
  </si>
  <si>
    <t>U.K.'s Brown, BoE Governor George Speak at Mansion House</t>
  </si>
  <si>
    <t>BoE Governor George Chairs Banknote Auction</t>
  </si>
  <si>
    <t>BoE Governor George gives speech</t>
  </si>
  <si>
    <t>BoE Governor George Speaks in Glasgow</t>
  </si>
  <si>
    <t>BoE Governor George Speaks in Edinburgh</t>
  </si>
  <si>
    <t>BoE Governor George speaks at Euromoney Conference</t>
  </si>
  <si>
    <t>BoE Governor George Speaks in London</t>
  </si>
  <si>
    <t>BoE Governor George speaks</t>
  </si>
  <si>
    <t>BoE Governor George, MPC members testify in parliament</t>
  </si>
  <si>
    <t>BoE Governor George testifies to parliamentary committee</t>
  </si>
  <si>
    <t>BoE Governor George Gives Mansion House Speech</t>
  </si>
  <si>
    <t>BoE Governor George Gives Public Lecture in Frankfurt</t>
  </si>
  <si>
    <t>BoE Governor Sir Edward George speaks</t>
  </si>
  <si>
    <t>BoE Governor King Speaks at U.S. Conference in Boston</t>
  </si>
  <si>
    <t>BoE Governor King speaks to executives in Edinburgh</t>
  </si>
  <si>
    <t>BoE Governor King Speaks at LSE, London</t>
  </si>
  <si>
    <t>BoE Governor King, Lomax speak to parliament committee</t>
  </si>
  <si>
    <t>BoE Governor King, Lomax speak - watch LIVE</t>
  </si>
  <si>
    <t>BoE Governor King Speaks in Cornwall</t>
  </si>
  <si>
    <t>BoE Governor King Delivers Inflation Report</t>
  </si>
  <si>
    <t>BoE Governor King: Inflation Report Evidence</t>
  </si>
  <si>
    <t>BoE Governor King Speaks in Manchester</t>
  </si>
  <si>
    <t>BoE Governor King Discusses Inflation Report</t>
  </si>
  <si>
    <t>BoE Governor King speaks to CBI northeast annual dinner</t>
  </si>
  <si>
    <t>BoE Governor King Discusses Monetary Policy</t>
  </si>
  <si>
    <t>BoE Governor King speaks in Kent</t>
  </si>
  <si>
    <t>BoE Governor King, Others on Globalisation</t>
  </si>
  <si>
    <t>BoE Governor King Speaks on Inflation Report</t>
  </si>
  <si>
    <t>BoE Governor King, Others on Inflation Report</t>
  </si>
  <si>
    <t>BoE Governor King Gives Speech to BBA in London</t>
  </si>
  <si>
    <t>BoE Governor King, Tucker, Haldane, Bailey to testify</t>
  </si>
  <si>
    <t>BoE Governor King, Tucker, Dale to testify</t>
  </si>
  <si>
    <t>BoE Governor King, Bean, Fisher, Sentance, Barker Testify</t>
  </si>
  <si>
    <t>BoE Governor King, Haldane, Bailey Testify</t>
  </si>
  <si>
    <t>BoE Governor King, Tucker, Fisher, Sentance, Posen Speak</t>
  </si>
  <si>
    <t>BoE Governor King, Tucker, Fisher, Sentance, Speak</t>
  </si>
  <si>
    <t>BoE Governor King to Deliver Speech in Exeter</t>
  </si>
  <si>
    <t>BoE Governor King Makes Speech in Liverpool</t>
  </si>
  <si>
    <t>BoE Governor King, Tucker Speak in Washington</t>
  </si>
  <si>
    <t>BoE Governor King and Riksbank's Ingves Speak in Basel</t>
  </si>
  <si>
    <t>BoE Governor King Gives Speech at CBI Dinner in Belfast</t>
  </si>
  <si>
    <t>BoE Governor King and Bailey Speak in Parliament</t>
  </si>
  <si>
    <t>BoE Deputy Governor Mervyn King speaks</t>
  </si>
  <si>
    <t>BoE Governor King speaks to business leaders in Edinburgh</t>
  </si>
  <si>
    <t>BoE Governor King to Deliver Speech in Winchester, England</t>
  </si>
  <si>
    <t>BoE Governor King to deliver speech in Kircaldy</t>
  </si>
  <si>
    <t>BoE Governor King, Policy Makers, Testify to Parliament</t>
  </si>
  <si>
    <t>BoE Governor King, policy makers, testify to U.K. lawmakers</t>
  </si>
  <si>
    <t>BoE Governor King to speak on international financial system</t>
  </si>
  <si>
    <t>BoE Governor King to Make Speech in London</t>
  </si>
  <si>
    <t>BoE Governor King Testifies on Financial Stability</t>
  </si>
  <si>
    <t>BoE Governor King to Make Speech in Israel</t>
  </si>
  <si>
    <t>BoE Governor King Speaks in London</t>
  </si>
  <si>
    <t>BoE Governor King, U.K. Chancellor Osborne Speak in London</t>
  </si>
  <si>
    <t>BoE Governor King Delivers Stamp Memorial Lecture at LSE</t>
  </si>
  <si>
    <t>BoE's Cunliffe Speaks at British Banking Conference in London</t>
  </si>
  <si>
    <t>BoE's Cunliffe Speaks on Central Banking in the Covid-19 Age</t>
  </si>
  <si>
    <t>BoE Governor King, Other MPC members Testify to Parliament Committee</t>
  </si>
  <si>
    <t>BoE Governor King, Bean, Nickell and Bell Testify</t>
  </si>
  <si>
    <t>BoE Governor King at speaks at Frankfurt conference</t>
  </si>
  <si>
    <t>BoE Governor King to testify to Treasury Committee</t>
  </si>
  <si>
    <t>BoE Governor King, Bean, Lomax, Besley, Blanchflower to Testify</t>
  </si>
  <si>
    <t>BoE Governor King, Gieve Testify in Parliament</t>
  </si>
  <si>
    <t>BoE Governor King, Lomax, Bean, Blanchflower, Sentance Testify</t>
  </si>
  <si>
    <t>BoE Governor King, Gieve, Tucker, Besley, Barker to Testify</t>
  </si>
  <si>
    <t>BoE Governor King, Gieve Speak at U.K. Treasury Committee</t>
  </si>
  <si>
    <t>BoE Governor King, Gieve, Jenkinson, Bailey to Testify in Parliament</t>
  </si>
  <si>
    <t>BoE Governor King, Bean, Tucker, Blanchflower, Sentance Testify</t>
  </si>
  <si>
    <t>BoE Governor King to Speak in Leeds</t>
  </si>
  <si>
    <t>BoE Governor King, Gieve, Bean, Barker, Sentance to testify</t>
  </si>
  <si>
    <t>BoE Governor King Testifies on Quarterly Inflation Report</t>
  </si>
  <si>
    <t>BoE Governor King to Make Speech in Nottingham</t>
  </si>
  <si>
    <t>BoE Governor King Testifies at U.K. Treasury Committee</t>
  </si>
  <si>
    <t>BoE Governor King, Tucker, Dale, Besley, Blanchflower to testify</t>
  </si>
  <si>
    <t>U.K.'s Darling, BoE Governor King Speak in London</t>
  </si>
  <si>
    <t>BoE Governor King, Bean, Dale, Barker, Miles to Testify to Lawmakers</t>
  </si>
  <si>
    <t>BoE Governor King, Tucker, Haldane Testify to U.K. Lawmakers</t>
  </si>
  <si>
    <t>BoE Governor King to Speak at Event</t>
  </si>
  <si>
    <t>BoE Governor King, Bean, Fisher, Miles, Sentance Testify</t>
  </si>
  <si>
    <t>BoE Governor King, Tucker, Bailey Testify</t>
  </si>
  <si>
    <t>BoE Governor King to Speak in Washington</t>
  </si>
  <si>
    <t>BoE Governor King to Speak in New York</t>
  </si>
  <si>
    <t>BoE Governor King, Tucker, Dale Testify in House of Lords</t>
  </si>
  <si>
    <t>ECB's Trichet, BoE Governor King Speak at First ESRB Press Conference</t>
  </si>
  <si>
    <t>BoE Governor King, Haldane, Tucker testify to Treasury Committee</t>
  </si>
  <si>
    <t>BoE Governor King, Bean, Fisher, Miles, Weale Testify</t>
  </si>
  <si>
    <t>BoE Governor King Speaks in Finland</t>
  </si>
  <si>
    <t>BoE Governor King Speaks at Mansion House, London</t>
  </si>
  <si>
    <t>BoE Governor King Holds Financial Policy Committee Press Conference</t>
  </si>
  <si>
    <t>BoE Governor King, Tucker, Dale, Posen, Miles speak in London</t>
  </si>
  <si>
    <t>BoE Governor King, Tucker, Bean, Haldane, Bailey speak in London</t>
  </si>
  <si>
    <t>BoE Governor King, Bean Questioned on QE by Treasury Committee</t>
  </si>
  <si>
    <t>BoE Governor King, Tucker Testify on Financial Services Bill</t>
  </si>
  <si>
    <t>BoE Governor King, Fisher, Weale and Broadbent Speak in London</t>
  </si>
  <si>
    <t>BoE Governor King, Fisher and Weale Publish Annual Reports in London</t>
  </si>
  <si>
    <t>BoE Governor King, Haldane, Cohrs and Jenkins Speak in London</t>
  </si>
  <si>
    <t>BoE Governor King Speaks at Press Conference in London</t>
  </si>
  <si>
    <t>BoE Governor King, Dale, Miles, Broadbent Speak to U.K. Parliament</t>
  </si>
  <si>
    <t>BoE Governor King, Tucker, Turner, Kohn, Fisher Quizzed by Lawmakers</t>
  </si>
  <si>
    <t>BoE Governor King, Tucker, Haldane Testify to Parliament Bank Panel</t>
  </si>
  <si>
    <t>BoE Governor King, Fisher, Weale, Broadbent Testify to Commons Panel</t>
  </si>
  <si>
    <t>BoE Governor King, Fisher, Weale, Broadbent Testify at Treasury</t>
  </si>
  <si>
    <t>BoE Governor King Speaks in New York</t>
  </si>
  <si>
    <t>Fed's Bernanke, BoE Governor King, IMF's Blanchard speak in London</t>
  </si>
  <si>
    <t>BoE Governor King, Fed's Yellen, Bini Smaghi Speak on IMF Panel</t>
  </si>
  <si>
    <t>Israel's Fischer, BoE Governor King Speak in London</t>
  </si>
  <si>
    <t>BoE Governor King, Dale, Broadbent, Weale Testify to Lawmakers</t>
  </si>
  <si>
    <t>BoE Governor King gives speech</t>
  </si>
  <si>
    <t>BoE Governor King Speaks at Annual Mansion House Event</t>
  </si>
  <si>
    <t>BoE Governor King and policy makers testify to House of Lords committee</t>
  </si>
  <si>
    <t>BoE Governor King, Tucker, Dale, Posen, Sentance, Bailey, Haldane Speak</t>
  </si>
  <si>
    <t>BoE Governor King on Inflation Report</t>
  </si>
  <si>
    <t>BoE Governor King Speaks in New Delhi</t>
  </si>
  <si>
    <t>BoE Governor King to Make Speech in Birmingham</t>
  </si>
  <si>
    <t>BoE Governor King to Make Speech</t>
  </si>
  <si>
    <t>BoE Governor King to Testify to Parliament</t>
  </si>
  <si>
    <t>BoE Governor King Speaks in Nottingham</t>
  </si>
  <si>
    <t>BoE Governor King Holds Press Conference</t>
  </si>
  <si>
    <t>BoE Governor King Speaks at Economic Club of NY</t>
  </si>
  <si>
    <t>BoE Governor King Presents Inflation Report</t>
  </si>
  <si>
    <t>BoE Governor King Gives Evidence to Lords Committee</t>
  </si>
  <si>
    <t>BoE Governor King Gives Evidence to Treasury Committee</t>
  </si>
  <si>
    <t>BoE Governor King Speaks on Bank of England's Inflation Report</t>
  </si>
  <si>
    <t>BoE Governor King to Deliver Speech</t>
  </si>
  <si>
    <t>BoE Governor King to Testify in Parliament</t>
  </si>
  <si>
    <t>BoE Governor King Delivers Speech</t>
  </si>
  <si>
    <t>BoE Governor King Speaks on Panel in Rome</t>
  </si>
  <si>
    <t>BoE Governor Mervyn King Speaks on Reappointment as BoE Governor</t>
  </si>
  <si>
    <t>BoE Governor King Makes Speech</t>
  </si>
  <si>
    <t>BoE Governor King Delivers Lecture</t>
  </si>
  <si>
    <t>BoE Governor King Speaks in Brighton</t>
  </si>
  <si>
    <t>BoE Governor King on Inflation</t>
  </si>
  <si>
    <t>BoE Governor King, BoE Policy Makers Testify in U.K. Parliament</t>
  </si>
  <si>
    <t>BoE Governor King, Darling, Turner to Testify to U.K. Treasury Committee</t>
  </si>
  <si>
    <t>BoE Governor King Speaks at Event in Newcastle, England</t>
  </si>
  <si>
    <t>BoE Governor King King, Enria Testify to European Parliament</t>
  </si>
  <si>
    <t>Trichet, BoE Governor King Speak at ESRB Press Conference</t>
  </si>
  <si>
    <t>BoE Governor King, Charles Bean to Speak in London</t>
  </si>
  <si>
    <t>Draghi, BoE Governor King Give European Systemic Risk Board Briefing</t>
  </si>
  <si>
    <t>BoE Governor KingKing, Fisher, Broadbent Give Evidence at House of Lords</t>
  </si>
  <si>
    <t>BoE Governor King, Tucker, Turner, Kohn to Testify on FSR in London</t>
  </si>
  <si>
    <t>BoE Governor King Delivers Speech in Wales</t>
  </si>
  <si>
    <t>BoE Governor King, Haldane, Other BoE Officials Testify in Parliament</t>
  </si>
  <si>
    <t>Bank of Finland Debate Between BoE Governor King, Katainen in Helsinki</t>
  </si>
  <si>
    <t>U.K.'s Osborne, BoE Governor King Speak; Give Details on RBS, Lloyds Sale</t>
  </si>
  <si>
    <t>Banking</t>
  </si>
  <si>
    <t>BoE's Bailey Speaks at G20 Seminar</t>
  </si>
  <si>
    <t>BoE's Bailey Makes Speech in Washington</t>
  </si>
  <si>
    <t>BoE's Bailey Delivers Speech at BBA Conference</t>
  </si>
  <si>
    <t>BoE's Bailey Speaks in Paris</t>
  </si>
  <si>
    <t>BoE's Bailey Speaks at BSA Annual Conference</t>
  </si>
  <si>
    <t>BoE Official Andrew Bailey Speaks in London</t>
  </si>
  <si>
    <t>BoE Deputy Governor Andrew Bailey Speaks in London</t>
  </si>
  <si>
    <t>BoE's Bailey, CFTC's Gensler Speak at CityWeek Conference</t>
  </si>
  <si>
    <t>BoE Deputy Governor Bailey Speaks in Edinburgh</t>
  </si>
  <si>
    <t>BoE's Bailey Speaks in London</t>
  </si>
  <si>
    <t>BoE's Bailey Speaks at ABI Conference London</t>
  </si>
  <si>
    <t>BoE Governor Carney Speaks in Nottingham, England</t>
  </si>
  <si>
    <t>ECB's Constancio, BoE's Cunliffe at Conference in Brussels</t>
  </si>
  <si>
    <t>BoE Governor Carney Speaks at Event in Edinburgh</t>
  </si>
  <si>
    <t>BoE Governor Carney Interviewed on Andrew Marr Show</t>
  </si>
  <si>
    <t>BoE Deputy Governor Bailey Speaks at a Westminster Forum</t>
  </si>
  <si>
    <t>BoE Governor Carney Interviewed on Sky News</t>
  </si>
  <si>
    <t>BoE's Bailey Delivers Speech</t>
  </si>
  <si>
    <t>BoE Governor Carney Addresses Business Audience in Glasgow</t>
  </si>
  <si>
    <t>BoE's Bailey, SocGen's Oudea Speak on IIF Panel</t>
  </si>
  <si>
    <t>BoE Governor Carney Testifies on Financial Stability</t>
  </si>
  <si>
    <t>BoE Governor Carney to Speak in Dublin</t>
  </si>
  <si>
    <t>BoE's Bailey Speaks at Treasury Committee Hearing</t>
  </si>
  <si>
    <t>BoE Governor Carney Speaks to Press on Inflation Report</t>
  </si>
  <si>
    <t>BoE's Bailey Speaks at Event in London</t>
  </si>
  <si>
    <t>BoE Governor Carney Holds Monetary Policy News Conference</t>
  </si>
  <si>
    <t>BoE's Bailey Speaks at Treasury Committee, London</t>
  </si>
  <si>
    <t>BoE's Bailey Speaks at Conference on Financial Markets Reform</t>
  </si>
  <si>
    <t>BoE's Andrew Bailey speaks in London</t>
  </si>
  <si>
    <t>BoE's Andrew Bailey speaks in Dublin</t>
  </si>
  <si>
    <t>BoE Deputy Governors Cunliffe, Bailey Speak in London</t>
  </si>
  <si>
    <t>BoE's Andrew Bailey Speaks at Event in London</t>
  </si>
  <si>
    <t>BoE Governor Carney Speaks at IMF Meeting on Climate Change</t>
  </si>
  <si>
    <t>BoE Governor Carney Gives Speech in London</t>
  </si>
  <si>
    <t>BoE Governor Carney Testifies to Lawmakers</t>
  </si>
  <si>
    <t>BoE Governor Carney Speaks at Event in London</t>
  </si>
  <si>
    <t>BoE Governor Carney Introduces New 10 Pound Note in Winchester</t>
  </si>
  <si>
    <t>BoE Governor Carney Speaks at IMF in Washington, DC</t>
  </si>
  <si>
    <t>BoE Governor Carney Speaks at Climate Conference in Amsterdam</t>
  </si>
  <si>
    <t>BoE's Bailey Speaks on the Future of Payments in London</t>
  </si>
  <si>
    <t>BoE Governor Carney Speaks in Newcastle</t>
  </si>
  <si>
    <t>BoE Governor Carney Speaks in New York</t>
  </si>
  <si>
    <t>BoE Governor Carney, former Fed Chairman Greenspan Speak</t>
  </si>
  <si>
    <t>BoE Governor Carney Speaks at U.K. Parliament</t>
  </si>
  <si>
    <t>BoE Governor Carney Participates in Online Q&amp;A</t>
  </si>
  <si>
    <t>BoE Governor Carney Testifies on Financial Stability Report</t>
  </si>
  <si>
    <t>BoE Governor Carney Speaks in London</t>
  </si>
  <si>
    <t>BoE Governor Carney on a panel at ECB Forum in Sintra</t>
  </si>
  <si>
    <t>BoE Governor Carney Releases Text of Mansion House Speech</t>
  </si>
  <si>
    <t>BoE Governor Carney speaks at press conference</t>
  </si>
  <si>
    <t>BoE Governor Carney Moderates Climate Change Panel</t>
  </si>
  <si>
    <t>BoE Governor Carney Speaks on Climate Risk Panel in New York</t>
  </si>
  <si>
    <t>BoE Governor Carney Speaks in Washington</t>
  </si>
  <si>
    <t>BoE Governor Carney Speaks on Panel at Davos</t>
  </si>
  <si>
    <t>BoE Governor Carney Speaks Before Lords Committee</t>
  </si>
  <si>
    <t>BoE Publishes Briefing With Governor Bailey</t>
  </si>
  <si>
    <t>BoE Governor Bailey Speaks on Webinar</t>
  </si>
  <si>
    <t>BoE Governor Bailey Speaks at Women in Finance Event</t>
  </si>
  <si>
    <t>BoE Governor Bailey Speaks at Virtual Schools Event</t>
  </si>
  <si>
    <t>BoE Governor Bailey Speaks on Libor</t>
  </si>
  <si>
    <t>BoE Governor Bailey Speaks on Financial Education</t>
  </si>
  <si>
    <t>BoE Governor Bailey Speaks at Jackson Hole Symposium</t>
  </si>
  <si>
    <t>BoE Governor Bailey Speaks</t>
  </si>
  <si>
    <t>BoE Governor Bailey Speaks on Panel</t>
  </si>
  <si>
    <t>Bank of England's Paul Tucker, BoE Governor Bailey in Parliament</t>
  </si>
  <si>
    <t>BoE Governor BoE Governor Bailey Speaks at Climate Finance Event</t>
  </si>
  <si>
    <t>BoE Governor BoE Governor Bailey speaks.</t>
  </si>
  <si>
    <t>BoE Governor BoE Governor Bailey Speaks</t>
  </si>
  <si>
    <t>BoE Governor Bailey Speaks to Parliament's Treasury Committee</t>
  </si>
  <si>
    <t>BoE Governor Bailey, Broadbent, Cunliffe Speak at Treasury Committee</t>
  </si>
  <si>
    <t>BoE Governor Bailey, Breeden Speak at Climate Financial Risk Forum</t>
  </si>
  <si>
    <t>BoE Governor Bailey, Ramsden and Vlieghe Speak at TSC</t>
  </si>
  <si>
    <t>BoE Governor Bailey Speaks on Cryptocurrencies</t>
  </si>
  <si>
    <t>BoE Governor Bailey Speaks on BCC Webinar</t>
  </si>
  <si>
    <t>BoE Governor Bailey Speaks at Chamber of Commerce Event</t>
  </si>
  <si>
    <t>BoE Governor Bailey speaks to Belfast Executive's Club</t>
  </si>
  <si>
    <t>BoE Governor Bailey, ECB's Schnabel in Panel Discussion</t>
  </si>
  <si>
    <t>BoE Governor Bailey Speaks at G30 International Banking Seminar</t>
  </si>
  <si>
    <t>BoE Governor Bailey Speaks at Conference</t>
  </si>
  <si>
    <t>ECB's Lagarde, BoE Governor Bailey, Fed's Powell Speak at ECB Forum</t>
  </si>
  <si>
    <t>BoE Governor Bailey, Haldane, Tenreyro, Saunders Speak</t>
  </si>
  <si>
    <t>BoE Governor Carney Speaks on Inflation Report</t>
  </si>
  <si>
    <t>BoE Governor Carney Presents Inflation Report</t>
  </si>
  <si>
    <t>BoE Governor Carney Speaks at Alberta University</t>
  </si>
  <si>
    <t>BoE Governor Carney Speaks Before Lawmakers</t>
  </si>
  <si>
    <t>BoE Governor Carney Speaks on Sustainability</t>
  </si>
  <si>
    <t>BoE Governor Carney Begins New Position as Bank of England Governor</t>
  </si>
  <si>
    <t>BoE Governor Carney, Fisher, Miles and McCafferty Speak in London</t>
  </si>
  <si>
    <t>BoE Governor Carney Speaks at FT Event in London</t>
  </si>
  <si>
    <t>BoE Governor Carney Speaks at Economic Club of New York</t>
  </si>
  <si>
    <t>BoE Governor Carney Speaks at Event in Paris</t>
  </si>
  <si>
    <t>BoE Governor Carney to Speak in London on Financial Stability</t>
  </si>
  <si>
    <t>BoE Governor Carney Speaks at WEF in Davos</t>
  </si>
  <si>
    <t>BoE Governor Carney Takes Part in Panel Discussion at WEF, Davos</t>
  </si>
  <si>
    <t>ECB's Draghi, BoE Governor Carney, BOJ's Kuroda on Panel in Davos</t>
  </si>
  <si>
    <t>BoE Governor Carney Presents Quarterly Inflation Report</t>
  </si>
  <si>
    <t>BoE Governor Carney, Fisher, Miles, Weale Speak in London</t>
  </si>
  <si>
    <t>BoE Governor Carney Delivers Annual Mais Lecture in London</t>
  </si>
  <si>
    <t>BoE Governor Carney Speaks in London on Financial Stability Report</t>
  </si>
  <si>
    <t>BoE Governor Carney, Kohn, Bailey Questioned on Bank's Stability</t>
  </si>
  <si>
    <t>BoE Governor Carney Delivers Speech in Wales</t>
  </si>
  <si>
    <t>BoE Governor Carney Speaks on IMF Panel in Washington</t>
  </si>
  <si>
    <t>BoE Governor Carney Speaks on Warsh Report, Reviews Findings</t>
  </si>
  <si>
    <t>BoE Governor Carney Speaks on Financial Stability/Stress Test Report</t>
  </si>
  <si>
    <t>BoE Governor Carney, EU's Coeure, BOJ's Kuroda Speak on Davos Panel</t>
  </si>
  <si>
    <t>BoE Governor Carney, Deputy Governors Speak at Research Conference</t>
  </si>
  <si>
    <t>BoE Governor Carney Speaks at House of Lords Committee</t>
  </si>
  <si>
    <t>BoE Governor Carney Delivers Speech in Sheffield, England</t>
  </si>
  <si>
    <t>BoE Governor Carney, Bundesbank's Buch on Panel in Frankfurt</t>
  </si>
  <si>
    <t>BoE Governor Carney, Chancellor Osbourne Speak at Annual Dinner</t>
  </si>
  <si>
    <t>BoE Governor Carney Speaks at Capitalism Conference on Fair Markets</t>
  </si>
  <si>
    <t>BoE Governor Carney Presents Semi-Annual Financial Stability Report</t>
  </si>
  <si>
    <t>BoE Governor Carney Speaks at Treasury Committee, London</t>
  </si>
  <si>
    <t>BoE Governor Carney, Haldane Testify to U.K. Treasury Committee</t>
  </si>
  <si>
    <t>BoE Governor Carney, Shafik, Vlieghe and Weale testify to lawmakers</t>
  </si>
  <si>
    <t>BoE Governor Carney, Cunliffe Speak on EU at Parliament Committee</t>
  </si>
  <si>
    <t>BoE Governor Carney, Broadbent, Weale and Vlieghe in Parliament</t>
  </si>
  <si>
    <t>BoE Governor Carney, U.K.'s Osborne Speak at Mansion House Dinner</t>
  </si>
  <si>
    <t>BoE Governor Carney Speaks With Canadian McKenna on Climate Change</t>
  </si>
  <si>
    <t>China's Li, IMF's Lagarde, BoE Governor Carney Speak in Beijing</t>
  </si>
  <si>
    <t>BoE Governor Carney, Cunliffe, Forbes, Vlieghe Speak in London</t>
  </si>
  <si>
    <t>BoE Governor Carney Speaks in Berlin, introduced by ECB's Weidmann</t>
  </si>
  <si>
    <t>BoE Governor Carney and Deputy Governors Speak at Future Forum</t>
  </si>
  <si>
    <t>BoE Governor Carney and Deputies Speak at a Series of Events</t>
  </si>
  <si>
    <t>BoE Governor Carney Speaks in Liverpool</t>
  </si>
  <si>
    <t>BoE Governor Carney Speaks in Wiesbaden, Germany</t>
  </si>
  <si>
    <t>Fed's Dudley, BoE Governor Carney Speak at Bank Ethics London Event</t>
  </si>
  <si>
    <t>U.K.'s Hammond, BoE Governor Carney speak at FinTech Event in London</t>
  </si>
  <si>
    <t>BoE Governor Carney Speaks at IIF in Washington</t>
  </si>
  <si>
    <t>BoE Governor Carney Speaks at Bank of France Event, Washington</t>
  </si>
  <si>
    <t>BoE Governor Carney speaks at Mansion House event in London</t>
  </si>
  <si>
    <t>ECB Forum in Sintra With Draghi, BoE Governor Carney, BOJ's Kuroda</t>
  </si>
  <si>
    <t>ECB's Draghi, BoE Governor Carney Participate in Policy Panel</t>
  </si>
  <si>
    <t>BoE Governor Carney, Broadbent, Cunliffe, Place, Ramsden, Woods Speak</t>
  </si>
  <si>
    <t>BoE Governor Carney Speaks at FMSB Event in London</t>
  </si>
  <si>
    <t>BoE Governor Carney, Broadbent, Haldane and Tenreyro Speak in London</t>
  </si>
  <si>
    <t>BoE Governor Carney, Ramsden, Saunders, Vlieghe Speak in London</t>
  </si>
  <si>
    <t>BoE Governor Carney Speaks About Financial Stability Report</t>
  </si>
  <si>
    <t>BoE Governor Carney, Cunliffe, Stheeman Speak on Financial Stability</t>
  </si>
  <si>
    <t>BoE Governor Carney speaks at press conference in London</t>
  </si>
  <si>
    <t>BoE Governor Carney, Haldane and Tenreyro Speak Before Lawmakers</t>
  </si>
  <si>
    <t>BoE Governor Carney speaks in Dublin</t>
  </si>
  <si>
    <t>BoE Governor Carney Chairs Panel in Frankfurt</t>
  </si>
  <si>
    <t>BoE Governor Carney, ECB's Villeroy on Green Finance Panel in Bali</t>
  </si>
  <si>
    <t>BoE Governor Carney, Haldane, Cunliffe and Saunders Testify in London</t>
  </si>
  <si>
    <t>BoE Governor Carney Speaks at FSR Press Conference in London</t>
  </si>
  <si>
    <t>BoE Governor Carney, Broadbent, Ramsden and Place speak at event.</t>
  </si>
  <si>
    <t>BoE Governor Carney Speaks in Brussels on Sustainable Finance</t>
  </si>
  <si>
    <t>BoE Governor Carney Speaks at Investing Conference, London</t>
  </si>
  <si>
    <t>BoE Governor Carney Speaks on Panel in Washington</t>
  </si>
  <si>
    <t>BoE Governor Carney, BOF's Villeroy de Galhau Speak in Paris</t>
  </si>
  <si>
    <t>BoE Governor Carney, Cunliffe, Tenreyro and Saunders Speak</t>
  </si>
  <si>
    <t>BoE Governor Carney Speaks in Bournemouth.</t>
  </si>
  <si>
    <t>BoE Governor Carney speaks on panel in Paris.</t>
  </si>
  <si>
    <t>BoE Governor Carney Speaks at Jackson Hole</t>
  </si>
  <si>
    <t>BoE Governor Carney, Haldane, Haskel and Vlieghe Speak in Parliament</t>
  </si>
  <si>
    <t>BoE Governor Carney speaks in New York</t>
  </si>
  <si>
    <t>BoE Governor Carney Speaks on Climate Change in Tokyo</t>
  </si>
  <si>
    <t>BoE Governor Carney Takes Part in Panel Discussion at IMF Event</t>
  </si>
  <si>
    <t>BoE Governor Carney Speaks at Event at Harvard Kennedy School</t>
  </si>
  <si>
    <t>BoE Governor Carney Speaks at Coeure's Farewell Dinner</t>
  </si>
  <si>
    <t>BoE Governor Carney Speaks at Bloomberg Climate Forum in Davos</t>
  </si>
  <si>
    <t>BoE Governor Carney Speaks to Parliament's Treasury Committee</t>
  </si>
  <si>
    <t>BoE Governor Carney Speaks in London.</t>
  </si>
  <si>
    <t>BoE Governor Carney Speaks at Financial Stability Report Press Conference</t>
  </si>
  <si>
    <t>BoE Governor Carney Testifies to House of Lords Economic Affairs Committee</t>
  </si>
  <si>
    <t>BoE Governor Carney, Svein Andresen Speak at Bank of England</t>
  </si>
  <si>
    <t>BoE Governor Carney, Osborne Address Annual Mansion House Dinner in London</t>
  </si>
  <si>
    <t>BoE Governor Carney Testifies in Parliament on Inflation Report</t>
  </si>
  <si>
    <t>BoE Governor Carney Testifies on Inflation Report</t>
  </si>
  <si>
    <t>BoE Governor Carney Speaks in Paris</t>
  </si>
  <si>
    <t>BoE Governor Carney Speaks at Press Conference in London</t>
  </si>
  <si>
    <t>BoE Governor Carney Speaks in Instanbul</t>
  </si>
  <si>
    <t>BoE Governor Carney on Panel in Sintra, Portugal</t>
  </si>
  <si>
    <t>BoE Governor Carney speaks on a panel in Lima</t>
  </si>
  <si>
    <t>BoE Governor Carney Speaks at Women’s Network Event</t>
  </si>
  <si>
    <t>BoE Governor Carney Speaks at FSB Briefing in Tokyo</t>
  </si>
  <si>
    <t>BoE Governor Carney Speaks in Parliament in London</t>
  </si>
  <si>
    <t>BoE Governor Carney gives press conference in London</t>
  </si>
  <si>
    <t>BoE Governor Carney Speaks in U.K. Parliament</t>
  </si>
  <si>
    <t>BoE Governor Carney Provides Update on FSB Work</t>
  </si>
  <si>
    <t>BoE Governor Carney Speaks on a Panel at Davos</t>
  </si>
  <si>
    <t>BoE Governor Carney Holds Press Conference in London</t>
  </si>
  <si>
    <t>BoE Governor Carney Delivers Mansion House Speech</t>
  </si>
  <si>
    <t>BoE Governor Carney Testifies to House of Lords</t>
  </si>
  <si>
    <t>BoE Governor Carney appears on panel in Washington</t>
  </si>
  <si>
    <t>BoE Governor Carney Appears on Panel at IMF</t>
  </si>
  <si>
    <t>BoE Governor Carney Speaks in Tokyo</t>
  </si>
  <si>
    <t>BoE Governor Carney speaks in London.</t>
  </si>
  <si>
    <t>BoE Governor Carney Speaks In Parliamentary Testimony</t>
  </si>
  <si>
    <t>BoE Governor Carney Speaks in Basel</t>
  </si>
  <si>
    <t>BoE Governor Carney Speaks at Event in Singapore</t>
  </si>
  <si>
    <t>BoE Governor Carney Speaks in Davos</t>
  </si>
  <si>
    <t>BoE Governor Carney Speaks at Jackson Hole Symposium</t>
  </si>
  <si>
    <t>BoE Governor Carney Speaks at Treasury Committee on Currency Probe</t>
  </si>
  <si>
    <t>BoE Governor Carney Speaks at Conference in Frankfurt</t>
  </si>
  <si>
    <t>BoE Governor Carney Speaks in Lincoln, England</t>
  </si>
  <si>
    <t>BoE Governor Carney Testifies at Parliament Committee in London</t>
  </si>
  <si>
    <t>BoE Governor Carney Speaks at Event in Oxford, England</t>
  </si>
  <si>
    <t>BoE Governor Carney Speaks at Inflation Report Press Conference</t>
  </si>
  <si>
    <t>BoE Governor Carney Speaks at BoE's Conference on Financial Markets Reform</t>
  </si>
  <si>
    <t>BoE Governor Carney Holds Press Conference</t>
  </si>
  <si>
    <t>BoE Governor Carney Testifies</t>
  </si>
  <si>
    <t>BoE Governor Carney gives press conference</t>
  </si>
  <si>
    <t>BoE Governor Carney Gives Press Conference</t>
  </si>
  <si>
    <t>BoE Governor Carney speaks in Paris</t>
  </si>
  <si>
    <t>BoE Governor Carney speaks at Canada Growth Summit in Toronto</t>
  </si>
  <si>
    <t>BoE Governor Carney Speaks at EU Parliament Committee in Brussels</t>
  </si>
  <si>
    <t>Bank of England Stability Officials including BoE Governor Carney Speak</t>
  </si>
  <si>
    <t>BoE Governor Carney Delivers Speech at United Nations, New York</t>
  </si>
  <si>
    <t>BoE Governor Carney Holds Press Conference After Policy Meeting</t>
  </si>
  <si>
    <t>BoE Governor Carney Speaks at Event to Unveil New U.K. Five-Pound Note</t>
  </si>
  <si>
    <t>BoE Governor Carney Speaks on Financial Stability in Parliament in London</t>
  </si>
  <si>
    <t>BoE Governor Carney Speaks at London School of Economics</t>
  </si>
  <si>
    <t>BoE Governor Carney Holds Inflation Report Press Conference</t>
  </si>
  <si>
    <t>BoE Governor Carney Speaks at BoE Independence Conference, London</t>
  </si>
  <si>
    <t>BoE Governor Carney Speaks at BoE Inflation Report Press Conference</t>
  </si>
  <si>
    <t>Draghi, Yellen, BoE Governor Carney, Kuroda Speak in Frankfurt</t>
  </si>
  <si>
    <t>BoE Governor Carney Speaks at Publication of Financial Stability Review</t>
  </si>
  <si>
    <t>BoE Governor Carney Speaks at Parliament Hearing in London</t>
  </si>
  <si>
    <t>Governor Kuroda, BoE Governor Carney and IMF's Lagarde Speak at Davos</t>
  </si>
  <si>
    <t>BoE Governor Carney Speaks on Money at Event in London</t>
  </si>
  <si>
    <t>BoE Governor Carney, Dudley Speak at BoE Markets Forum in London</t>
  </si>
  <si>
    <t>BoE Governor Carney Speaks at a Conference in Toronto</t>
  </si>
  <si>
    <t>BoE Governor Carney Speaks at CFA Institute 2019 Annual Conference:</t>
  </si>
  <si>
    <t>BoE's Goodhart Speaks at Goethe Institute</t>
  </si>
  <si>
    <t>BoE's Clementi Speaks</t>
  </si>
  <si>
    <t>BoE's King, Goodhart and Vickers Questioned</t>
  </si>
  <si>
    <t>BoE's George, Budd and Julius Questioned</t>
  </si>
  <si>
    <t>BoE's Buiter Speaks</t>
  </si>
  <si>
    <t>BoE's DeAnne Julius speaks</t>
  </si>
  <si>
    <t>BoE's Sushil Wadhwani speaks</t>
  </si>
  <si>
    <t>BoE's Ian Plenderleith speaks</t>
  </si>
  <si>
    <t>BoE's Charles Goodhart speaks</t>
  </si>
  <si>
    <t>BoE's David Clementi speaks</t>
  </si>
  <si>
    <t>BoE's Barker on U.K. Housing Market</t>
  </si>
  <si>
    <t>BoE's John Vickers Speaks in London</t>
  </si>
  <si>
    <t>BoE's DeAnne Julius Speaks in Newcastle</t>
  </si>
  <si>
    <t>Parliamentary Committee hears BoE testimony</t>
  </si>
  <si>
    <t>BoE's Clementi speaks in Tokyo</t>
  </si>
  <si>
    <t>BoE's Wadhwani Speaks in Washington</t>
  </si>
  <si>
    <t>BoE's Clementi Speaks in London</t>
  </si>
  <si>
    <t>BoE's Stephen Nickell speaks in Finland</t>
  </si>
  <si>
    <t>BoE's Sushil Wadhwani speaks in Finland</t>
  </si>
  <si>
    <t>BoE Governor, MPC members testify in parliament</t>
  </si>
  <si>
    <t>BoE Governor Discusses Quarterly Inflation Report</t>
  </si>
  <si>
    <t>BoE MPC Member Stephen Nickell speaking</t>
  </si>
  <si>
    <t>BoE's Bean Chairs Forum on Central Bank Writing</t>
  </si>
  <si>
    <t>BoE's Large Speaks at Geneva Association, London</t>
  </si>
  <si>
    <t>BoE's Large Speaks at Payment Systems Conference</t>
  </si>
  <si>
    <t>BoE's Lambert speaks</t>
  </si>
  <si>
    <t>BoE's Kate Barker Speaks</t>
  </si>
  <si>
    <t>BoE's Tucker Speaks</t>
  </si>
  <si>
    <t>BoE's Bell Participates in Panel Discussion</t>
  </si>
  <si>
    <t>BoE's Lomax Speaks in North Wales</t>
  </si>
  <si>
    <t>BoE's Bean Speaks</t>
  </si>
  <si>
    <t>BoE Policy Makers Testify</t>
  </si>
  <si>
    <t>BoE's Lomax Speaks in Liverpool</t>
  </si>
  <si>
    <t>BoE's Kate Barker gives speech in Washington</t>
  </si>
  <si>
    <t>BoE's Paul Tucker speaking at BMA Conference</t>
  </si>
  <si>
    <t>BoE MPC member David Walton speaks in Exeter</t>
  </si>
  <si>
    <t>BoE's Walton, Tucker Speak on Outlook</t>
  </si>
  <si>
    <t>BoE MPC member Stephen Nickell Speaks in Brussels</t>
  </si>
  <si>
    <t>BoE policy maker Barker speaks in Sheffield</t>
  </si>
  <si>
    <t>BoE MPC member Richard Lambert Speaks in Mumbai</t>
  </si>
  <si>
    <t>BoE's Lomax Speaks at Conference in London</t>
  </si>
  <si>
    <t>BoE's Nickell Speaks in London at a Lunch</t>
  </si>
  <si>
    <t>BoE policy maker David Walton speaks at Warwick</t>
  </si>
  <si>
    <t>BoE testimony to U.K. Treasury Select Committee</t>
  </si>
  <si>
    <t>BoE policy maker Gieve speaks at EEF</t>
  </si>
  <si>
    <t>BoE's Gieve Speaks At Roundtable Discussion</t>
  </si>
  <si>
    <t>BoE's Blanchflower Gives Speech in Cardiff</t>
  </si>
  <si>
    <t>BoE's Sentance Speaks on Monetary Policy in London</t>
  </si>
  <si>
    <t>BoE Chief Economist Bean to Deliver Speech</t>
  </si>
  <si>
    <t>BoE's Tucker to Make Speech</t>
  </si>
  <si>
    <t>BoE's Nigel Jenkinson speaks in Frankfurt</t>
  </si>
  <si>
    <t>McFall, U.K. Lawmaker, on BoE Policy</t>
  </si>
  <si>
    <t>BoE Policy Maker Sentance to Make Speech</t>
  </si>
  <si>
    <t>BoE Policy Maker Blanchflower Speaks in Manchester</t>
  </si>
  <si>
    <t>BoE Chief Economist Charles Bean Speaks in London</t>
  </si>
  <si>
    <t>BoE's Tucker Gives Speech at Money Market Event</t>
  </si>
  <si>
    <t>BoE's Bean to Make Speech</t>
  </si>
  <si>
    <t>BoE's Gieve Makes Speech</t>
  </si>
  <si>
    <t>BoE's Sentance Speaks at Pensions Conference</t>
  </si>
  <si>
    <t>BoE's Dale Testifies at Treasury Committee</t>
  </si>
  <si>
    <t>BoE's John Gieve Speaks at Stock Exchange</t>
  </si>
  <si>
    <t>BoE's Sentance Makes Speech</t>
  </si>
  <si>
    <t>BoE's Blanchflower to Deliver Speech</t>
  </si>
  <si>
    <t>BoE's Besley to Make Speech</t>
  </si>
  <si>
    <t>BoE's Gieve to Make Speech</t>
  </si>
  <si>
    <t>BoE's Sentance to make speech</t>
  </si>
  <si>
    <t>BoE's Blanchflower to make speech</t>
  </si>
  <si>
    <t>BoE Policy Maker Kate Barker to Make Speech</t>
  </si>
  <si>
    <t>BoE's Blanchflower to Make Speech</t>
  </si>
  <si>
    <t>BoE's Dale to Make Speech</t>
  </si>
  <si>
    <t>BoE's Tucker to Make Comments on FSA Panel</t>
  </si>
  <si>
    <t>BoE's Jenkinson to Make Speech in London</t>
  </si>
  <si>
    <t>BoE's Fisher to Testify</t>
  </si>
  <si>
    <t>BoE's Sentance to Make Speech</t>
  </si>
  <si>
    <t>BoE's Brierley to Make Speech</t>
  </si>
  <si>
    <t>BoE's Haldane to Make Speech</t>
  </si>
  <si>
    <t>BoE's Bailey to Testify in Parliament</t>
  </si>
  <si>
    <t>BoE Deputy Governor Tucker to Make Speech</t>
  </si>
  <si>
    <t>BoE's Fisher to Make Speech</t>
  </si>
  <si>
    <t>BoE's Dale to Speak on Conference Panel</t>
  </si>
  <si>
    <t>BoE's Miles Will Testify to Parliament</t>
  </si>
  <si>
    <t>Posen to Testify on BoE Appointment</t>
  </si>
  <si>
    <t>FSB's Alambritis Discusses BoE Policy</t>
  </si>
  <si>
    <t>BoE's Barker to Make Speech</t>
  </si>
  <si>
    <t>BoE's Miles to Make Speech</t>
  </si>
  <si>
    <t>BoE's Saporta to Make Speech at BBA Conference</t>
  </si>
  <si>
    <t>BoE's Tucker Speaks at Barclays Event in London</t>
  </si>
  <si>
    <t>BoE's Posen to Make Speech</t>
  </si>
  <si>
    <t>BoE's Tucker to Make Speech in Brussels</t>
  </si>
  <si>
    <t>BoE's Bailey to Make Speech</t>
  </si>
  <si>
    <t>BoE's Tucker to Deliver Speech</t>
  </si>
  <si>
    <t>BoE's Posen to Deliver Speech</t>
  </si>
  <si>
    <t>BoE Deputy Governor Bean Speaks in London</t>
  </si>
  <si>
    <t>BoE's Sentance to Deliver Speech</t>
  </si>
  <si>
    <t>BoE's Tucker to Speak on Panel</t>
  </si>
  <si>
    <t>BoE Deputy Governor Charles Bean Speaks</t>
  </si>
  <si>
    <t>BoE's Andrew Sentance Speaks in London</t>
  </si>
  <si>
    <t>BoE's Andrew Bailey Speaks in London</t>
  </si>
  <si>
    <t>BoE's Spencer Dale Speaks in Cardiff</t>
  </si>
  <si>
    <t>BoE Policy Maker Adam Posen Gives Speech in Hull</t>
  </si>
  <si>
    <t>BoE Deputy Governor Paul Tucker Gives Speech</t>
  </si>
  <si>
    <t>BoE Markets Director Fisher Gives Speech</t>
  </si>
  <si>
    <t>BoE policy maker Paul Tucker speaks in London</t>
  </si>
  <si>
    <t>BoE policy maker Paul Tucker presents report</t>
  </si>
  <si>
    <t>BoE's Paul Tucker Speaks in London</t>
  </si>
  <si>
    <t>BoE's Adam Posen Speaks in Belfast</t>
  </si>
  <si>
    <t>BoE's Charlie Bean Speaks in London</t>
  </si>
  <si>
    <t>BoE's Adam Posen speaks in Sweden</t>
  </si>
  <si>
    <t>BoE's Andrew Sentance Speaks in Belfast</t>
  </si>
  <si>
    <t>BoE's Dale Speaks at University of Kent</t>
  </si>
  <si>
    <t>BoE's Andrew Haldane Speaks in Denver, Colorado</t>
  </si>
  <si>
    <t>BoE's Adam Posen Speaks in Birmingham</t>
  </si>
  <si>
    <t>BoE's Andrew Haldane speaks in Dublin</t>
  </si>
  <si>
    <t>BoE's Sentance Speaks in London</t>
  </si>
  <si>
    <t>BoE's Andrew Haldane speaks in Munich</t>
  </si>
  <si>
    <t>BoE Official Andrew Bailey speaks in London</t>
  </si>
  <si>
    <t>BoE's Paul Tucker Speaks in Cambridge, England</t>
  </si>
  <si>
    <t>BoE Official Andrew Bailey Speaks in Leicester</t>
  </si>
  <si>
    <t>BoE's Adam Posen Speaks in Oxford</t>
  </si>
  <si>
    <t>BoE's David Miles Speaks in London</t>
  </si>
  <si>
    <t>BoE's Weale Speaks in Oxford</t>
  </si>
  <si>
    <t>BoE's Adam Posen Speaks in Mumbai</t>
  </si>
  <si>
    <t>BoE's Charles Bean Speaks in New York</t>
  </si>
  <si>
    <t>BoE Deputy Governor Charles Bean speaks in London</t>
  </si>
  <si>
    <t>BoE Governor Speaks on Stability in San Francisco</t>
  </si>
  <si>
    <t>BoE Official Andrew Bailey Speaks in Manchester</t>
  </si>
  <si>
    <t>BoE policy maker Andrew Sentance speaks in Suffolk</t>
  </si>
  <si>
    <t>BoE policy maker Spencer Dale speaks in London</t>
  </si>
  <si>
    <t>BoE policy maker Weale speaks in London</t>
  </si>
  <si>
    <t>BoE Policy Maker David Miles Speaks in London</t>
  </si>
  <si>
    <t>BoE's Andrew Haldane speaks in Bretton Woods</t>
  </si>
  <si>
    <t>BoE policy maker Adam Posen speaks in New York</t>
  </si>
  <si>
    <t>BoE official Paul Tucker gives speech in New York</t>
  </si>
  <si>
    <t>BoE's Martin Weale chairs panel discussion</t>
  </si>
  <si>
    <t>BoE's Charles Bean chairs panel discussion</t>
  </si>
  <si>
    <t>BoE's Adam Posen speaks in Boston, Massachusetts</t>
  </si>
  <si>
    <t>BoE's Andrew Sentance Speaks in Manchester</t>
  </si>
  <si>
    <t>BoE's Paul Tucker speaks in Washington</t>
  </si>
  <si>
    <t>BoE Deputy Governor Paul Tucker speaks in London</t>
  </si>
  <si>
    <t>BoE policy maker Andrew Sentance speaks in Jersey</t>
  </si>
  <si>
    <t>BoE's Adam Posen Speaks in Madrid</t>
  </si>
  <si>
    <t>BoE's Paul Fisher Speaks in London</t>
  </si>
  <si>
    <t>BoE's Adam Posen Speaks in Berlin</t>
  </si>
  <si>
    <t>BoE's Adam Posen speaks in Aberdeen, Scotland</t>
  </si>
  <si>
    <t>BoE's Chris Salmon Speaks in Leeds</t>
  </si>
  <si>
    <t>BoE's Andrew Haldane Speaks in Beijing</t>
  </si>
  <si>
    <t>BoE Deputy Governor Bean Speaks in Canberra</t>
  </si>
  <si>
    <t>BoE's Haldane Speaks in Edinburgh</t>
  </si>
  <si>
    <t>BoE's Martin Weale speaks in Dublin</t>
  </si>
  <si>
    <t>BoE's Weale Speaks in Doncaster, England</t>
  </si>
  <si>
    <t>BoE's Posen Speaks in Gloucestershire, England</t>
  </si>
  <si>
    <t>BoE's Dale Speaks in South Shields, England</t>
  </si>
  <si>
    <t>BoE Policy Maker Ben Broadbent Speaks in London</t>
  </si>
  <si>
    <t>BoE Policy Maker David Miles Speaks in Luxembourg</t>
  </si>
  <si>
    <t>BoE Policy Maker David Miles Speaks in Oxford</t>
  </si>
  <si>
    <t>BoE policy maker David Miles Speaks in London</t>
  </si>
  <si>
    <t>BoE Policy Maker Adam Posen Speaks in New York</t>
  </si>
  <si>
    <t>BoE Official Andy Haldane Speaks in Madrid</t>
  </si>
  <si>
    <t>BoE's Paul Tucker Speaks in Brussels</t>
  </si>
  <si>
    <t>BoE's Andy Haldane Speaks in London</t>
  </si>
  <si>
    <t>BoE Deputy Governor Charles Bean Speaks in Geneva</t>
  </si>
  <si>
    <t>BoE FPC Member Robert Jenkins Speaks in London</t>
  </si>
  <si>
    <t>BoE's Robert Jenkins Speaks in Paris</t>
  </si>
  <si>
    <t>BoE Deputy Governor Charles Bean Speaks in London</t>
  </si>
  <si>
    <t>BoE's Andrew Haldane Speaks in London</t>
  </si>
  <si>
    <t>BoE Policy Maker David Miles Speaks in York</t>
  </si>
  <si>
    <t>BoE's Martin Weale Speaks in London</t>
  </si>
  <si>
    <t>BoE's David Miles Speaks in Cambridge, England</t>
  </si>
  <si>
    <t>BoE's Adam Posen Speaks in London</t>
  </si>
  <si>
    <t>BoE Policy Maker Adam Posen Speaks in Nottingham</t>
  </si>
  <si>
    <t>BoE Deputy Governor Paul Tucker Speaks in London</t>
  </si>
  <si>
    <t>BoE Policy Maker Adam Posen Speaks in London</t>
  </si>
  <si>
    <t>BoE's Bean Speaks in Glasgow</t>
  </si>
  <si>
    <t>BoE's Haldane Speaks in London</t>
  </si>
  <si>
    <t>BoE's Tucker Speaks in London</t>
  </si>
  <si>
    <t>BoE's Weale Speaks in London</t>
  </si>
  <si>
    <t>BoE's Miles Speaks in Manchester</t>
  </si>
  <si>
    <t>BoE's Fisher Speaks in London</t>
  </si>
  <si>
    <t>BoE's Haldane Speaks in New York</t>
  </si>
  <si>
    <t>BoE's Broadbent Speaks in London</t>
  </si>
  <si>
    <t>BoE's Dale Speaks in Wales</t>
  </si>
  <si>
    <t>BoE's Dale Speaks in Cambridge</t>
  </si>
  <si>
    <t>BoE's Posen Speaks in London</t>
  </si>
  <si>
    <t>BoE's Adam Posen Speaks in Massachusetts</t>
  </si>
  <si>
    <t>BoE's Adam Posen speaks in New York</t>
  </si>
  <si>
    <t>BoE's Andy Haldane Speaks in Berlin</t>
  </si>
  <si>
    <t>BoE Policy Maker Adam Posen Speaks in Edinburgh</t>
  </si>
  <si>
    <t>BoE's Broadbent Speaks at Bloomberg</t>
  </si>
  <si>
    <t>BoE's Bob Jenkins Speech Published</t>
  </si>
  <si>
    <t>BoE Deputy Governor Paul Tucker Speaks in Tokyo</t>
  </si>
  <si>
    <t>BoE's Chris Salmon Speaks in Osaka</t>
  </si>
  <si>
    <t>BoE's Charlie Bean Speaks in Hull</t>
  </si>
  <si>
    <t>BoE's Haldane speaks in London</t>
  </si>
  <si>
    <t>BoE's Haldane Testifies to Parliamentary Committee</t>
  </si>
  <si>
    <t>BoE's Andrew Haldane Speaks in Zurich</t>
  </si>
  <si>
    <t>BoE's David Miles Speaks in Bath, England</t>
  </si>
  <si>
    <t>BoE's Charles Bean Speaks at IEA Conference</t>
  </si>
  <si>
    <t>BoE's Spencer Dale Speaks in London</t>
  </si>
  <si>
    <t>BoE Releases Capital Report on Banks</t>
  </si>
  <si>
    <t>BoE MPC Member Martin Weale Speaks in Birmingham</t>
  </si>
  <si>
    <t>BoE's Tucker Speaks in The Hague</t>
  </si>
  <si>
    <t>BoE's Bean Speaks in London</t>
  </si>
  <si>
    <t>BoE FPC Members Questioned by Lawmakers</t>
  </si>
  <si>
    <t>BoE's Miles Speaks at Conference in London</t>
  </si>
  <si>
    <t>BoE's Bailey Speaks in London.</t>
  </si>
  <si>
    <t>BoE's Mike Cross Speaks in London</t>
  </si>
  <si>
    <t>BoE's Paul Tucker speaks in London</t>
  </si>
  <si>
    <t>BoE Policy Maker Martin Weale Speaks in Cambridge</t>
  </si>
  <si>
    <t>BoE's Ben Broadbent Speaks in London</t>
  </si>
  <si>
    <t>BoE's David Miles Speaks in Newcastle</t>
  </si>
  <si>
    <t>BoE's Chris Salmon Speaks in Norwich, England</t>
  </si>
  <si>
    <t>BoE's Andrew Gracie speaks in London</t>
  </si>
  <si>
    <t>BoE Chief Cashier Chris Salmon Speaks in London</t>
  </si>
  <si>
    <t>BoE Chief Economist Spencer Dale Speaks in London</t>
  </si>
  <si>
    <t>BoE MPC Member Martin Weale Speaks in London</t>
  </si>
  <si>
    <t>BoE's Andrew Haldane Speaks in Oxford</t>
  </si>
  <si>
    <t>BoE's Bulley speaks in London</t>
  </si>
  <si>
    <t>BoE's Miles Discusses 'New Normal' Monetary Policy</t>
  </si>
  <si>
    <t>BoE's Dale, Haldane Speak in Parliament</t>
  </si>
  <si>
    <t>BoE's Cunliffe Speaks in London</t>
  </si>
  <si>
    <t>BoE Official Andy Haldane Speaks in York</t>
  </si>
  <si>
    <t>BoE's Broadbent Speaks at Parliament Hearing</t>
  </si>
  <si>
    <t>BoE publishes consultation paper on leverage ratio</t>
  </si>
  <si>
    <t>BoE's Kristin Forbes Speaks in Washington</t>
  </si>
  <si>
    <t>BoE's Andrew Bailey Speaks in Washington</t>
  </si>
  <si>
    <t>BoE's Gracie speaks in Amsterdam</t>
  </si>
  <si>
    <t>BoE's Alex Brazier Speaks in London</t>
  </si>
  <si>
    <t>BoE Hosts Event on New Bank Notes</t>
  </si>
  <si>
    <t>BoE MPC Member Kristin Forbes Speaks in London</t>
  </si>
  <si>
    <t>BoE's David Rule Speaks in Lisbon, Portugal</t>
  </si>
  <si>
    <t>BoE's David Rule Speaks in Edinburgh</t>
  </si>
  <si>
    <t>BoE Court Chairman Hapgood Speaks in London</t>
  </si>
  <si>
    <t>BoE Deputy Governor Jon Cunliffe Speaks</t>
  </si>
  <si>
    <t>BoE official Andrew Haldane speaks in London</t>
  </si>
  <si>
    <t>BoE official Kristin Forbes speaks in Brighton</t>
  </si>
  <si>
    <t>BoE's Shafik Speaks in London</t>
  </si>
  <si>
    <t>BoE's Brazier Speaks in London</t>
  </si>
  <si>
    <t>BoE Deputy Governor Ben Broadbent gives speech</t>
  </si>
  <si>
    <t>BoE Official Martin Weale speaks at conference</t>
  </si>
  <si>
    <t>BoE Official Gertjan Vlieghe Speaks in London</t>
  </si>
  <si>
    <t>BoE Official Alex Brazier Speaks in Brussels</t>
  </si>
  <si>
    <t>BoE Chief Economist Andy Haldane Speaks in London</t>
  </si>
  <si>
    <t>BoE Official Andrew Gracie Speaks in London</t>
  </si>
  <si>
    <t>BoE Policy Maker Gertjan Vlieghe Speaks</t>
  </si>
  <si>
    <t>BoE's Saunders Speaks in London</t>
  </si>
  <si>
    <t>BoE's Jon Cunliffe Speaks at House of Lords</t>
  </si>
  <si>
    <t>BoE's Taylor Speaks in London</t>
  </si>
  <si>
    <t>BoE's Kohn Speaks in London</t>
  </si>
  <si>
    <t>BoE's Salmon Speaks in Singapore</t>
  </si>
  <si>
    <t>BoE's Anil Kashyap Speaks in London</t>
  </si>
  <si>
    <t>BoE Deputy Governor Jon Cunliffe Speaks in Kendal</t>
  </si>
  <si>
    <t>BoE Deputy Governor Ben Broadbent Speaks in London</t>
  </si>
  <si>
    <t>BoE's DeAnne Julius attends European Forum</t>
  </si>
  <si>
    <t>BoE Policymakers Appear at Committee Hearing</t>
  </si>
  <si>
    <t>BoE Deputy Governor Large Chairs News Conference</t>
  </si>
  <si>
    <t>BoE Deputy Governor Tucker at Cambridge, MA Panel</t>
  </si>
  <si>
    <t>BoE Financial Policy Committee Holds Meeting</t>
  </si>
  <si>
    <t>BoE Financial Policy Committee Press Conference</t>
  </si>
  <si>
    <t>BoE's Tucker Panelist in Cambridge</t>
  </si>
  <si>
    <t>BoE Financial Policy Committee Meeting</t>
  </si>
  <si>
    <t>BoE's Haldane at AEA meeting in Philadelphia</t>
  </si>
  <si>
    <t>BoE Policy Makers, Two-day Meeting, London</t>
  </si>
  <si>
    <t>Former MPC Member Wadhwani: BoE Rates</t>
  </si>
  <si>
    <t>Royal Bank's Walker: BoE's Minutes</t>
  </si>
  <si>
    <t>Juckes of RBS Speaks on BoE Rates</t>
  </si>
  <si>
    <t>Walker of RBS Speaks on BoE Minutes</t>
  </si>
  <si>
    <t>Dicks of RBS Comments on BoE Rates</t>
  </si>
  <si>
    <t>U.K. Treasury Committee on BoE MPC</t>
  </si>
  <si>
    <t>Walker of RBS Speaks on BoE Rates</t>
  </si>
  <si>
    <t>Hilliard of SocGen Discusses BoE Rates</t>
  </si>
  <si>
    <t>Wilde of Baring on BoE Rate Decision</t>
  </si>
  <si>
    <t>Greenwood of Invesco on BoE Rates</t>
  </si>
  <si>
    <t>BoE Member Willem Buiter speaks</t>
  </si>
  <si>
    <t>BoE's John Vickers speaks</t>
  </si>
  <si>
    <t>BoE MPC Members Before Parliamentary Panel</t>
  </si>
  <si>
    <t>BoE's Stephen Nickell speaks</t>
  </si>
  <si>
    <t>BoE's Wadhwani Speaks</t>
  </si>
  <si>
    <t>BoE's Charles Bean testifies in parliament</t>
  </si>
  <si>
    <t>BoE Deputy Governor Clementi speaks</t>
  </si>
  <si>
    <t>Chancellor Gordon Brown testifies on BoE to parliamentary grou</t>
  </si>
  <si>
    <t>BoE's Clementi speaks</t>
  </si>
  <si>
    <t>BoE's Julius speaks at BCC conference</t>
  </si>
  <si>
    <t>BoE Chief Economist Charles Bean speaks</t>
  </si>
  <si>
    <t>BoE Deputy Governor David Clementi speaks</t>
  </si>
  <si>
    <t>BoE Deputy Governor Clementi Gives Speech</t>
  </si>
  <si>
    <t>BoE's Chief Economist Charles Bean speaking</t>
  </si>
  <si>
    <t>BoE's Barker Speaks at TUC Budget Conference, London</t>
  </si>
  <si>
    <t>BoE's Lambert Testifies to U.K. Treasury Committee</t>
  </si>
  <si>
    <t>BoE Policy Maker Stephen Nickell speaking</t>
  </si>
  <si>
    <t>BoE's Tucker speaks at Asset &amp; Liability Management Assoc.</t>
  </si>
  <si>
    <t>BoE's Lomax Speaks in London</t>
  </si>
  <si>
    <t>Economists Testify on BoE Inflation Report</t>
  </si>
  <si>
    <t>BoE's Tucker speaks at the Euromoney Global Borrowers Forum</t>
  </si>
  <si>
    <t>BoE's Lomax speaks at APCIMS conference in London</t>
  </si>
  <si>
    <t>BoE's Lambert speaks in Northern Ireland at NAPF conference</t>
  </si>
  <si>
    <t>BoE's Nickell Speaks at British Academy/ESRC conference</t>
  </si>
  <si>
    <t>BoE's Large speaks at conference in London</t>
  </si>
  <si>
    <t>BoE's Large speaks at business school in London</t>
  </si>
  <si>
    <t>Speech by BoE's Nickell due for release</t>
  </si>
  <si>
    <t>BoE's Barker speaks at CBI dinner in Birmingham</t>
  </si>
  <si>
    <t>BoE's Walton speaks at lunch in Central Southern</t>
  </si>
  <si>
    <t>BoE's Blanchflower speaks at U.K. Treasury Committee</t>
  </si>
  <si>
    <t>BoE'S Tucker speaks at Chicago Business School</t>
  </si>
  <si>
    <t>Walker of Royal Bank on U.K. Inflation, BoE</t>
  </si>
  <si>
    <t>BoE's Gieve speaks at financial innovation centre's roundtable</t>
  </si>
  <si>
    <t>Fox of Dresdner Kleinwort on Currency Outlook, BoE</t>
  </si>
  <si>
    <t>Stretch of Rabobank on Currency Outlook, BOJ, BoE</t>
  </si>
  <si>
    <t>BoE's Bean Speaks at Jackson Hole Symposium, Wyoming</t>
  </si>
  <si>
    <t>Clarke of BNP Paribas on BoE Monetary Policy</t>
  </si>
  <si>
    <t>BoE Deputy Governor Sir John Gieve Gives Speech in Bristol</t>
  </si>
  <si>
    <t>BoE's Besley Testifies to Parliament's Treasury Committee</t>
  </si>
  <si>
    <t>BoE's Sentance Testifies to Parliament's Treasury Committee</t>
  </si>
  <si>
    <t>BoE's Gieve to Address Hedge Fund Conference in London</t>
  </si>
  <si>
    <t>BoE's Bean to make speech on globalization and inflation</t>
  </si>
  <si>
    <t>BoE Deputy Governor Rachel Lomax Makes Speech at the LSE</t>
  </si>
  <si>
    <t>BoE Deputy Governor John Gieve to deliver speech</t>
  </si>
  <si>
    <t>BoE Deputy Governor Lomax Makes Speech to Welsh Executives</t>
  </si>
  <si>
    <t>BoE's Blanchflower Makes Speech to DTI Conference in London</t>
  </si>
  <si>
    <t>BoE Policy Maker Paul Tucker Due to Make Speech in London</t>
  </si>
  <si>
    <t>BoE Deputy Governor Gieve to Speak on Financial Stability</t>
  </si>
  <si>
    <t>BoE's Blanchflower speech to Cambridge Chamber of Commerce</t>
  </si>
  <si>
    <t>Sentance of BoE Speaks on U.K. Monetary Policy</t>
  </si>
  <si>
    <t>Gieve of BoE, Others Speak on Financial Stability</t>
  </si>
  <si>
    <t>BoE Submissions to Treasury Committee on Monetary Policy</t>
  </si>
  <si>
    <t>BoE Policy Maker Blanchflower to Deliver Speech</t>
  </si>
  <si>
    <t>BoE Deputy Governor Lomax to Deliver Speech</t>
  </si>
  <si>
    <t>BoE Policy Maker Andrew Sentance to Deliver Speech</t>
  </si>
  <si>
    <t>BoE's Barker to Deliver Speech</t>
  </si>
  <si>
    <t>BoE Deputy Governor Gieve to Deliver Speech</t>
  </si>
  <si>
    <t>BoE Executive Director Tucker to Make Speech</t>
  </si>
  <si>
    <t>BoE's Blanchflower to Make Speech in London</t>
  </si>
  <si>
    <t>BoE Deputy Governor Gieve to Make Speech</t>
  </si>
  <si>
    <t>BoE Financial Stability Director Nigel Jenkinson speaks</t>
  </si>
  <si>
    <t>BoE's Blanchflower speaks in Berlin</t>
  </si>
  <si>
    <t>BoE's Sentance speaks at Dow Jones</t>
  </si>
  <si>
    <t>BoE's Charles Bean speaks in London</t>
  </si>
  <si>
    <t>BoE Policy Maker Besley to Make Speech</t>
  </si>
  <si>
    <t>BoE Deputy Governor Gieve To Make Speech</t>
  </si>
  <si>
    <t>Buiter of LSE Speaks on Northern Rock, BoE Policy</t>
  </si>
  <si>
    <t>Blanchflower of BoE on European Labour Markets</t>
  </si>
  <si>
    <t>BoE Policy Maker Blanchflower to Make Speech</t>
  </si>
  <si>
    <t>BoE Policy Maker Barker to Make Speech</t>
  </si>
  <si>
    <t>BoE's Nigel Jenkinson to make speech</t>
  </si>
  <si>
    <t>BoE Deputy Governor Lomax to Make Speech</t>
  </si>
  <si>
    <t>BoE Policy Maker Blanchflower to Testify in Parliament</t>
  </si>
  <si>
    <t>BoE Policy Maker Tucker Makes Speech in London</t>
  </si>
  <si>
    <t>BoE's Bean Testifies to Lawmakers</t>
  </si>
  <si>
    <t>BoE Policy Maker Barker to make speech</t>
  </si>
  <si>
    <t>Lomax of BoE Speaks on U.K. Economy in London</t>
  </si>
  <si>
    <t>BoE Deputy Governor Gieve Makes Speech in London</t>
  </si>
  <si>
    <t>BoE Deputy Governor Gieve speaks in London</t>
  </si>
  <si>
    <t>BoE's Besley to Make Speech in London</t>
  </si>
  <si>
    <t>BoE's Sentance to Make Speech in London</t>
  </si>
  <si>
    <t>BoE's Bean Testifies in London</t>
  </si>
  <si>
    <t>BoE Deputy Governor Bean to Give Speech</t>
  </si>
  <si>
    <t>Moec of Bank of America on BoE: Money &amp; Politics</t>
  </si>
  <si>
    <t>BoE's Tucker Makes Speech</t>
  </si>
  <si>
    <t>BoE's Barker to make speech</t>
  </si>
  <si>
    <t>BoE's Gieve Speaks in London</t>
  </si>
  <si>
    <t>BoE's Besley Speaks at event in London</t>
  </si>
  <si>
    <t>BoE's Blanchflower Speaks in Canterbury</t>
  </si>
  <si>
    <t>BoE's Bean to deliver speech</t>
  </si>
  <si>
    <t>BoE's Tucker Speaks Before U.K. Treasury Committee</t>
  </si>
  <si>
    <t>BoE's Tucker to Testify to Treasury Committee</t>
  </si>
  <si>
    <t>BoE's Sentance Speaks on Economic Policy in London</t>
  </si>
  <si>
    <t>BoE's Blanchflower Speaks on Unemployment Policy</t>
  </si>
  <si>
    <t>BoE's Mac Coille Makes Speech on Blanchflower Paper</t>
  </si>
  <si>
    <t>BoE's Jenkinson to Make Speech</t>
  </si>
  <si>
    <t>Posen Speaks Before Treasury Committee on BoE Role</t>
  </si>
  <si>
    <t>RBS's Walker Discusses BoE Quantitative Easing</t>
  </si>
  <si>
    <t>BNY Mellon's Derrick on Currencies and BoE Policy</t>
  </si>
  <si>
    <t>VTB Capital's Mackinnon Speaks on BoE Policy</t>
  </si>
  <si>
    <t>BoE's Haldane to Make Presentation in London</t>
  </si>
  <si>
    <t>BoE's Sentance Speaks on U.K. Economic Outlook</t>
  </si>
  <si>
    <t>BoE's Posen Makes Speech in London</t>
  </si>
  <si>
    <t>BoE Chief Economist Dale Makes Speech in Essex</t>
  </si>
  <si>
    <t>BoE's Fisher to Deliver Speech</t>
  </si>
  <si>
    <t>BoE's Posen Speaks on Panel</t>
  </si>
  <si>
    <t>BoE's Miles to Deliver Speech</t>
  </si>
  <si>
    <t>BoE's Haldane Speech to Be Released</t>
  </si>
  <si>
    <t>BoE's Dale to Deliver Speech</t>
  </si>
  <si>
    <t>BoE's Haldane Makes Speech in Hong Kong</t>
  </si>
  <si>
    <t>BoE's Posen speaks in Berlin</t>
  </si>
  <si>
    <t>BoE's Tucker Speaks in Frankfurt</t>
  </si>
  <si>
    <t>BoE Policy Maker Andrew Sentance Delivers Speech</t>
  </si>
  <si>
    <t>BoE's Sentance Speaks on U.K. Economic Outlook al Exe</t>
  </si>
  <si>
    <t>BoE's Haldane Delivers Speech</t>
  </si>
  <si>
    <t>BoE's Tucker Delivers Speech</t>
  </si>
  <si>
    <t>BoE's Weale Testifies to Lawmakers in London</t>
  </si>
  <si>
    <t>BoE's Posen Speaks in Washington</t>
  </si>
  <si>
    <t>BoE's Tucker Speaks in Washington</t>
  </si>
  <si>
    <t>BoE's Miles Speaks in Dublin</t>
  </si>
  <si>
    <t>BoE's Fisher Speech Released</t>
  </si>
  <si>
    <t>BoE's Posen Delivers Speech</t>
  </si>
  <si>
    <t>BoE's Haldane Speech Released</t>
  </si>
  <si>
    <t>BoE's Weale Speech to Be Released</t>
  </si>
  <si>
    <t>BoE's Posen Delivers Speech in Washington</t>
  </si>
  <si>
    <t>BoE's Tucker Delivers Speech in Frankfurt</t>
  </si>
  <si>
    <t>BoE's Haldane Delivers Speech in New York</t>
  </si>
  <si>
    <t>BoE's Posen Speaks in Essex, England</t>
  </si>
  <si>
    <t>BoE's Haldane Speaks at Financial Conference in Brussels</t>
  </si>
  <si>
    <t>Ben Broadbent, Donald Kohn to Testify on BoE Appointments</t>
  </si>
  <si>
    <t>BoE's Posen Speaks at Event in London</t>
  </si>
  <si>
    <t>BoE's Haldane to Deliver Speech</t>
  </si>
  <si>
    <t>BoE's Charles Bean Speaks in Belfast</t>
  </si>
  <si>
    <t>BoE's Weale Speaks at Finance Directors' Strategy Meeting</t>
  </si>
  <si>
    <t>BoE Publishes Statement on Financial Policy Committee Meeting</t>
  </si>
  <si>
    <t>BoE Interim FPC Member Robert Jenkins Speaks in Berlin</t>
  </si>
  <si>
    <t>Jenkins Questioned on BoE Appointment by Treasury Committee</t>
  </si>
  <si>
    <t>Treasury Committee Publishes Report on BoE Accountability</t>
  </si>
  <si>
    <t>BoE's Spencer Dale Speaks at Bloomberg in London</t>
  </si>
  <si>
    <t>BoE's Clark Speaks in London</t>
  </si>
  <si>
    <t>BoE's Posen Speaks at Warwick University, England</t>
  </si>
  <si>
    <t>BoE's Tucker Speaks in Brussels</t>
  </si>
  <si>
    <t>BoE Deputy Governor Charlie Bean Speaks in Cirencester, U.K.</t>
  </si>
  <si>
    <t>BoE'S Tucker to Speak in London</t>
  </si>
  <si>
    <t>BoE's Robert Jenkins to Speak in Monaco</t>
  </si>
  <si>
    <t>BoE's Martin Weale Speaks in Guildford, England</t>
  </si>
  <si>
    <t>BoE's Tucker Testifies to Commons Treasury Committee on Libor</t>
  </si>
  <si>
    <t>Speech by BoE's Adam Posen at University of Greenwich</t>
  </si>
  <si>
    <t>BoE's Dale Speaks at Conference in Dublin</t>
  </si>
  <si>
    <t>BoE's McCafferty Questioned by U.K. Lawmakers</t>
  </si>
  <si>
    <t>BoE's Miles Speaks in Edinburgh</t>
  </si>
  <si>
    <t>BoE's Broadbent Speaks at Event in Durham, England</t>
  </si>
  <si>
    <t>BoE's Tucker Delivers Speech at BBA Conference</t>
  </si>
  <si>
    <t>BoE's Haldane Delivers Speech in Belfast</t>
  </si>
  <si>
    <t>BoE's Weale Testifies to Lords Panel on Aging Society</t>
  </si>
  <si>
    <t>BoE's Andrew Gracie Speaks at Conference in Vienna</t>
  </si>
  <si>
    <t>BoE's Paul Tucker Speaks at IADI Conference</t>
  </si>
  <si>
    <t>BoE's Broadbent Delivers Speech in Lancaster</t>
  </si>
  <si>
    <t>BoE's Haldane Testifies to U.K. Parliament Banking Panel</t>
  </si>
  <si>
    <t>BoE's Cohrs Delivers Speech in Bristol</t>
  </si>
  <si>
    <t>BoE's Weale Speaks in Manchester, England</t>
  </si>
  <si>
    <t>BoE's Cohrs Testifies to Lawmakers in London</t>
  </si>
  <si>
    <t>BoE's Dale Speaks at Seminar in London</t>
  </si>
  <si>
    <t>BoE's Jenkins Speaks in London</t>
  </si>
  <si>
    <t>BoE's Weale Speaks in Wellington, New Zealand</t>
  </si>
  <si>
    <t>BoE Deputy Governor Tucker Speaks at a Conference in London</t>
  </si>
  <si>
    <t>BoE's McCafferty Delivers Speech</t>
  </si>
  <si>
    <t>Ex-BoE Policy Maker Posen Testifies to Parliamentary Committee</t>
  </si>
  <si>
    <t>BoE's Chris Salmon Speaks in London</t>
  </si>
  <si>
    <t>BoE Governor-Designate Carney Questioned by Lawmakers</t>
  </si>
  <si>
    <t>BoE's Robert Jenkins Speaks in Washington</t>
  </si>
  <si>
    <t>BoE's Haldane Speaks at Conference in Dublin</t>
  </si>
  <si>
    <t>BoE's Bean, Tucker, Miles and McCafferty Speak in London</t>
  </si>
  <si>
    <t>BoE's Spencer Dale speaks in London</t>
  </si>
  <si>
    <t>BoE's Haldane Speaks at Atlanta Fed Conference</t>
  </si>
  <si>
    <t>BoE's Tucker Speaks at Seminar in Dublin</t>
  </si>
  <si>
    <t>BoE's Miles Speaks at Conference in Boston</t>
  </si>
  <si>
    <t>Israel's Fischer, Korea's Kim, BoE's Haldane on IMF Panel</t>
  </si>
  <si>
    <t>BoE's McCafferty Speaks in Coventry, England</t>
  </si>
  <si>
    <t>BoE's Haldane Speaks at Conference in London</t>
  </si>
  <si>
    <t>BoE's Paul Sharma Speaks in London</t>
  </si>
  <si>
    <t>BoE Policy Maker Fisher Speaks in Cardiff</t>
  </si>
  <si>
    <t>BoE's Haldane Speaks in Frankfurt</t>
  </si>
  <si>
    <t>BoE's Haldane Speaks at Summit in London</t>
  </si>
  <si>
    <t>BoE's Haldane Speaks at Trento Economic Festival, Italy</t>
  </si>
  <si>
    <t>BoE Committee Members Questioned by U.K. Lawmakers</t>
  </si>
  <si>
    <t>BoE's Paul Fisher Speaks at London conference</t>
  </si>
  <si>
    <t>BoE's Haldane Speaks at U.K. Treasury Committee</t>
  </si>
  <si>
    <t>ECB's Liikanen, BoE's Tucker Speak at Helsinki Conference</t>
  </si>
  <si>
    <t>BoE's Paul Tucker Speaks at conference in Helsinki</t>
  </si>
  <si>
    <t>BoE's Ian McCafferty speaks in London</t>
  </si>
  <si>
    <t>BoE's Fisher, DMO's Stheeman Testify to Lawmakers</t>
  </si>
  <si>
    <t>BoE Publishes Data on Funding for Lending</t>
  </si>
  <si>
    <t>BoE's Haldane Speaks at Event in London</t>
  </si>
  <si>
    <t>BoE Deputy Governor Paul Tucker Speaks at Conference in London</t>
  </si>
  <si>
    <t>BoE's Sam Woods Speaks at Conference in London</t>
  </si>
  <si>
    <t>BoE's Fisher Speaks at AIU London</t>
  </si>
  <si>
    <t>BoE Deputy Governor Paul Tucker Speaks in Parliament</t>
  </si>
  <si>
    <t>BoE's Gracie Speaks at Conference in Dublin</t>
  </si>
  <si>
    <t>BoE's Tucker Speaks at Event in Washington</t>
  </si>
  <si>
    <t>Jon Cunliffe Questioned by Lawmakers on BoE Appointment</t>
  </si>
  <si>
    <t>BoE's Weale Speaks at U.K. Parliament Treasury Committtee</t>
  </si>
  <si>
    <t>BoE's Dale Answers Questions From the Public on Twitter</t>
  </si>
  <si>
    <t>BoE FPC Member Martin Taylor Speaks in Wolverhampton, England</t>
  </si>
  <si>
    <t>BoE's Bean Speaks at SBE Annual Conference</t>
  </si>
  <si>
    <t>BoE's Chris Salmon Speaks in Toronto</t>
  </si>
  <si>
    <t>BoE's Don Kohn Speaks in Oxford, England</t>
  </si>
  <si>
    <t>BoE Policy Maker David Miles Speaks in Dallas</t>
  </si>
  <si>
    <t>BoE Policy Maker Martin Weale speaks in London</t>
  </si>
  <si>
    <t>BoE's Bulley Speaks at Conference in London</t>
  </si>
  <si>
    <t>BoE's Gracie Speaks at Event in Brussels</t>
  </si>
  <si>
    <t>BoE's Weale Speaks at NIESR Event in London</t>
  </si>
  <si>
    <t>BoE's Dale Speaks at Event in England</t>
  </si>
  <si>
    <t>Fed's Plosser, BoE's Haldane Speak at Economics Conference</t>
  </si>
  <si>
    <t>BoE's Ben Broadbent Speaks at London School of Economics</t>
  </si>
  <si>
    <t>BoE's Haldane Speaks at Event in Frankfurt</t>
  </si>
  <si>
    <t>BoE's McCafferty Speaks at Event in Nottingham</t>
  </si>
  <si>
    <t>BoE's Fisher Speaks at Event in London</t>
  </si>
  <si>
    <t>BoE's Ben Broadbent Speaks at Conference in London</t>
  </si>
  <si>
    <t>BoE's Andrew Haldane speaks at conference in Vienna</t>
  </si>
  <si>
    <t>BoE Deputy Governor Jon Cunliffe Speaks in London</t>
  </si>
  <si>
    <t>BoE's Andrew Haldane Speaks in Manchester, England</t>
  </si>
  <si>
    <t>BoE's Bean Speaks at the North East Chamber of Commerce</t>
  </si>
  <si>
    <t>BoE's Cunliffe Speaks at Chatham House, London</t>
  </si>
  <si>
    <t>BoE's Weale Speaks at Thames Valley Chamber of Commerce</t>
  </si>
  <si>
    <t>BoE's Dale, Fed's Kocherlakota Speak at Monetary Policy Forum</t>
  </si>
  <si>
    <t>BoE PRA's Julian Adams Speaks in Geneva</t>
  </si>
  <si>
    <t>BoE FPC Member Clara Furse Speaks in Liverpool</t>
  </si>
  <si>
    <t>BoE Deputy Governor Jon Cunliffe Speaks in Birmingham</t>
  </si>
  <si>
    <t>BoE FPC Member Donald Kohn Speaks in Beijing</t>
  </si>
  <si>
    <t>BoE's Cunliffe Speaks at Event in London</t>
  </si>
  <si>
    <t>BoE Publishes Feedback on Stress Test Discussion Paper</t>
  </si>
  <si>
    <t>BoE's Bean Speaks at LSE in London</t>
  </si>
  <si>
    <t>BoE's Haldane Speaks at Event in Bristol, England</t>
  </si>
  <si>
    <t>BoE's Victoria Cleland Speaks in London</t>
  </si>
  <si>
    <t>BoE's Gracie Speaks in Madrid</t>
  </si>
  <si>
    <t>BoE's Sharp Speaks in London</t>
  </si>
  <si>
    <t>BoE's Weale Speaks at Event in Belfast</t>
  </si>
  <si>
    <t>BoE MPC Designate Kristin Forbes Has Appointment Hearing</t>
  </si>
  <si>
    <t>BoE's Haldane Speaks at Event in Scarborough, England</t>
  </si>
  <si>
    <t>BoE's McCafferty Speaks at Event in London</t>
  </si>
  <si>
    <t>BoE's Andrew Haldane Speaks on a Panel in London</t>
  </si>
  <si>
    <t>BoE Deputy Governor Jon Cunliffe Speaks in Liverpool, England</t>
  </si>
  <si>
    <t>BoE's Shafik Questioned by U.K. Commons Treasury Committee</t>
  </si>
  <si>
    <t>BoE's Head of Resolution Gracie Speaks in London</t>
  </si>
  <si>
    <t>BoE's Head of Resolution Gracie Speaks in Brussels</t>
  </si>
  <si>
    <t>BoE's Broadbent Delivers Speech in London</t>
  </si>
  <si>
    <t>BoE's Ben Broadbent Speaks in Jackson Hole, Wyoming</t>
  </si>
  <si>
    <t>BoE Policy Maker Miles Speaks at London School of Economics</t>
  </si>
  <si>
    <t>BoE's Fisher Speaks at Richmond University, London</t>
  </si>
  <si>
    <t>BoE's Forbes Speaks at Event in London</t>
  </si>
  <si>
    <t>BoE Publishes Consultation Papers on Bank Oversight</t>
  </si>
  <si>
    <t>BoE's Andrew Gracie Speaks in Washington</t>
  </si>
  <si>
    <t>BoE Deputy Governor Cunliffe Speaks in Washington</t>
  </si>
  <si>
    <t>BoE Chief Economist Andy Haldane Speaks in Kenilworth, England</t>
  </si>
  <si>
    <t>BoE's Ben Broadbent Speaks at Event in London</t>
  </si>
  <si>
    <t>BoE's Shafik Speaks at Event in London</t>
  </si>
  <si>
    <t>BoE's Cunliffe Speaks at Event in Cambridge, England</t>
  </si>
  <si>
    <t>BoE's Haldane Speaks at Event in Birmingham, England</t>
  </si>
  <si>
    <t>BoE's Cunliffe, Bailey Questioned by Lords Panel</t>
  </si>
  <si>
    <t>BoE's Shafik Speaks at Parliament Hearing in London</t>
  </si>
  <si>
    <t>BoE FPC Member Taylor Delivers Speech</t>
  </si>
  <si>
    <t>BoE's Miles Speaks at Economics Conference in Bristol</t>
  </si>
  <si>
    <t>BoE's Andrew Gracie Speaks in London</t>
  </si>
  <si>
    <t>BoE's McCafferty Speaks in Liverpool</t>
  </si>
  <si>
    <t>BoE's Cunliffe speaks in London</t>
  </si>
  <si>
    <t>BoE's Minouche Shafik Speaks in Brussels</t>
  </si>
  <si>
    <t>BoE's Gracie Speaks in London</t>
  </si>
  <si>
    <t>BoE FPC Member Clara Furse Speaks in Birmingham</t>
  </si>
  <si>
    <t>BoE Deputy Head of PRA Paul Fisher Speaks in Lancaster</t>
  </si>
  <si>
    <t>BoE's Haldane Speaks in Norwich, England</t>
  </si>
  <si>
    <t>BoE's Kristin Forbes Speaks in London</t>
  </si>
  <si>
    <t>Carney, BoE MPC Members Testify to Commons Treasury Committee</t>
  </si>
  <si>
    <t>BoE Chief Economist Haldane Speaks at London Conference</t>
  </si>
  <si>
    <t>BoE's COO Hogg Speaks on New Data Panel at Bank</t>
  </si>
  <si>
    <t>BoE Director Paul Fisher Speaks on Policy Implementation</t>
  </si>
  <si>
    <t>BoE's Shafik Speaks in Coventry, England</t>
  </si>
  <si>
    <t>BoE Director Andrew Hauser Speaks in London</t>
  </si>
  <si>
    <t>BoE's Fisher Speaks on Panel at Event in London</t>
  </si>
  <si>
    <t>BoE's McCafferty Speaks in Durham, England</t>
  </si>
  <si>
    <t>BoE Report on Supervision of Financial Market Infrastructures</t>
  </si>
  <si>
    <t>BoE's Weale Speaks at Event in London</t>
  </si>
  <si>
    <t>BoE Executive Director for Markets Salmon Speaks in London</t>
  </si>
  <si>
    <t>BoE Deputy Governor Jon Cunliffe Speaks in Frankfurt</t>
  </si>
  <si>
    <t>BoE Chief Economist Andrew Haldane Speaks in London</t>
  </si>
  <si>
    <t>BoE's Haldane Speaks at Event in Amsterdam</t>
  </si>
  <si>
    <t>BoE Deputy Governor Jon Cunliffe Speaks in Luton, England</t>
  </si>
  <si>
    <t>BoE's Gracie speaks in London</t>
  </si>
  <si>
    <t>Carney, BoE Officials Questioned by Commons Treasury Panel</t>
  </si>
  <si>
    <t>BoE Chief Economist Andy Haldane Speech Text Released</t>
  </si>
  <si>
    <t>BoE's Cunliffe on Panel at Bruegel Think Tank in Brussels</t>
  </si>
  <si>
    <t>BoE's Forbes Speaks in Cardiff</t>
  </si>
  <si>
    <t>BoE Chief Economist Andy Haldane Answers Questions on Twitter</t>
  </si>
  <si>
    <t>BoE's Andy Haldane Speaks in Portadown, Northern Ireland</t>
  </si>
  <si>
    <t>BoE's Minouche Shafik speaks in Edinburgh</t>
  </si>
  <si>
    <t>BoE's Ben Broadbent Speaks on the U.K. Labor Market in London</t>
  </si>
  <si>
    <t>BoE's Gareth Ramsay Speaks in London</t>
  </si>
  <si>
    <t>BoE Deputy Governor Minouche Shafik moderates seminar in Lima</t>
  </si>
  <si>
    <t>BoE's Shafik, EU's Coeure, Chile's Vergara Speak on IMF Panel</t>
  </si>
  <si>
    <t>BoE's Martin Weale speaks in the Netherlands</t>
  </si>
  <si>
    <t>BoE's Gertjan Vlieghe Testifies in Front of U.K. Lawmakers</t>
  </si>
  <si>
    <t>BoE's Ian McCafferty Testifies in Front of U.K. Lawmakers</t>
  </si>
  <si>
    <t>BoE Publishes Consultation Paper on Ring-Fencing</t>
  </si>
  <si>
    <t>BoE's Brazier Speaks at Event in London</t>
  </si>
  <si>
    <t>BoE's McCafferty Speaks in London</t>
  </si>
  <si>
    <t>BoE's Jon Cunliffe Speaks in Geneva, Switzerland</t>
  </si>
  <si>
    <t>BoE's Shafik Speaks at Conference on Financial Markets Reform</t>
  </si>
  <si>
    <t>BoE's Cunliffe Speaks at Conference on Markets Reform</t>
  </si>
  <si>
    <t>BoE Deputy Governor Minouche Shafik Speaks in London</t>
  </si>
  <si>
    <t>BoE's Cunliffe Speaks at Bruegel in Brussels</t>
  </si>
  <si>
    <t>BoE's Kristin Forbes speaks at Henry Jackson Society in London</t>
  </si>
  <si>
    <t>BoE's Minouche Shafik speaks in London</t>
  </si>
  <si>
    <t>BoE's Cunliffe Speaks at Conference in London</t>
  </si>
  <si>
    <t>BoE's Alex Brazier speaks in London</t>
  </si>
  <si>
    <t>BoE's Jon Cunliffe speaks on panel at conference in Brussels</t>
  </si>
  <si>
    <t>BoE's Haldane speaks in Nottingham</t>
  </si>
  <si>
    <t>BoE's Cunliffe Speaks at Lords Committee Hearing on Housing</t>
  </si>
  <si>
    <t>BoE's Haldane Speaks in Manchester, England</t>
  </si>
  <si>
    <t>BoE's Andy Haldane Speaks at FinTech Conference in London</t>
  </si>
  <si>
    <t>BoE's Alex Brazier Speaks at a Conference in Washington</t>
  </si>
  <si>
    <t>BoE's Martin Weale Delivers Speech in Nottingham, U.K.</t>
  </si>
  <si>
    <t>BoE Financial Policy Committee Member Clara Furse Speaks</t>
  </si>
  <si>
    <t>BoE Financial Policy Committee Member Richard Sharp Speaks</t>
  </si>
  <si>
    <t>BoE's Kristin Forbes Speech Text Published</t>
  </si>
  <si>
    <t>BoE's Kristin Forbes Speaks at RES Conference, Brighton</t>
  </si>
  <si>
    <t>BoE Chief Cashier Cleland Speaks at Conference</t>
  </si>
  <si>
    <t>BoE's Hauser Speaks at Business Forum in London</t>
  </si>
  <si>
    <t>BoE's Ian McCafferty Speaks at the BoE</t>
  </si>
  <si>
    <t>BoE Deputy Governor Cunliffe Speaks in London</t>
  </si>
  <si>
    <t>BoE FPC Member Kohn Speaks in Frankfurt</t>
  </si>
  <si>
    <t>BoE's Gracie Speaks at SRB Conference in Brussels</t>
  </si>
  <si>
    <t>BoE Deputy Governor Cunliffe Speaks at SRB Conference</t>
  </si>
  <si>
    <t>BoE Chief Economy Andrew Haldane Speech Text Published</t>
  </si>
  <si>
    <t>BoE Policy Maker Martin Weale Speaks in Liverpool</t>
  </si>
  <si>
    <t>BoE Policy Maker Gertjan Vlieghe Speaks in London</t>
  </si>
  <si>
    <t>ECB's Nouy, BoE's Gracie Speak at IIF Conference in Madrid</t>
  </si>
  <si>
    <t>BoE's Ben Broadbent Publishes MPC Annual Report</t>
  </si>
  <si>
    <t>BoE's Taylor, Kohn, and Sharp Testify in Parliament</t>
  </si>
  <si>
    <t>BoE FPC Member Martin Taylor Speaks in London</t>
  </si>
  <si>
    <t>RBA's Debelle, Fed's Potter, BoE's Salmon on FX Code Launch</t>
  </si>
  <si>
    <t>BoE Chief Economist Andy Haldane Releases Speech Text</t>
  </si>
  <si>
    <t>BoE's Weale Speaks in London: Brexit Impact on Monetary Policy</t>
  </si>
  <si>
    <t>BoE Deputy Governor Ben Broadbent testifies on blockchain</t>
  </si>
  <si>
    <t>BoE's Shafik Speaks at Jackson Hole</t>
  </si>
  <si>
    <t>BoE's Haldane Chairs Seminar on Cricket and Finance</t>
  </si>
  <si>
    <t>BoE Executive Director Hauser Speaks in London</t>
  </si>
  <si>
    <t>BoE Executive Director for Insurance Rule speaks in Dublin</t>
  </si>
  <si>
    <t>BoE Policy Maker Forbes Speaks at Imperial College</t>
  </si>
  <si>
    <t>BoE's Shafik speaks at Bloomberg Most Influential Conference</t>
  </si>
  <si>
    <t>BoE's Forbes on panel at conference in Frankfurt</t>
  </si>
  <si>
    <t>BoE Policy Maker Saunders Publishes Speech</t>
  </si>
  <si>
    <t>BoE Deputy Governor Ben Broadbent gives speech in London</t>
  </si>
  <si>
    <t>BoE's Saunders Speaks at Parliamentary Hearing in London</t>
  </si>
  <si>
    <t>BoE's Kashyap Speaks at Parliamentary Hearing in London</t>
  </si>
  <si>
    <t>BoE Deputy Governor Cunliffe Speaks in Parliament in London</t>
  </si>
  <si>
    <t>BoE's Forbes Speaks at Conference in Warsaw</t>
  </si>
  <si>
    <t>BoE Deputy Governor Minouche Shafik Speaks in New York</t>
  </si>
  <si>
    <t>BoE Chief Economist Haldane Speaks at Conference in Hong Kong</t>
  </si>
  <si>
    <t>BoE's Minouche Shafik Speaks At Conference in Hong Kong</t>
  </si>
  <si>
    <t>BoE Policy Maker Kristin Forbes Speaks in Washington</t>
  </si>
  <si>
    <t>BoE Chief Economist Andy Haldane Speaks in Cambridge, England</t>
  </si>
  <si>
    <t>BoE's Cunliffe Delivers Speech in Manchester, England</t>
  </si>
  <si>
    <t>BoE's Broadbent Speaks at Conference in London</t>
  </si>
  <si>
    <t>BoE Policy Maker Kristin Forbes Speaks in London</t>
  </si>
  <si>
    <t>BoE Chief Economist Andy Haldane Speaks in Middlesbrough</t>
  </si>
  <si>
    <t>BoE's Forbes Releases Speech</t>
  </si>
  <si>
    <t>BoE Deputy Governor Jon Cunliffe speaks in Birmingham</t>
  </si>
  <si>
    <t>BoE Chief Economist Andy Haldane Publishes Annual MPC Report</t>
  </si>
  <si>
    <t>BoE Deputy Governor Shafik Answers Questions in Twitter Q&amp;A</t>
  </si>
  <si>
    <t>BoE Deputy Governor Shafik Speaks in Oxford</t>
  </si>
  <si>
    <t>BoE's Charlotte Hogg Speaks at Appointment Hearing in London</t>
  </si>
  <si>
    <t>BoE Deputy Governor Hogg Speaks in Lincoln</t>
  </si>
  <si>
    <t>BoE's Michael Saunders Speaks at Event in London</t>
  </si>
  <si>
    <t>BoE's Victoria Cleland Speaks at Conference in London</t>
  </si>
  <si>
    <t>BoE's Haldane Speaks in Yorkshire</t>
  </si>
  <si>
    <t>BoE's Forbes speaks in London</t>
  </si>
  <si>
    <t>BoE Official Jon Cunliffe Speaks in Aix-en-Provence, France</t>
  </si>
  <si>
    <t>BoE's Andy Haldane speaks in London</t>
  </si>
  <si>
    <t>BoE's Ben Broadbent speaks in Aberdeen</t>
  </si>
  <si>
    <t>BoE's Chris Salmon July 6 speech published</t>
  </si>
  <si>
    <t>BoE's Brazier Speaks in Liverpool, England</t>
  </si>
  <si>
    <t>BoE Chief Economist Haldane Speaks in London</t>
  </si>
  <si>
    <t>BoE's Charlotte Gerken speaks in Edinburgh</t>
  </si>
  <si>
    <t>BoE's Michael Saunders speaks in Cardiff, Wales</t>
  </si>
  <si>
    <t>BoE's Kumhof Speaks in Vienna</t>
  </si>
  <si>
    <t>BoE Markets Director Salmon Speaks in Barcelona</t>
  </si>
  <si>
    <t>BoE's Vlieghe Speaks in London</t>
  </si>
  <si>
    <t>BoE Financial Policy Official Donald Kohn Speaks in Basel</t>
  </si>
  <si>
    <t>RBA's Guy Debelle Speaks at BoE Conference in London</t>
  </si>
  <si>
    <t>Bank of Israel's Flug Speaks at BoE Conference, London</t>
  </si>
  <si>
    <t>South Africa's Kganyago Speaks at BoE Conference, London</t>
  </si>
  <si>
    <t>BoE's Cunliffe speaks at conference in Brussels</t>
  </si>
  <si>
    <t>BoE's Chief Economist Haldane Speaks in London</t>
  </si>
  <si>
    <t>BoE's Chief Economist Haldane Speaks at Event in London</t>
  </si>
  <si>
    <t>BoE Chief Economist Haldane Speaks in Washington</t>
  </si>
  <si>
    <t>BoE's Saporta Speaks in Washington</t>
  </si>
  <si>
    <t>BoE's Brazier Speaks in Lisbon</t>
  </si>
  <si>
    <t>BoE's Cunliffe speaks in Oxford</t>
  </si>
  <si>
    <t>ECB's Praet, BoE's Haldane, Denmark's Rohde Speak in Frankfurt</t>
  </si>
  <si>
    <t>BoE's Broadbent speaks at LSE</t>
  </si>
  <si>
    <t>BoE's Dave Ramsden speaks in London</t>
  </si>
  <si>
    <t>Testimony from BoE's Cunliffe, McCafferty, Saunders, Vlieghe.</t>
  </si>
  <si>
    <t>BoE's Haldane Speaks in Birmingham, England</t>
  </si>
  <si>
    <t>BoE's Ramsden Speaks at FMSB Event in London</t>
  </si>
  <si>
    <t>BoE Financial Policy Committee's Sharp Speaks in London</t>
  </si>
  <si>
    <t>BoE's Haldane speaks in Palermo, Italy</t>
  </si>
  <si>
    <t>BoE's Tenreyro Speaks on Productivity at Event in London</t>
  </si>
  <si>
    <t>BoE's Saunders Speaks at Event in London</t>
  </si>
  <si>
    <t>BoE's Cunliffe Speaks in California</t>
  </si>
  <si>
    <t>BoE's Vlieghe Speaks at Resolution Foundation Event in London</t>
  </si>
  <si>
    <t>BoE Policy Maker Ian McCafferty Speaks on LBC Radio</t>
  </si>
  <si>
    <t>BoE's Ramsden Speaks on Productivity in Cambridge</t>
  </si>
  <si>
    <t>BoE's Cunliffe Speaks at Event at Warwick University</t>
  </si>
  <si>
    <t>BoE's Sam Woods speaks in London</t>
  </si>
  <si>
    <t>BoE's Ramsden speaks in London.</t>
  </si>
  <si>
    <t>BoE's Vlieghe speaks in Birmingham.</t>
  </si>
  <si>
    <t>BoE's Haldane Speaks in Melbourne</t>
  </si>
  <si>
    <t>BoE's Broadbent Speaks in Sydney</t>
  </si>
  <si>
    <t>BoE FPC's Brazier, Kohn and Taylor Testify to Lawmakers</t>
  </si>
  <si>
    <t>BoE FPC's Brazier speaks in London</t>
  </si>
  <si>
    <t>BoE's Cunliffe speaks in Washington.</t>
  </si>
  <si>
    <t>BoE's Saunders speaks in Glasgow.</t>
  </si>
  <si>
    <t>BoE's Woods Speaks at Breakfast Briefing</t>
  </si>
  <si>
    <t>BoE's Andrew Hauser speaks on panel in London</t>
  </si>
  <si>
    <t>BoE Chief Cashier Cleland Moderates Panel on Cash</t>
  </si>
  <si>
    <t>BoE's Woods Speaks on Global Regulation in London</t>
  </si>
  <si>
    <t>BoE's John Speaks on Benchmark Reform in Liverpool</t>
  </si>
  <si>
    <t>BoE's Vlieghe Speaks at Parliament Reappointment Hearing</t>
  </si>
  <si>
    <t>BoE's Tenreyro Speaks at University of Surrey, England</t>
  </si>
  <si>
    <t>BoE's Cunliffe Speaks at Derivatives Conference, London</t>
  </si>
  <si>
    <t>BoE's McCafferty Speaks on LBC Radio</t>
  </si>
  <si>
    <t>BoE's Ramsden Speaks at Conference in London</t>
  </si>
  <si>
    <t>Haskel, Fried Speak at BoE Appointment Hearings in London</t>
  </si>
  <si>
    <t>BoE's Woods Speaks in London</t>
  </si>
  <si>
    <t>BoE's Saporta Speaks in London</t>
  </si>
  <si>
    <t>BoE Fintech Hub Head Cordelia Kafetz Speaks in London</t>
  </si>
  <si>
    <t>BoE's McCafferty Speaks on Radio Phone-In</t>
  </si>
  <si>
    <t>BoE's Haldane Speaks in Estonia</t>
  </si>
  <si>
    <t>BoE's Ramsden Speaks in London</t>
  </si>
  <si>
    <t>BoE's Broadbent Testifies to Parliament</t>
  </si>
  <si>
    <t>BoE's Haldane speaks in London.</t>
  </si>
  <si>
    <t>BoE's Cunliffe Speaks Before Lawmakers in London</t>
  </si>
  <si>
    <t>BoE's Broadbent Speaks in Washington</t>
  </si>
  <si>
    <t>BoE Chief Economist Haldane Speaks in Paris</t>
  </si>
  <si>
    <t>BoE Policy Maker Saunders Speaks</t>
  </si>
  <si>
    <t>BoE's Vlieghe Speaks in Plymouth</t>
  </si>
  <si>
    <t>BoE's Place, Fried Speak in London</t>
  </si>
  <si>
    <t>BoE's Woods Speaks on Financial Regulation</t>
  </si>
  <si>
    <t>BoE's Vlieghe Speaks on the Economic Outlook</t>
  </si>
  <si>
    <t>BoE's Tenreyro Speaks in Glasgow</t>
  </si>
  <si>
    <t>BoE's Haskel Speaks in Birmingham</t>
  </si>
  <si>
    <t>BoE's Broadbent Speaks on Statistics in London</t>
  </si>
  <si>
    <t>BoE's Ramsden Speaks on Panel in Washington</t>
  </si>
  <si>
    <t>BoE's Cunliffe, Norway's Jensen Speak on Panel in Washington</t>
  </si>
  <si>
    <t>BoE Deputy Governor Ramsden Speaks in London</t>
  </si>
  <si>
    <t>BoE Court Chair Fried Speaks Before Lawmakers</t>
  </si>
  <si>
    <t>BoE's Cunliffe speaks in London.</t>
  </si>
  <si>
    <t>BoE's Haldane speaks in Sheffield.</t>
  </si>
  <si>
    <t>BoE's Jonathan Haskel speaks in York</t>
  </si>
  <si>
    <t>BoE's Ben Broadbent speaks in London</t>
  </si>
  <si>
    <t>BoE's Dave Ramsden speaks in Inverness, Scotland</t>
  </si>
  <si>
    <t>BoE's Dave Ramsden Speaks in London</t>
  </si>
  <si>
    <t>BoE's Saunders speaks in Southampton.</t>
  </si>
  <si>
    <t>BoE's Saunders, Broadbent speak in Parliament.</t>
  </si>
  <si>
    <t>BoE's Tenreyro Speaks in Copenhagen</t>
  </si>
  <si>
    <t>BoE's Cunliffe Speaks in Lisbon.</t>
  </si>
  <si>
    <t>BoE's Broadbent speaks in London.</t>
  </si>
  <si>
    <t>BoE's Tenreyro speaks in London</t>
  </si>
  <si>
    <t>BoE's Vlieghe speaks in London.</t>
  </si>
  <si>
    <t>ECB's De Guindos, BoE's Tenreyro Speak on Monetary Policy</t>
  </si>
  <si>
    <t>BoE's Tenreyro Speaks in Frankfurt</t>
  </si>
  <si>
    <t>BoE's Tenreyro Speaks at ECB Conference in Frankfurt</t>
  </si>
  <si>
    <t>BoE Deputy Governor Cunliffe Speaks in Frankfurt</t>
  </si>
  <si>
    <t>BoE's Saunders Speaks in Barnsley</t>
  </si>
  <si>
    <t>BoE's Tenreyro Speaks on Panel in Washington</t>
  </si>
  <si>
    <t>BoE's Tenreyro Speaks on Panel in Frankfurt</t>
  </si>
  <si>
    <t>ECB's Lane, Hernandez de Cos, BoE's Tenreyro in Frankfurt</t>
  </si>
  <si>
    <t>BoE's Cunliffe Speaks on Monetary Policy in London</t>
  </si>
  <si>
    <t>BoE's Vlieghe Speaks on Monetary Policy in London</t>
  </si>
  <si>
    <t>BoE's Cunliffe Speaks on Panel in Washington</t>
  </si>
  <si>
    <t>BoE's Haldane Speaks on Diversity in Frankfurt</t>
  </si>
  <si>
    <t>BoE's Tenreyro speaks in London.</t>
  </si>
  <si>
    <t>BoE's Haskel Speaks in London</t>
  </si>
  <si>
    <t>BoE's Broadbent Speaks on Panel in San Diego</t>
  </si>
  <si>
    <t>BoE's Haldane Speaks on U.K. Regional Inequality in Amsterdam</t>
  </si>
  <si>
    <t>BoE's Tenreyro Speaks on the Labor Market Outlook in London</t>
  </si>
  <si>
    <t>BoE's Saunders Speaks in Bangor, Northern Ireland</t>
  </si>
  <si>
    <t>BoE Policy Maker Jonathan Haskel Speaks on Panel in Davos</t>
  </si>
  <si>
    <t>BoE's Jon Cunliffe speaks in Berlin</t>
  </si>
  <si>
    <t>BoE Policy Maker Haskel Speaks in Nottingham</t>
  </si>
  <si>
    <t>BoE's Tenreyro Speaks on Panel in New York</t>
  </si>
  <si>
    <t>BoE's Cunliffe Speaks on a Panel in London</t>
  </si>
  <si>
    <t>BoE Chief Economist Haldane Speaks in Oxford</t>
  </si>
  <si>
    <t>BoE's Tenreyro Speaks on Monetary Policy During Pandemics</t>
  </si>
  <si>
    <t>BoE's Haldane and Broadbent hold briefing.</t>
  </si>
  <si>
    <t>BoE's Vlieghe Speaks on Policy and the Balance Sheet</t>
  </si>
  <si>
    <t>BoE's Breeden Speaks on Webinar</t>
  </si>
  <si>
    <t>BoE's Tenreyro Speaks About Covid-19 Response on Webinar</t>
  </si>
  <si>
    <t>BoE's Haldane Speaks on CBI Webinar</t>
  </si>
  <si>
    <t>BoE's Saunders speaks.</t>
  </si>
  <si>
    <t>BoE's Broadbent, Tenreyro, Speak on Virtual Panel</t>
  </si>
  <si>
    <t>BoE's Haldane Speaks on the Future of Society</t>
  </si>
  <si>
    <t>BoE's Vlieghe Speaks on Macroeconomic Tail Risk, Asset Prices</t>
  </si>
  <si>
    <t>BoE Chief Economist Andrew Haldane Speaks in Webinar</t>
  </si>
  <si>
    <t>BoE Policy Maker Haskel Speaks on Webinar</t>
  </si>
  <si>
    <t>BoE's Haldane Speaks on Webcast</t>
  </si>
  <si>
    <t>BoE's Tenreyro Speaks on Covid-19 and the Economy</t>
  </si>
  <si>
    <t>BoE's Haldane and Tenreyro Speak at Re-Appointment Hearings</t>
  </si>
  <si>
    <t>BoE's Haskel Speaks the Economic Effects of Covid-19</t>
  </si>
  <si>
    <t>BoE's Haldane speaks in Edinburgh.</t>
  </si>
  <si>
    <t>BoE's Broadbent and Haldane Speak</t>
  </si>
  <si>
    <t>BoE's Ramsden Speaks at Conference</t>
  </si>
  <si>
    <t>BoE's Saunders Speaks</t>
  </si>
  <si>
    <t>BoE's Haskel Speaks at a European Commission Event</t>
  </si>
  <si>
    <t>BoE's Haldane speaks at LEP Economic Summit</t>
  </si>
  <si>
    <t>BoE's Haldane speaks at conference on shareholder primacy</t>
  </si>
  <si>
    <t>BoE's Haldane speaks.</t>
  </si>
  <si>
    <t>BoE's Haskel speaks.</t>
  </si>
  <si>
    <t>BoE's Haldane Speaks at OECD Conference</t>
  </si>
  <si>
    <t>BoE's Ramsden gives opening remarks at AI forum</t>
  </si>
  <si>
    <t>BoE's Haskel Speaks at Online Event</t>
  </si>
  <si>
    <t>BoE's Broadbent Speaks at Public Accounts Committee</t>
  </si>
  <si>
    <t>BoE's Haldane Speaks</t>
  </si>
  <si>
    <t>BoE's Cunliffe Speaks</t>
  </si>
  <si>
    <t>BoE's Broadbent, John Speak on Cash</t>
  </si>
  <si>
    <t>BoE's Cunliffe Speaks at Fintech Event</t>
  </si>
  <si>
    <t>BoE's Cunliffe Speaks at IMF Events on Cross-Border Payments</t>
  </si>
  <si>
    <t>BoE's Vlieghe Speaks on Health of the Economy</t>
  </si>
  <si>
    <t>BoE's Ramsden Speaks at SPE Event</t>
  </si>
  <si>
    <t>BoE's Haldane Speaks at Macroeconomics Conference</t>
  </si>
  <si>
    <t>BoE's Ramsden Chairs Event on Financial Stability</t>
  </si>
  <si>
    <t>BoE's Broadbent, Ramsden Speak About Monetary Policy Report</t>
  </si>
  <si>
    <t>BoE's Andy Haldane speaks.</t>
  </si>
  <si>
    <t>BoE Deputy Governor Cunliffe Speaks</t>
  </si>
  <si>
    <t>BoE's Silvana Tenreyro Speaks</t>
  </si>
  <si>
    <t>BoE's Haskel Speaks on AI Technologies</t>
  </si>
  <si>
    <t>BoE's Dave Ramsden Speaks</t>
  </si>
  <si>
    <t>BoE's Andy Haldane Speaks</t>
  </si>
  <si>
    <t>BoE's Haskel Speaks on Panel</t>
  </si>
  <si>
    <t>BoE's Tenreyro Speaks</t>
  </si>
  <si>
    <t>BoE's Tenreyro Speaks on Webinar</t>
  </si>
  <si>
    <t>Parliamentary Hearings into BoE's Nickell, Allsopp's appointme</t>
  </si>
  <si>
    <t>BoE's Lambert in coversation at Liverpool's National Museum</t>
  </si>
  <si>
    <t>BoE's Clark at Securities &amp; Investment Institute, Jersey</t>
  </si>
  <si>
    <t>U.K. Treasury Committee Meets New BoE Members</t>
  </si>
  <si>
    <t>BoE's Gieve, Jenkinson appear before Treasury Select Committee</t>
  </si>
  <si>
    <t>BoE's Spencer Dale at U.K. Treasury Committee</t>
  </si>
  <si>
    <t>BoE's Dale Chairs Panel at Conference in Surrey</t>
  </si>
  <si>
    <t>BoE's Miles Panelist in Virginia, U.S.</t>
  </si>
  <si>
    <t>BoE's Statement from Financial Policy Committee Meeting</t>
  </si>
  <si>
    <t>BoE Official Andrew Bailey's Pre-Appointment Hearing</t>
  </si>
  <si>
    <t>BoE's Andrew Bailey Attends Treasury Committee Hearing</t>
  </si>
  <si>
    <t>BoE's Kohn, Taylor Attend Parliament Hearing</t>
  </si>
  <si>
    <t>Jonathan Hill meets with Jon Cunliffe, Deputy Governor BoE</t>
  </si>
  <si>
    <t>BoE's Cunliffe Chairs Panel at ESRB Conference in Frankfurt</t>
  </si>
  <si>
    <t>BoE's Andy Haldane Chairs Panel in London</t>
  </si>
  <si>
    <t>BoE's Tenreyro Chairs Panel in London.</t>
  </si>
  <si>
    <t>BoE Chief Economist Haldane Chairs Panel in London</t>
  </si>
  <si>
    <t>BoE's Haskel Chairs Panel in London</t>
  </si>
  <si>
    <t>BoE's Carney, Ramsden, Vlieghe, Haskel at Parliament Committee</t>
  </si>
  <si>
    <t>BoE's Haskel Chairs a Panel at Event in Warwick</t>
  </si>
  <si>
    <t>Williams de Broe's Smith: BoE Decision on Rates</t>
  </si>
  <si>
    <t>BNP Paribas's Mortimer-Lee: BoE Report, Fed Rates</t>
  </si>
  <si>
    <t>Weale of NIESR Speaks on BoE Rate Decision</t>
  </si>
  <si>
    <t>Komileva of Tullett Prebon Discusses BoE Rates</t>
  </si>
  <si>
    <t>Castle of Lehman Comments on BoE Rate Decision</t>
  </si>
  <si>
    <t>Walker of RBS Speaks on BoE Interest Rate Decision</t>
  </si>
  <si>
    <t>Grice of American Express Speaks on BoE Rate Rise</t>
  </si>
  <si>
    <t>Riley of NIESR Speaks on BoE Interest Rates</t>
  </si>
  <si>
    <t>Hilliard of SocGen Discusses BoE Interest Rates</t>
  </si>
  <si>
    <t>Dicks of RBS Discusses BoE Inflation Report</t>
  </si>
  <si>
    <t>Loynes of Capital Economics on ECB, BoE Rates</t>
  </si>
  <si>
    <t>Castle of Lehman Discusses BoE Minutes, Rates</t>
  </si>
  <si>
    <t>Walker of RBS Speak on U.K. Economy, BoE Minutes</t>
  </si>
  <si>
    <t>Hochberg of Credit Suisse on ECB and BoE Outlook</t>
  </si>
  <si>
    <t>Smith of Shadow MPC Speaks on BoE Interest Rates</t>
  </si>
  <si>
    <t>Goodhart, Former BoE Policy Maker on Rate Decision</t>
  </si>
  <si>
    <t>Tyson of MF Global on BoE Interest Rate Decision</t>
  </si>
  <si>
    <t>Williams of Lloyds Speaks on BoE Interest Rates</t>
  </si>
  <si>
    <t>Council of Mortgage Lender's Coogan on BoE Rates</t>
  </si>
  <si>
    <t>BNP's Mortimer-Lee and RBC's Jones on BoE Rates</t>
  </si>
  <si>
    <t>SocGen's Shah Discusses BoE and ECB Rate Decisions</t>
  </si>
  <si>
    <t>Lloyds TSB's Williams Speaks on BoE Rate Decision</t>
  </si>
  <si>
    <t>Pimco's Bosomworth Discusses ECB and BoE Decisions</t>
  </si>
  <si>
    <t>EU's Rehn Meets BoE's King, Speaks at St. Antony's College</t>
  </si>
  <si>
    <t>ECB President Mario Draghi Speaks at BoE event in London</t>
  </si>
  <si>
    <t>BoE Deputy Governor Minouche Shafik Speaks at IMF Meeting</t>
  </si>
  <si>
    <t>Fed's Fischer Speaks at BoE Independence Conference, London</t>
  </si>
  <si>
    <t>IMF's Lagarde Speaks at BoE Conference, London</t>
  </si>
  <si>
    <t>BoE Andrew Bailey Speaks on Green Finance at Mansion House</t>
  </si>
  <si>
    <t>BoE Andy Haldane speaks in Milton Keynes</t>
  </si>
  <si>
    <t>BoE Policy Maker Adam Posen Speaks in Berlin</t>
  </si>
  <si>
    <t>BoE Goodhart on U.K., European Central Bank Policy</t>
  </si>
  <si>
    <t>BoE Goodhart on U.K., European Central Bank Policy al Exe</t>
  </si>
  <si>
    <t>BoE Governor King, Bean, Tucker, Posen at Parliament Committee</t>
  </si>
  <si>
    <t>BoE Governor Bailey at Lords Committee</t>
  </si>
  <si>
    <t>BoE Governor Carney, Bean, Dale, Broadbent at Treasury Committee</t>
  </si>
  <si>
    <t>BoE Governor Carney, FCA's Bailey, U.S.'s Giancario Press Conference</t>
  </si>
  <si>
    <t>BoE Governor Carney, Ramsden, and Tenreyro Appear Before Treasury</t>
  </si>
  <si>
    <t>BoE Governor Carney, Shafik, Saunders at Treasury Committee Hearing</t>
  </si>
  <si>
    <t>BoE Financial Policy Committee Record of March 23 Meeting</t>
  </si>
  <si>
    <t>BoE Financial Policy Committee Record of November Meeting</t>
  </si>
  <si>
    <t>BoE Financial Policy Committee Record of September Meeting</t>
  </si>
  <si>
    <t>BoE Financial Policy Committee: Record of March Meeting</t>
  </si>
  <si>
    <t>BoE Governor King, Lomax, Sentance Attend Treasury Committee Hearing</t>
  </si>
  <si>
    <t>BoE Governor Carney Appears at House of Lords Economic Committee</t>
  </si>
  <si>
    <t>Draghi, BoE Governor King, Bini Smaghi, Visco, Regling at Rome Conference</t>
  </si>
  <si>
    <t>BoE Governor Carney Press Briefing Before G20 Summit</t>
  </si>
  <si>
    <t>Financial Stability Committee Plenary Meeting</t>
  </si>
  <si>
    <t>Regulation</t>
  </si>
  <si>
    <t>BoE Bond Buying Operation Results</t>
  </si>
  <si>
    <t>QE</t>
  </si>
  <si>
    <t>Mansion</t>
  </si>
  <si>
    <t>keywords</t>
  </si>
  <si>
    <t>Quentin Bro de Comères</t>
  </si>
  <si>
    <t>Categories:</t>
  </si>
  <si>
    <t>Keywords:</t>
  </si>
  <si>
    <t>"Basel": Basel accords, macroprudential regulation, banking regulation and supervision</t>
  </si>
  <si>
    <t>"Crisis": Banking, financial crisis, turmoil, bank resolution</t>
  </si>
  <si>
    <t>"Stability": Financial stability</t>
  </si>
  <si>
    <t xml:space="preserve">This dataset compiles monetary announcements issued by the Bank of England between 1998 and end-2020. </t>
  </si>
  <si>
    <t>-0: Postponed or cancelled events</t>
  </si>
  <si>
    <t>-2: Other Monetary Measures (LTRO, QE)</t>
  </si>
  <si>
    <t>-3: Reports and figures releases: monetary supply, financial committee, inflation, lending, etc.)</t>
  </si>
  <si>
    <t>-7: Events/interventions from members of other institutions</t>
  </si>
  <si>
    <t>-8: Earnings</t>
  </si>
  <si>
    <t>-9: Parliament Hearings of BoE governors</t>
  </si>
  <si>
    <t>-4: Speeches from BoE Governors during their years of office (George, King, Carney, Bailey)</t>
  </si>
  <si>
    <t>"Mansion": Annual speech at Mansion House</t>
  </si>
  <si>
    <t>- Sir Mervyn King (2003-07/2013-07)</t>
  </si>
  <si>
    <t>- Sir Edward George (1993-07/2003-06)</t>
  </si>
  <si>
    <t>- Mark Carney (2013-07/2020-03)</t>
  </si>
  <si>
    <t>- Andrew Bailey (2020-03/-)</t>
  </si>
  <si>
    <t>Superficial textual analysis for following keywords.</t>
  </si>
  <si>
    <t>-6: Events attended by members of the BoE (keywords: Appear, Attend, Hold, Take Part, Meeting, Committee, etc.)</t>
  </si>
  <si>
    <t>-5: Speeches delivered by members of the BoE (keywords: Speak, Address, Testify, Deliver, Discuss, etc.)</t>
  </si>
  <si>
    <t>Bank of England Monetary Events Database</t>
  </si>
  <si>
    <t>official_bank_rate</t>
  </si>
  <si>
    <t>BoE Interest Rate Decision, QE2 (Asset Purchase Facility) announced (GPB 125bn)</t>
  </si>
  <si>
    <t>BoE Interest Rate Decision, QE1 (Asset Purchase Facility) announced (GPB 200bn)</t>
  </si>
  <si>
    <t>Announcement Funding for Lending Scheme (QE)</t>
  </si>
  <si>
    <t>BoE Interest Rate Decision, QE3 (Asset Purchase Facility) announced (GPB 50bn)</t>
  </si>
  <si>
    <t>BoE Interest Rate Decision, QE4 (Asset Purchase Facility, GPB 60bn Gilts, 10bn corporate bonds), Term Funding Scheme announced</t>
  </si>
  <si>
    <t>BoE Interest Rate Decision, Term Funding Scheme with additional incentives for SMEs (TFSME) announced</t>
  </si>
  <si>
    <t>BoE Interest Rate Decision,  QE5 (Asset Purchase Facility, GPB 450bn gilts, corporate bonds)</t>
  </si>
  <si>
    <t>BoE Interest Rate Decision, forward guidance introduced</t>
  </si>
  <si>
    <t>-1: Monetary Policy Council decisions (Rates, Minutes, QE announcements, first forward guidance)</t>
  </si>
  <si>
    <t>"QE": Quantitative Easing (results of bond buying operations), Speeches relative to BoE's Balance Sheet, forward guidance</t>
  </si>
  <si>
    <t>Consolidated BoE Balance Sheet (https://www.bankofengland.co.uk/boeapps/database/index.asp?Travel=NIxSTxTBx&amp;levels=2&amp;XNotes=Y&amp;E80961XNode80961.x=66&amp;E80961XNode80961.y=6&amp;C=IRT&amp;C=IRU&amp;C=2DF&amp;C=IRY&amp;C=IS2&amp;C=IS5&amp;C=ONV&amp;C=ONR&amp;C=UJN&amp;C=UMG&amp;C=ONT&amp;C=UMC&amp;C=ONS&amp;C=ONU&amp;Nodes=X4302X4303X4304X4305X4306X4307X4308X4309X4310X4311X4298X4299X4300X4295X4296X4297X42570X42569X42571X42607X42608X42572X42573X42574X85643X85645X85659X85660X85666X80961X80964X80966X80967&amp;SectionRequired=B&amp;HideNums=-1&amp;ExtraInfo=false#BM)</t>
  </si>
  <si>
    <t>Assets</t>
  </si>
  <si>
    <t>Liabilities</t>
  </si>
  <si>
    <t>Total assets - Total liabilities</t>
  </si>
  <si>
    <t>Short-term market operations</t>
  </si>
  <si>
    <t>Long-term operations</t>
  </si>
  <si>
    <t>Indexed long-term repos</t>
  </si>
  <si>
    <t>Contingent term repo facility</t>
  </si>
  <si>
    <t>Aggregate drawings from the Term Funding Scheme</t>
  </si>
  <si>
    <t>Aggregate drawings from the Term Funding Scheme with additional incentives for SMEs (TFSME)</t>
  </si>
  <si>
    <t>Bond holdings</t>
  </si>
  <si>
    <t>Loan to Covid Corporate Financing Facility</t>
  </si>
  <si>
    <t>Loan to Asset Purchase Facility</t>
  </si>
  <si>
    <t>Foreign currency reserve assets</t>
  </si>
  <si>
    <t>Ways and means advances to HM government</t>
  </si>
  <si>
    <t>Bonds and other securities acquired via market transactions</t>
  </si>
  <si>
    <t>Other assets</t>
  </si>
  <si>
    <t>Standing facility assets</t>
  </si>
  <si>
    <t>Issue Department securities issued by Central Government</t>
  </si>
  <si>
    <t>Issue Department other securities</t>
  </si>
  <si>
    <t>Banking Department securities (inc. treasury bills) issued by Central Government</t>
  </si>
  <si>
    <t>Advances and other account</t>
  </si>
  <si>
    <t>Premises, equipment and other securities</t>
  </si>
  <si>
    <t>Notes and coin</t>
  </si>
  <si>
    <t>Total Assets</t>
  </si>
  <si>
    <t>Notes in circulation</t>
  </si>
  <si>
    <t>Reserve balance liabilities</t>
  </si>
  <si>
    <t>Foreign currency public securities issued</t>
  </si>
  <si>
    <t xml:space="preserve">Cash ratio deposits from monetary financial institutions </t>
  </si>
  <si>
    <t>Other liabilities</t>
  </si>
  <si>
    <t>Standing facility deposits</t>
  </si>
  <si>
    <t>Banking Department Notes</t>
  </si>
  <si>
    <t>Banking Department deposits from Central Government</t>
  </si>
  <si>
    <t>Banking Department deposits from UK resident banks (excl. Central Bank)</t>
  </si>
  <si>
    <t>Banking Department Reserves and other accounts</t>
  </si>
  <si>
    <t>Total Liabilities</t>
  </si>
  <si>
    <t>GBPm</t>
  </si>
  <si>
    <t>2014-1</t>
  </si>
  <si>
    <t>2014-2</t>
  </si>
  <si>
    <t>2014-3</t>
  </si>
  <si>
    <t>pre-2006 - 1</t>
  </si>
  <si>
    <t>pre-2006 - 2</t>
  </si>
  <si>
    <t>pre-2006 - 3</t>
  </si>
  <si>
    <t>pre-2006 - 4</t>
  </si>
  <si>
    <t>pre-2006 - 5</t>
  </si>
  <si>
    <t>pre-2006 - 6</t>
  </si>
  <si>
    <t>Date_text</t>
  </si>
  <si>
    <t>Weekly amounts outstanding of Central Bank sterling short-term market operations with Bank of England counterparties (in sterling millions) not seasonally adjusted                           RPWB66A</t>
  </si>
  <si>
    <t>Weekly amounts outstanding of Central Bank sterling long-term operations with Bank of England counterparties (in sterling millions) not seasonally adjusted                           RPWB69A</t>
  </si>
  <si>
    <t>Weekly amounts outstanding of Central Bank sterling indexed long-term repos with Bank of England counterparties (in sterling millions) not seasonally adjusted                           RPWZ4TJ</t>
  </si>
  <si>
    <t>Weekly amounts outstanding of Central Bank sterling contingent term repo facility with Bank of England counterparties (in sterling millions) not seasonally adjusted                           RPWZ4TK</t>
  </si>
  <si>
    <t>Accounting value of the aggregate drawings from the Term Funding Scheme on the Bank of England balance sheet (in sterling millions) financed by the creation of central bank reserves              [c]             RPWZO8Q</t>
  </si>
  <si>
    <t>Accounting value of the aggregate drawings from the Term Funding Scheme with additional incentives for SMEs (TFSME) (in sterling millions) financed by the creation of central bank reserves                           RPWZOQ4</t>
  </si>
  <si>
    <t>Weekly amounts outstanding of Central Bank sterling denominated bond holdings total (in sterling millions) not seasonally adjusted                           RPWZ4TL</t>
  </si>
  <si>
    <t>Weekly amounts outstanding of Central Bank sterling loan to Covid Corporate Financing Facility total (in sterling millions) not seasonally adjusted                           RPWZOQ3</t>
  </si>
  <si>
    <t>Weekly amounts outstanding of Central Bank sterling loan to Asset Purchase Facility total (in sterling millions) not seasonally adjusted                           RPWZ4TM</t>
  </si>
  <si>
    <t>Weekly amounts outstanding of Central Bank all foreign currency reserve assets total (in sterling millions) not seasonally adjusted              [b]             RPWZ4TN</t>
  </si>
  <si>
    <t>Weekly amounts outstanding of Central Bank sterling ways and means advances to HM government (in sterling millions) not seasonally adjusted                           RPWB72A</t>
  </si>
  <si>
    <t>Weekly amounts outstanding of Central Bank bonds and other securities acquired via market transactions (in sterling millions) not seasonally adjusted              [d] [c]             RPWB73A</t>
  </si>
  <si>
    <t>Weekly amounts outstanding of Central Bank other assets total (in sterling millions) not seasonally adjusted              [c]             RPWB74A</t>
  </si>
  <si>
    <t>Weekly amounts outstanding of Central Bank sterling standing facility assets (in sterling millions) not seasonally adjusted                           RPWB65A</t>
  </si>
  <si>
    <t>Weekly amounts outstanding of Bank of England Issue Department sterling securities issued by Central Government (in sterling millions) not seasonally adjusted              [d]             RPWAEFC</t>
  </si>
  <si>
    <t>Weekly amounts outstanding of Bank of England Issue Department sterling other securities total (in sterling millions) not seasonally adjusted              [d]             RPWAEFD</t>
  </si>
  <si>
    <t>Weekly amounts outstanding of Bank of England Banking Department sterling and all foreign currency securities (inc. treasury bills) issued by Central Government (in sterling millions) not seasonally adjusted              [d]             RPWAEFJ</t>
  </si>
  <si>
    <t>Weekly amounts outstanding of Bank of England Banking Department sterling and all foreign currency advances and other accounts total (in sterling millions) not seasonally adjusted              [d] [g]             RPWAEFK</t>
  </si>
  <si>
    <t>Weekly amounts outstanding of Bank of England Banking Department sterling and all foreign currency premises, equipment and other securities total (in sterling millions) not seasonally adjusted              [d]             RPWAEFL</t>
  </si>
  <si>
    <t>Weekly amounts outstanding of Bank of England Banking Department sterling holdings of notes and coin total (in sterling millions) not seasonally adjusted - Discontinued 17 May 2006              [d]             RPWAEFM</t>
  </si>
  <si>
    <t>Weekly amounts outstanding of Central Bank sterling notes in circulation total (in sterling millions) not seasonally adjusted              [a]             RPWB55A</t>
  </si>
  <si>
    <t>Weekly amounts outstanding of Central Bank sterling reserve balance liabilities (in sterling millions) not seasonally adjusted                           RPWB56A</t>
  </si>
  <si>
    <t>Weekly amounts outstanding of Central Bank sterling short-term market operations with Bank of England counterparties (in sterling millions) not seasonally adjusted                           RPWB9R6</t>
  </si>
  <si>
    <t>Weekly amounts outstanding of Central Bank foreign currency public securities issued total (in sterling millions) not seasonally adjusted              [b]             RPWB59A</t>
  </si>
  <si>
    <t>Weekly amounts outstanding of Central Bank sterling cash ratio deposits from monetary financial institutions (in sterling millions) not seasonally adjusted              [c]             RPWB62A</t>
  </si>
  <si>
    <t>Weekly amounts outstanding of Central Bank other liabilities total (in sterling millions) not seasonally adjusted              [c]             RPWB63A</t>
  </si>
  <si>
    <t>Weekly amounts outstanding of Central Bank sterling standing facility deposits (in sterling millions) not seasonally adjusted                           RPWB57A</t>
  </si>
  <si>
    <t>Weekly amounts outstanding of Bank of England Issue Department sterling notes in Bank of England Banking Department (in sterling millions) not seasonally adjusted              [c] [a]             RPWAEFB</t>
  </si>
  <si>
    <t>Weekly amounts outstanding of Bank of England Banking Department sterling and all foreign currency deposits from Central Government (in sterling millions) not seasonally adjusted              [d]             RPWAEFF</t>
  </si>
  <si>
    <t>Weekly amounts outstanding of Bank of England Banking Department sterling and all foreign currency deposits from UK resident banks (excl. Central Bank) (in sterling millions) not seasonally adjusted              [d]             RPWAEFH</t>
  </si>
  <si>
    <t>Weekly amounts outstanding of Bank of England Banking Department sterling and all foreign currency reserves and other accounts total (in sterling millions) not seasonally adjusted              [d] [g]             RPWAEFI</t>
  </si>
  <si>
    <t>1998W2</t>
  </si>
  <si>
    <t>1998W3</t>
  </si>
  <si>
    <t>1998W4</t>
  </si>
  <si>
    <t>1998W5</t>
  </si>
  <si>
    <t>1998W6</t>
  </si>
  <si>
    <t>1998W7</t>
  </si>
  <si>
    <t>1998W8</t>
  </si>
  <si>
    <t>1998W9</t>
  </si>
  <si>
    <t>1998W10</t>
  </si>
  <si>
    <t>1998W11</t>
  </si>
  <si>
    <t>1998W12</t>
  </si>
  <si>
    <t>1998W13</t>
  </si>
  <si>
    <t>1998W14</t>
  </si>
  <si>
    <t>1998W15</t>
  </si>
  <si>
    <t>1998W16</t>
  </si>
  <si>
    <t>1998W17</t>
  </si>
  <si>
    <t>1998W18</t>
  </si>
  <si>
    <t>1998W19</t>
  </si>
  <si>
    <t>1998W20</t>
  </si>
  <si>
    <t>1998W21</t>
  </si>
  <si>
    <t>1998W22</t>
  </si>
  <si>
    <t>1998W23</t>
  </si>
  <si>
    <t>1998W24</t>
  </si>
  <si>
    <t>1998W25</t>
  </si>
  <si>
    <t>1998W26</t>
  </si>
  <si>
    <t>1998W27</t>
  </si>
  <si>
    <t>1998W28</t>
  </si>
  <si>
    <t>1998W29</t>
  </si>
  <si>
    <t>1998W30</t>
  </si>
  <si>
    <t>1998W31</t>
  </si>
  <si>
    <t>1998W32</t>
  </si>
  <si>
    <t>1998W33</t>
  </si>
  <si>
    <t>1998W34</t>
  </si>
  <si>
    <t>1998W35</t>
  </si>
  <si>
    <t>1998W36</t>
  </si>
  <si>
    <t>1998W37</t>
  </si>
  <si>
    <t>1998W38</t>
  </si>
  <si>
    <t>1998W39</t>
  </si>
  <si>
    <t>1998W40</t>
  </si>
  <si>
    <t>1998W41</t>
  </si>
  <si>
    <t>1998W42</t>
  </si>
  <si>
    <t>1998W43</t>
  </si>
  <si>
    <t>1998W44</t>
  </si>
  <si>
    <t>1998W45</t>
  </si>
  <si>
    <t>1998W46</t>
  </si>
  <si>
    <t>1998W47</t>
  </si>
  <si>
    <t>1998W48</t>
  </si>
  <si>
    <t>1998W49</t>
  </si>
  <si>
    <t>1998W50</t>
  </si>
  <si>
    <t>1998W51</t>
  </si>
  <si>
    <t>1998W52</t>
  </si>
  <si>
    <t>1998W53</t>
  </si>
  <si>
    <t>1999W01</t>
  </si>
  <si>
    <t>1999W02</t>
  </si>
  <si>
    <t>1999W03</t>
  </si>
  <si>
    <t>1999W04</t>
  </si>
  <si>
    <t>1999W05</t>
  </si>
  <si>
    <t>1999W06</t>
  </si>
  <si>
    <t>1999W07</t>
  </si>
  <si>
    <t>1999W08</t>
  </si>
  <si>
    <t>1999W09</t>
  </si>
  <si>
    <t>1999W10</t>
  </si>
  <si>
    <t>1999W11</t>
  </si>
  <si>
    <t>1999W12</t>
  </si>
  <si>
    <t>1999W13</t>
  </si>
  <si>
    <t>1999W14</t>
  </si>
  <si>
    <t>1999W15</t>
  </si>
  <si>
    <t>1999W16</t>
  </si>
  <si>
    <t>1999W17</t>
  </si>
  <si>
    <t>1999W18</t>
  </si>
  <si>
    <t>1999W19</t>
  </si>
  <si>
    <t>1999W20</t>
  </si>
  <si>
    <t>1999W21</t>
  </si>
  <si>
    <t>1999W22</t>
  </si>
  <si>
    <t>1999W23</t>
  </si>
  <si>
    <t>1999W24</t>
  </si>
  <si>
    <t>1999W25</t>
  </si>
  <si>
    <t>1999W26</t>
  </si>
  <si>
    <t>1999W27</t>
  </si>
  <si>
    <t>1999W28</t>
  </si>
  <si>
    <t>1999W29</t>
  </si>
  <si>
    <t>1999W30</t>
  </si>
  <si>
    <t>1999W31</t>
  </si>
  <si>
    <t>1999W32</t>
  </si>
  <si>
    <t>1999W33</t>
  </si>
  <si>
    <t>1999W34</t>
  </si>
  <si>
    <t>1999W35</t>
  </si>
  <si>
    <t>1999W36</t>
  </si>
  <si>
    <t>1999W37</t>
  </si>
  <si>
    <t>1999W38</t>
  </si>
  <si>
    <t>1999W39</t>
  </si>
  <si>
    <t>1999W40</t>
  </si>
  <si>
    <t>1999W41</t>
  </si>
  <si>
    <t>1999W42</t>
  </si>
  <si>
    <t>1999W43</t>
  </si>
  <si>
    <t>1999W44</t>
  </si>
  <si>
    <t>1999W45</t>
  </si>
  <si>
    <t>1999W46</t>
  </si>
  <si>
    <t>1999W47</t>
  </si>
  <si>
    <t>1999W48</t>
  </si>
  <si>
    <t>1999W49</t>
  </si>
  <si>
    <t>1999W50</t>
  </si>
  <si>
    <t>1999W51</t>
  </si>
  <si>
    <t>1999W52</t>
  </si>
  <si>
    <t>2000W01</t>
  </si>
  <si>
    <t>2000W02</t>
  </si>
  <si>
    <t>2000W03</t>
  </si>
  <si>
    <t>2000W04</t>
  </si>
  <si>
    <t>2000W05</t>
  </si>
  <si>
    <t>2000W06</t>
  </si>
  <si>
    <t>2000W07</t>
  </si>
  <si>
    <t>2000W08</t>
  </si>
  <si>
    <t>2000W09</t>
  </si>
  <si>
    <t>2000W10</t>
  </si>
  <si>
    <t>2000W11</t>
  </si>
  <si>
    <t>2000W12</t>
  </si>
  <si>
    <t>2000W13</t>
  </si>
  <si>
    <t>2000W14</t>
  </si>
  <si>
    <t>2000W15</t>
  </si>
  <si>
    <t>2000W16</t>
  </si>
  <si>
    <t>2000W17</t>
  </si>
  <si>
    <t>2000W18</t>
  </si>
  <si>
    <t>2000W19</t>
  </si>
  <si>
    <t>2000W20</t>
  </si>
  <si>
    <t>2000W21</t>
  </si>
  <si>
    <t>2000W22</t>
  </si>
  <si>
    <t>2000W23</t>
  </si>
  <si>
    <t>2000W24</t>
  </si>
  <si>
    <t>2000W25</t>
  </si>
  <si>
    <t>2000W26</t>
  </si>
  <si>
    <t>2000W27</t>
  </si>
  <si>
    <t>2000W28</t>
  </si>
  <si>
    <t>2000W29</t>
  </si>
  <si>
    <t>2000W30</t>
  </si>
  <si>
    <t>2000W31</t>
  </si>
  <si>
    <t>2000W32</t>
  </si>
  <si>
    <t>2000W33</t>
  </si>
  <si>
    <t>2000W34</t>
  </si>
  <si>
    <t>2000W35</t>
  </si>
  <si>
    <t>2000W36</t>
  </si>
  <si>
    <t>2000W37</t>
  </si>
  <si>
    <t>2000W38</t>
  </si>
  <si>
    <t>2000W39</t>
  </si>
  <si>
    <t>2000W40</t>
  </si>
  <si>
    <t>2000W41</t>
  </si>
  <si>
    <t>2000W42</t>
  </si>
  <si>
    <t>2000W43</t>
  </si>
  <si>
    <t>2000W44</t>
  </si>
  <si>
    <t>2000W45</t>
  </si>
  <si>
    <t>2000W46</t>
  </si>
  <si>
    <t>2000W47</t>
  </si>
  <si>
    <t>2000W48</t>
  </si>
  <si>
    <t>2000W49</t>
  </si>
  <si>
    <t>2000W50</t>
  </si>
  <si>
    <t>2000W51</t>
  </si>
  <si>
    <t>2000W52</t>
  </si>
  <si>
    <t>2001W01</t>
  </si>
  <si>
    <t>2001W02</t>
  </si>
  <si>
    <t>2001W03</t>
  </si>
  <si>
    <t>2001W04</t>
  </si>
  <si>
    <t>2001W05</t>
  </si>
  <si>
    <t>2001W06</t>
  </si>
  <si>
    <t>2001W07</t>
  </si>
  <si>
    <t>2001W08</t>
  </si>
  <si>
    <t>2001W09</t>
  </si>
  <si>
    <t>2001W10</t>
  </si>
  <si>
    <t>2001W11</t>
  </si>
  <si>
    <t>2001W12</t>
  </si>
  <si>
    <t>2001W13</t>
  </si>
  <si>
    <t>2001W14</t>
  </si>
  <si>
    <t>2001W15</t>
  </si>
  <si>
    <t>2001W16</t>
  </si>
  <si>
    <t>2001W17</t>
  </si>
  <si>
    <t>2001W18</t>
  </si>
  <si>
    <t>2001W19</t>
  </si>
  <si>
    <t>2001W20</t>
  </si>
  <si>
    <t>2001W21</t>
  </si>
  <si>
    <t>2001W22</t>
  </si>
  <si>
    <t>2001W23</t>
  </si>
  <si>
    <t>2001W24</t>
  </si>
  <si>
    <t>2001W25</t>
  </si>
  <si>
    <t>2001W26</t>
  </si>
  <si>
    <t>2001W27</t>
  </si>
  <si>
    <t>2001W28</t>
  </si>
  <si>
    <t>2001W29</t>
  </si>
  <si>
    <t>2001W30</t>
  </si>
  <si>
    <t>2001W31</t>
  </si>
  <si>
    <t>2001W32</t>
  </si>
  <si>
    <t>2001W33</t>
  </si>
  <si>
    <t>2001W34</t>
  </si>
  <si>
    <t>2001W35</t>
  </si>
  <si>
    <t>2001W36</t>
  </si>
  <si>
    <t>2001W37</t>
  </si>
  <si>
    <t>2001W38</t>
  </si>
  <si>
    <t>2001W39</t>
  </si>
  <si>
    <t>2001W40</t>
  </si>
  <si>
    <t>2001W41</t>
  </si>
  <si>
    <t>2001W42</t>
  </si>
  <si>
    <t>2001W43</t>
  </si>
  <si>
    <t>2001W44</t>
  </si>
  <si>
    <t>2001W45</t>
  </si>
  <si>
    <t>2001W46</t>
  </si>
  <si>
    <t>2001W47</t>
  </si>
  <si>
    <t>2001W48</t>
  </si>
  <si>
    <t>2001W49</t>
  </si>
  <si>
    <t>2001W50</t>
  </si>
  <si>
    <t>2001W51</t>
  </si>
  <si>
    <t>2001W52</t>
  </si>
  <si>
    <t>2002W01</t>
  </si>
  <si>
    <t>2002W02</t>
  </si>
  <si>
    <t>2002W03</t>
  </si>
  <si>
    <t>2002W04</t>
  </si>
  <si>
    <t>2002W05</t>
  </si>
  <si>
    <t>2002W06</t>
  </si>
  <si>
    <t>2002W07</t>
  </si>
  <si>
    <t>2002W08</t>
  </si>
  <si>
    <t>2002W09</t>
  </si>
  <si>
    <t>2002W10</t>
  </si>
  <si>
    <t>2002W11</t>
  </si>
  <si>
    <t>2002W12</t>
  </si>
  <si>
    <t>2002W13</t>
  </si>
  <si>
    <t>2002W14</t>
  </si>
  <si>
    <t>2002W15</t>
  </si>
  <si>
    <t>2002W16</t>
  </si>
  <si>
    <t>2002W17</t>
  </si>
  <si>
    <t>2002W18</t>
  </si>
  <si>
    <t>2002W19</t>
  </si>
  <si>
    <t>2002W20</t>
  </si>
  <si>
    <t>2002W21</t>
  </si>
  <si>
    <t>2002W22</t>
  </si>
  <si>
    <t>2002W23</t>
  </si>
  <si>
    <t>2002W24</t>
  </si>
  <si>
    <t>2002W25</t>
  </si>
  <si>
    <t>2002W26</t>
  </si>
  <si>
    <t>2002W27</t>
  </si>
  <si>
    <t>2002W28</t>
  </si>
  <si>
    <t>2002W29</t>
  </si>
  <si>
    <t>2002W30</t>
  </si>
  <si>
    <t>2002W31</t>
  </si>
  <si>
    <t>2002W32</t>
  </si>
  <si>
    <t>2002W33</t>
  </si>
  <si>
    <t>2002W34</t>
  </si>
  <si>
    <t>2002W35</t>
  </si>
  <si>
    <t>2002W36</t>
  </si>
  <si>
    <t>2002W37</t>
  </si>
  <si>
    <t>2002W38</t>
  </si>
  <si>
    <t>2002W39</t>
  </si>
  <si>
    <t>2002W40</t>
  </si>
  <si>
    <t>2002W41</t>
  </si>
  <si>
    <t>2002W42</t>
  </si>
  <si>
    <t>2002W43</t>
  </si>
  <si>
    <t>2002W44</t>
  </si>
  <si>
    <t>2002W45</t>
  </si>
  <si>
    <t>2002W46</t>
  </si>
  <si>
    <t>2002W47</t>
  </si>
  <si>
    <t>2002W48</t>
  </si>
  <si>
    <t>2002W49</t>
  </si>
  <si>
    <t>2002W50</t>
  </si>
  <si>
    <t>2002W51</t>
  </si>
  <si>
    <t>2002W52</t>
  </si>
  <si>
    <t>2002W53</t>
  </si>
  <si>
    <t>2003W01</t>
  </si>
  <si>
    <t>2003W02</t>
  </si>
  <si>
    <t>2003W03</t>
  </si>
  <si>
    <t>2003W04</t>
  </si>
  <si>
    <t>2003W05</t>
  </si>
  <si>
    <t>2003W06</t>
  </si>
  <si>
    <t>2003W07</t>
  </si>
  <si>
    <t>2003W08</t>
  </si>
  <si>
    <t>2003W09</t>
  </si>
  <si>
    <t>2003W10</t>
  </si>
  <si>
    <t>2003W11</t>
  </si>
  <si>
    <t>2003W12</t>
  </si>
  <si>
    <t>2003W13</t>
  </si>
  <si>
    <t>2003W14</t>
  </si>
  <si>
    <t>2003W15</t>
  </si>
  <si>
    <t>2003W16</t>
  </si>
  <si>
    <t>2003W17</t>
  </si>
  <si>
    <t>2003W18</t>
  </si>
  <si>
    <t>2003W19</t>
  </si>
  <si>
    <t>2003W20</t>
  </si>
  <si>
    <t>2003W21</t>
  </si>
  <si>
    <t>2003W22</t>
  </si>
  <si>
    <t>2003W23</t>
  </si>
  <si>
    <t>2003W24</t>
  </si>
  <si>
    <t>2003W25</t>
  </si>
  <si>
    <t>2003W26</t>
  </si>
  <si>
    <t>2003W27</t>
  </si>
  <si>
    <t>2003W28</t>
  </si>
  <si>
    <t>2003W29</t>
  </si>
  <si>
    <t>2003W30</t>
  </si>
  <si>
    <t>2003W31</t>
  </si>
  <si>
    <t>2003W32</t>
  </si>
  <si>
    <t>2003W33</t>
  </si>
  <si>
    <t>2003W34</t>
  </si>
  <si>
    <t>2003W35</t>
  </si>
  <si>
    <t>2003W36</t>
  </si>
  <si>
    <t>2003W37</t>
  </si>
  <si>
    <t>2003W38</t>
  </si>
  <si>
    <t>2003W39</t>
  </si>
  <si>
    <t>2003W40</t>
  </si>
  <si>
    <t>2003W41</t>
  </si>
  <si>
    <t>2003W42</t>
  </si>
  <si>
    <t>2003W43</t>
  </si>
  <si>
    <t>2003W44</t>
  </si>
  <si>
    <t>2003W45</t>
  </si>
  <si>
    <t>2003W46</t>
  </si>
  <si>
    <t>2003W47</t>
  </si>
  <si>
    <t>2003W48</t>
  </si>
  <si>
    <t>2003W49</t>
  </si>
  <si>
    <t>2003W50</t>
  </si>
  <si>
    <t>2003W51</t>
  </si>
  <si>
    <t>2003W52</t>
  </si>
  <si>
    <t>2004W01</t>
  </si>
  <si>
    <t>2004W02</t>
  </si>
  <si>
    <t>2004W03</t>
  </si>
  <si>
    <t>2004W04</t>
  </si>
  <si>
    <t>2004W05</t>
  </si>
  <si>
    <t>2004W06</t>
  </si>
  <si>
    <t>2004W07</t>
  </si>
  <si>
    <t>2004W08</t>
  </si>
  <si>
    <t>2004W09</t>
  </si>
  <si>
    <t>2004W10</t>
  </si>
  <si>
    <t>2004W11</t>
  </si>
  <si>
    <t>2004W12</t>
  </si>
  <si>
    <t>2004W13</t>
  </si>
  <si>
    <t>2004W14</t>
  </si>
  <si>
    <t>2004W15</t>
  </si>
  <si>
    <t>2004W16</t>
  </si>
  <si>
    <t>2004W17</t>
  </si>
  <si>
    <t>2004W18</t>
  </si>
  <si>
    <t>2004W19</t>
  </si>
  <si>
    <t>2004W20</t>
  </si>
  <si>
    <t>2004W21</t>
  </si>
  <si>
    <t>2004W22</t>
  </si>
  <si>
    <t>2004W23</t>
  </si>
  <si>
    <t>2004W24</t>
  </si>
  <si>
    <t>2004W25</t>
  </si>
  <si>
    <t>2004W26</t>
  </si>
  <si>
    <t>2004W27</t>
  </si>
  <si>
    <t>2004W28</t>
  </si>
  <si>
    <t>2004W29</t>
  </si>
  <si>
    <t>2004W30</t>
  </si>
  <si>
    <t>2004W31</t>
  </si>
  <si>
    <t>2004W32</t>
  </si>
  <si>
    <t>2004W33</t>
  </si>
  <si>
    <t>2004W34</t>
  </si>
  <si>
    <t>2004W35</t>
  </si>
  <si>
    <t>2004W36</t>
  </si>
  <si>
    <t>2004W37</t>
  </si>
  <si>
    <t>2004W38</t>
  </si>
  <si>
    <t>2004W39</t>
  </si>
  <si>
    <t>2004W40</t>
  </si>
  <si>
    <t>2004W41</t>
  </si>
  <si>
    <t>2004W42</t>
  </si>
  <si>
    <t>2004W43</t>
  </si>
  <si>
    <t>2004W44</t>
  </si>
  <si>
    <t>2004W45</t>
  </si>
  <si>
    <t>2004W46</t>
  </si>
  <si>
    <t>2004W47</t>
  </si>
  <si>
    <t>2004W48</t>
  </si>
  <si>
    <t>2004W49</t>
  </si>
  <si>
    <t>2004W50</t>
  </si>
  <si>
    <t>2004W51</t>
  </si>
  <si>
    <t>2004W52</t>
  </si>
  <si>
    <t>2005W01</t>
  </si>
  <si>
    <t>2005W02</t>
  </si>
  <si>
    <t>2005W03</t>
  </si>
  <si>
    <t>2005W04</t>
  </si>
  <si>
    <t>2005W05</t>
  </si>
  <si>
    <t>2005W06</t>
  </si>
  <si>
    <t>2005W07</t>
  </si>
  <si>
    <t>2005W08</t>
  </si>
  <si>
    <t>2005W09</t>
  </si>
  <si>
    <t>2005W10</t>
  </si>
  <si>
    <t>2005W11</t>
  </si>
  <si>
    <t>2005W12</t>
  </si>
  <si>
    <t>2005W13</t>
  </si>
  <si>
    <t>2005W14</t>
  </si>
  <si>
    <t>2005W15</t>
  </si>
  <si>
    <t>2005W16</t>
  </si>
  <si>
    <t>2005W17</t>
  </si>
  <si>
    <t>2005W18</t>
  </si>
  <si>
    <t>2005W19</t>
  </si>
  <si>
    <t>2005W20</t>
  </si>
  <si>
    <t>2005W21</t>
  </si>
  <si>
    <t>2005W22</t>
  </si>
  <si>
    <t>2005W23</t>
  </si>
  <si>
    <t>2005W24</t>
  </si>
  <si>
    <t>2005W25</t>
  </si>
  <si>
    <t>2005W26</t>
  </si>
  <si>
    <t>2005W27</t>
  </si>
  <si>
    <t>2005W28</t>
  </si>
  <si>
    <t>2005W29</t>
  </si>
  <si>
    <t>2005W30</t>
  </si>
  <si>
    <t>2005W31</t>
  </si>
  <si>
    <t>2005W32</t>
  </si>
  <si>
    <t>2005W33</t>
  </si>
  <si>
    <t>2005W34</t>
  </si>
  <si>
    <t>2005W35</t>
  </si>
  <si>
    <t>2005W36</t>
  </si>
  <si>
    <t>2005W37</t>
  </si>
  <si>
    <t>2005W38</t>
  </si>
  <si>
    <t>2005W39</t>
  </si>
  <si>
    <t>2005W40</t>
  </si>
  <si>
    <t>2005W41</t>
  </si>
  <si>
    <t>2005W42</t>
  </si>
  <si>
    <t>2005W43</t>
  </si>
  <si>
    <t>2005W44</t>
  </si>
  <si>
    <t>2005W45</t>
  </si>
  <si>
    <t>2005W46</t>
  </si>
  <si>
    <t>2005W47</t>
  </si>
  <si>
    <t>2005W48</t>
  </si>
  <si>
    <t>2005W49</t>
  </si>
  <si>
    <t>2005W50</t>
  </si>
  <si>
    <t>2005W51</t>
  </si>
  <si>
    <t>2005W52</t>
  </si>
  <si>
    <t>2006W01</t>
  </si>
  <si>
    <t>2006W02</t>
  </si>
  <si>
    <t>2006W03</t>
  </si>
  <si>
    <t>2006W04</t>
  </si>
  <si>
    <t>2006W05</t>
  </si>
  <si>
    <t>2006W06</t>
  </si>
  <si>
    <t>2006W07</t>
  </si>
  <si>
    <t>2006W08</t>
  </si>
  <si>
    <t>2006W09</t>
  </si>
  <si>
    <t>2006W10</t>
  </si>
  <si>
    <t>2006W11</t>
  </si>
  <si>
    <t>2006W12</t>
  </si>
  <si>
    <t>2006W13</t>
  </si>
  <si>
    <t>2006W14</t>
  </si>
  <si>
    <t>2006W15</t>
  </si>
  <si>
    <t>2006W16</t>
  </si>
  <si>
    <t>2006W17</t>
  </si>
  <si>
    <t>2006W18</t>
  </si>
  <si>
    <t>2006W19</t>
  </si>
  <si>
    <t>2006W20</t>
  </si>
  <si>
    <t>2006W21</t>
  </si>
  <si>
    <t>2006W22</t>
  </si>
  <si>
    <t>2006W23</t>
  </si>
  <si>
    <t>2006W24</t>
  </si>
  <si>
    <t>2006W25</t>
  </si>
  <si>
    <t>2006W26</t>
  </si>
  <si>
    <t>2006W27</t>
  </si>
  <si>
    <t>2006W28</t>
  </si>
  <si>
    <t>2006W29</t>
  </si>
  <si>
    <t>2006W30</t>
  </si>
  <si>
    <t>2006W31</t>
  </si>
  <si>
    <t>2006W32</t>
  </si>
  <si>
    <t>2006W33</t>
  </si>
  <si>
    <t>2006W34</t>
  </si>
  <si>
    <t>2006W35</t>
  </si>
  <si>
    <t>2006W36</t>
  </si>
  <si>
    <t>2006W37</t>
  </si>
  <si>
    <t>2006W38</t>
  </si>
  <si>
    <t>2006W39</t>
  </si>
  <si>
    <t>2006W40</t>
  </si>
  <si>
    <t>2006W41</t>
  </si>
  <si>
    <t>2006W42</t>
  </si>
  <si>
    <t>2006W43</t>
  </si>
  <si>
    <t>2006W44</t>
  </si>
  <si>
    <t>2006W45</t>
  </si>
  <si>
    <t>2006W46</t>
  </si>
  <si>
    <t>2006W47</t>
  </si>
  <si>
    <t>2006W48</t>
  </si>
  <si>
    <t>2006W49</t>
  </si>
  <si>
    <t>2006W50</t>
  </si>
  <si>
    <t>2006W51</t>
  </si>
  <si>
    <t>2006W52</t>
  </si>
  <si>
    <t>2007W01</t>
  </si>
  <si>
    <t>2007W02</t>
  </si>
  <si>
    <t>2007W03</t>
  </si>
  <si>
    <t>2007W04</t>
  </si>
  <si>
    <t>2007W05</t>
  </si>
  <si>
    <t>2007W06</t>
  </si>
  <si>
    <t>2007W07</t>
  </si>
  <si>
    <t>2007W08</t>
  </si>
  <si>
    <t>2007W09</t>
  </si>
  <si>
    <t>2007W10</t>
  </si>
  <si>
    <t>2007W11</t>
  </si>
  <si>
    <t>2007W12</t>
  </si>
  <si>
    <t>2007W13</t>
  </si>
  <si>
    <t>2007W14</t>
  </si>
  <si>
    <t>2007W15</t>
  </si>
  <si>
    <t>2007W16</t>
  </si>
  <si>
    <t>2007W17</t>
  </si>
  <si>
    <t>2007W18</t>
  </si>
  <si>
    <t>2007W19</t>
  </si>
  <si>
    <t>2007W20</t>
  </si>
  <si>
    <t>2007W21</t>
  </si>
  <si>
    <t>2007W22</t>
  </si>
  <si>
    <t>2007W23</t>
  </si>
  <si>
    <t>2007W24</t>
  </si>
  <si>
    <t>2007W25</t>
  </si>
  <si>
    <t>2007W26</t>
  </si>
  <si>
    <t>2007W27</t>
  </si>
  <si>
    <t>2007W28</t>
  </si>
  <si>
    <t>2007W29</t>
  </si>
  <si>
    <t>2007W30</t>
  </si>
  <si>
    <t>2007W31</t>
  </si>
  <si>
    <t>2007W32</t>
  </si>
  <si>
    <t>2007W33</t>
  </si>
  <si>
    <t>2007W34</t>
  </si>
  <si>
    <t>2007W35</t>
  </si>
  <si>
    <t>2007W36</t>
  </si>
  <si>
    <t>2007W37</t>
  </si>
  <si>
    <t>2007W38</t>
  </si>
  <si>
    <t>2007W39</t>
  </si>
  <si>
    <t>2007W40</t>
  </si>
  <si>
    <t>2007W41</t>
  </si>
  <si>
    <t>2007W42</t>
  </si>
  <si>
    <t>2007W43</t>
  </si>
  <si>
    <t>2007W44</t>
  </si>
  <si>
    <t>2007W45</t>
  </si>
  <si>
    <t>2007W46</t>
  </si>
  <si>
    <t>2007W47</t>
  </si>
  <si>
    <t>2007W48</t>
  </si>
  <si>
    <t>2007W49</t>
  </si>
  <si>
    <t>2007W50</t>
  </si>
  <si>
    <t>2007W51</t>
  </si>
  <si>
    <t>2007W52</t>
  </si>
  <si>
    <t>2008W01</t>
  </si>
  <si>
    <t>2008W02</t>
  </si>
  <si>
    <t>2008W03</t>
  </si>
  <si>
    <t>2008W04</t>
  </si>
  <si>
    <t>2008W05</t>
  </si>
  <si>
    <t>2008W06</t>
  </si>
  <si>
    <t>2008W07</t>
  </si>
  <si>
    <t>2008W08</t>
  </si>
  <si>
    <t>2008W09</t>
  </si>
  <si>
    <t>2008W10</t>
  </si>
  <si>
    <t>2008W11</t>
  </si>
  <si>
    <t>2008W12</t>
  </si>
  <si>
    <t>2008W13</t>
  </si>
  <si>
    <t>2008W14</t>
  </si>
  <si>
    <t>2008W15</t>
  </si>
  <si>
    <t>2008W16</t>
  </si>
  <si>
    <t>2008W17</t>
  </si>
  <si>
    <t>2008W18</t>
  </si>
  <si>
    <t>2008W19</t>
  </si>
  <si>
    <t>2008W20</t>
  </si>
  <si>
    <t>2008W21</t>
  </si>
  <si>
    <t>2008W22</t>
  </si>
  <si>
    <t>2008W23</t>
  </si>
  <si>
    <t>2008W24</t>
  </si>
  <si>
    <t>2008W25</t>
  </si>
  <si>
    <t>2008W26</t>
  </si>
  <si>
    <t>2008W27</t>
  </si>
  <si>
    <t>2008W28</t>
  </si>
  <si>
    <t>2008W29</t>
  </si>
  <si>
    <t>2008W30</t>
  </si>
  <si>
    <t>2008W31</t>
  </si>
  <si>
    <t>2008W32</t>
  </si>
  <si>
    <t>2008W33</t>
  </si>
  <si>
    <t>2008W34</t>
  </si>
  <si>
    <t>2008W35</t>
  </si>
  <si>
    <t>2008W36</t>
  </si>
  <si>
    <t>2008W37</t>
  </si>
  <si>
    <t>2008W38</t>
  </si>
  <si>
    <t>2008W39</t>
  </si>
  <si>
    <t>2008W40</t>
  </si>
  <si>
    <t>2008W41</t>
  </si>
  <si>
    <t>2008W42</t>
  </si>
  <si>
    <t>2008W43</t>
  </si>
  <si>
    <t>2008W44</t>
  </si>
  <si>
    <t>2008W45</t>
  </si>
  <si>
    <t>2008W46</t>
  </si>
  <si>
    <t>2008W47</t>
  </si>
  <si>
    <t>2008W48</t>
  </si>
  <si>
    <t>2008W49</t>
  </si>
  <si>
    <t>2008W50</t>
  </si>
  <si>
    <t>2008W51</t>
  </si>
  <si>
    <t>2008W52</t>
  </si>
  <si>
    <t>2009W01</t>
  </si>
  <si>
    <t>2009W02</t>
  </si>
  <si>
    <t>2009W03</t>
  </si>
  <si>
    <t>2009W04</t>
  </si>
  <si>
    <t>2009W05</t>
  </si>
  <si>
    <t>2009W06</t>
  </si>
  <si>
    <t>2009W07</t>
  </si>
  <si>
    <t>2009W08</t>
  </si>
  <si>
    <t>2009W09</t>
  </si>
  <si>
    <t>2009W10</t>
  </si>
  <si>
    <t>2009W11</t>
  </si>
  <si>
    <t>2009W12</t>
  </si>
  <si>
    <t>2009W13</t>
  </si>
  <si>
    <t>2009W14</t>
  </si>
  <si>
    <t>2009W15</t>
  </si>
  <si>
    <t>2009W16</t>
  </si>
  <si>
    <t>2009W17</t>
  </si>
  <si>
    <t>2009W18</t>
  </si>
  <si>
    <t>2009W19</t>
  </si>
  <si>
    <t>2009W20</t>
  </si>
  <si>
    <t>2009W21</t>
  </si>
  <si>
    <t>2009W22</t>
  </si>
  <si>
    <t>2009W23</t>
  </si>
  <si>
    <t>2009W24</t>
  </si>
  <si>
    <t>2009W25</t>
  </si>
  <si>
    <t>2009W26</t>
  </si>
  <si>
    <t>2009W27</t>
  </si>
  <si>
    <t>2009W28</t>
  </si>
  <si>
    <t>2009W29</t>
  </si>
  <si>
    <t>2009W30</t>
  </si>
  <si>
    <t>2009W31</t>
  </si>
  <si>
    <t>2009W32</t>
  </si>
  <si>
    <t>2009W33</t>
  </si>
  <si>
    <t>2009W34</t>
  </si>
  <si>
    <t>2009W35</t>
  </si>
  <si>
    <t>2009W36</t>
  </si>
  <si>
    <t>2009W37</t>
  </si>
  <si>
    <t>2009W38</t>
  </si>
  <si>
    <t>2009W39</t>
  </si>
  <si>
    <t>2009W40</t>
  </si>
  <si>
    <t>2009W41</t>
  </si>
  <si>
    <t>2009W42</t>
  </si>
  <si>
    <t>2009W43</t>
  </si>
  <si>
    <t>2009W44</t>
  </si>
  <si>
    <t>2009W45</t>
  </si>
  <si>
    <t>2009W46</t>
  </si>
  <si>
    <t>2009W47</t>
  </si>
  <si>
    <t>2009W48</t>
  </si>
  <si>
    <t>2009W49</t>
  </si>
  <si>
    <t>2009W50</t>
  </si>
  <si>
    <t>2009W51</t>
  </si>
  <si>
    <t>2009W52</t>
  </si>
  <si>
    <t>2010W01</t>
  </si>
  <si>
    <t>2010W02</t>
  </si>
  <si>
    <t>2010W03</t>
  </si>
  <si>
    <t>2010W04</t>
  </si>
  <si>
    <t>2010W05</t>
  </si>
  <si>
    <t>2010W06</t>
  </si>
  <si>
    <t>2010W07</t>
  </si>
  <si>
    <t>2010W08</t>
  </si>
  <si>
    <t>2010W09</t>
  </si>
  <si>
    <t>2010W10</t>
  </si>
  <si>
    <t>2010W11</t>
  </si>
  <si>
    <t>2010W12</t>
  </si>
  <si>
    <t>2010W13</t>
  </si>
  <si>
    <t>2010W14</t>
  </si>
  <si>
    <t>2010W15</t>
  </si>
  <si>
    <t>2010W16</t>
  </si>
  <si>
    <t>2010W17</t>
  </si>
  <si>
    <t>2010W18</t>
  </si>
  <si>
    <t>2010W19</t>
  </si>
  <si>
    <t>2010W20</t>
  </si>
  <si>
    <t>2010W21</t>
  </si>
  <si>
    <t>2010W22</t>
  </si>
  <si>
    <t>2010W23</t>
  </si>
  <si>
    <t>2010W24</t>
  </si>
  <si>
    <t>2010W25</t>
  </si>
  <si>
    <t>2010W26</t>
  </si>
  <si>
    <t>2010W27</t>
  </si>
  <si>
    <t>2010W28</t>
  </si>
  <si>
    <t>2010W29</t>
  </si>
  <si>
    <t>2010W30</t>
  </si>
  <si>
    <t>2010W31</t>
  </si>
  <si>
    <t>2010W32</t>
  </si>
  <si>
    <t>2010W33</t>
  </si>
  <si>
    <t>2010W34</t>
  </si>
  <si>
    <t>2010W35</t>
  </si>
  <si>
    <t>2010W36</t>
  </si>
  <si>
    <t>2010W37</t>
  </si>
  <si>
    <t>2010W38</t>
  </si>
  <si>
    <t>2010W39</t>
  </si>
  <si>
    <t>2010W40</t>
  </si>
  <si>
    <t>2010W41</t>
  </si>
  <si>
    <t>2010W42</t>
  </si>
  <si>
    <t>2010W43</t>
  </si>
  <si>
    <t>2010W44</t>
  </si>
  <si>
    <t>2010W45</t>
  </si>
  <si>
    <t>2010W46</t>
  </si>
  <si>
    <t>2010W47</t>
  </si>
  <si>
    <t>2010W48</t>
  </si>
  <si>
    <t>2010W49</t>
  </si>
  <si>
    <t>2010W50</t>
  </si>
  <si>
    <t>2010W51</t>
  </si>
  <si>
    <t>2010W52</t>
  </si>
  <si>
    <t>2011W01</t>
  </si>
  <si>
    <t>2011W02</t>
  </si>
  <si>
    <t>2011W03</t>
  </si>
  <si>
    <t>2011W04</t>
  </si>
  <si>
    <t>2011W05</t>
  </si>
  <si>
    <t>2011W06</t>
  </si>
  <si>
    <t>2011W07</t>
  </si>
  <si>
    <t>2011W08</t>
  </si>
  <si>
    <t>2011W09</t>
  </si>
  <si>
    <t>2011W10</t>
  </si>
  <si>
    <t>2011W11</t>
  </si>
  <si>
    <t>2011W12</t>
  </si>
  <si>
    <t>2011W13</t>
  </si>
  <si>
    <t>2011W14</t>
  </si>
  <si>
    <t>2011W15</t>
  </si>
  <si>
    <t>2011W16</t>
  </si>
  <si>
    <t>2011W17</t>
  </si>
  <si>
    <t>2011W18</t>
  </si>
  <si>
    <t>2011W19</t>
  </si>
  <si>
    <t>2011W20</t>
  </si>
  <si>
    <t>2011W21</t>
  </si>
  <si>
    <t>2011W22</t>
  </si>
  <si>
    <t>2011W23</t>
  </si>
  <si>
    <t>2011W24</t>
  </si>
  <si>
    <t>2011W25</t>
  </si>
  <si>
    <t>2011W26</t>
  </si>
  <si>
    <t>2011W27</t>
  </si>
  <si>
    <t>2011W28</t>
  </si>
  <si>
    <t>2011W29</t>
  </si>
  <si>
    <t>2011W30</t>
  </si>
  <si>
    <t>2011W31</t>
  </si>
  <si>
    <t>2011W32</t>
  </si>
  <si>
    <t>2011W33</t>
  </si>
  <si>
    <t>2011W34</t>
  </si>
  <si>
    <t>2011W35</t>
  </si>
  <si>
    <t>2011W36</t>
  </si>
  <si>
    <t>2011W37</t>
  </si>
  <si>
    <t>2011W38</t>
  </si>
  <si>
    <t>2011W39</t>
  </si>
  <si>
    <t>2011W40</t>
  </si>
  <si>
    <t>2011W41</t>
  </si>
  <si>
    <t>2011W42</t>
  </si>
  <si>
    <t>2011W43</t>
  </si>
  <si>
    <t>2011W44</t>
  </si>
  <si>
    <t>2011W45</t>
  </si>
  <si>
    <t>2011W46</t>
  </si>
  <si>
    <t>2011W47</t>
  </si>
  <si>
    <t>2011W48</t>
  </si>
  <si>
    <t>2011W49</t>
  </si>
  <si>
    <t>2011W50</t>
  </si>
  <si>
    <t>2011W51</t>
  </si>
  <si>
    <t>2011W52</t>
  </si>
  <si>
    <t>2012W01</t>
  </si>
  <si>
    <t>2012W02</t>
  </si>
  <si>
    <t>2012W03</t>
  </si>
  <si>
    <t>2012W04</t>
  </si>
  <si>
    <t>2012W05</t>
  </si>
  <si>
    <t>2012W06</t>
  </si>
  <si>
    <t>2012W07</t>
  </si>
  <si>
    <t>2012W08</t>
  </si>
  <si>
    <t>2012W09</t>
  </si>
  <si>
    <t>2012W10</t>
  </si>
  <si>
    <t>2012W11</t>
  </si>
  <si>
    <t>2012W12</t>
  </si>
  <si>
    <t>2012W13</t>
  </si>
  <si>
    <t>2012W14</t>
  </si>
  <si>
    <t>2012W15</t>
  </si>
  <si>
    <t>2012W16</t>
  </si>
  <si>
    <t>2012W17</t>
  </si>
  <si>
    <t>2012W18</t>
  </si>
  <si>
    <t>2012W19</t>
  </si>
  <si>
    <t>2012W20</t>
  </si>
  <si>
    <t>2012W21</t>
  </si>
  <si>
    <t>2012W22</t>
  </si>
  <si>
    <t>2012W23</t>
  </si>
  <si>
    <t>2012W24</t>
  </si>
  <si>
    <t>2012W25</t>
  </si>
  <si>
    <t>2012W26</t>
  </si>
  <si>
    <t>2012W27</t>
  </si>
  <si>
    <t>2012W28</t>
  </si>
  <si>
    <t>2012W29</t>
  </si>
  <si>
    <t>2012W30</t>
  </si>
  <si>
    <t>2012W31</t>
  </si>
  <si>
    <t>2012W32</t>
  </si>
  <si>
    <t>2012W33</t>
  </si>
  <si>
    <t>2012W34</t>
  </si>
  <si>
    <t>2012W35</t>
  </si>
  <si>
    <t>2012W36</t>
  </si>
  <si>
    <t>2012W37</t>
  </si>
  <si>
    <t>2012W38</t>
  </si>
  <si>
    <t>2012W39</t>
  </si>
  <si>
    <t>2012W40</t>
  </si>
  <si>
    <t>2012W41</t>
  </si>
  <si>
    <t>2012W42</t>
  </si>
  <si>
    <t>2012W43</t>
  </si>
  <si>
    <t>2012W44</t>
  </si>
  <si>
    <t>2012W45</t>
  </si>
  <si>
    <t>2012W46</t>
  </si>
  <si>
    <t>2012W47</t>
  </si>
  <si>
    <t>2012W48</t>
  </si>
  <si>
    <t>2012W49</t>
  </si>
  <si>
    <t>2012W50</t>
  </si>
  <si>
    <t>2012W51</t>
  </si>
  <si>
    <t>2012W52</t>
  </si>
  <si>
    <t>2013W01</t>
  </si>
  <si>
    <t>2013W02</t>
  </si>
  <si>
    <t>2013W03</t>
  </si>
  <si>
    <t>2013W04</t>
  </si>
  <si>
    <t>2013W05</t>
  </si>
  <si>
    <t>2013W06</t>
  </si>
  <si>
    <t>2013W07</t>
  </si>
  <si>
    <t>2013W08</t>
  </si>
  <si>
    <t>2013W09</t>
  </si>
  <si>
    <t>2013W10</t>
  </si>
  <si>
    <t>2013W11</t>
  </si>
  <si>
    <t>2013W12</t>
  </si>
  <si>
    <t>2013W13</t>
  </si>
  <si>
    <t>2013W14</t>
  </si>
  <si>
    <t>2013W15</t>
  </si>
  <si>
    <t>2013W16</t>
  </si>
  <si>
    <t>2013W17</t>
  </si>
  <si>
    <t>2013W18</t>
  </si>
  <si>
    <t>2013W19</t>
  </si>
  <si>
    <t>2013W20</t>
  </si>
  <si>
    <t>2013W21</t>
  </si>
  <si>
    <t>2013W22</t>
  </si>
  <si>
    <t>2013W23</t>
  </si>
  <si>
    <t>2013W24</t>
  </si>
  <si>
    <t>2013W25</t>
  </si>
  <si>
    <t>2013W26</t>
  </si>
  <si>
    <t>2013W27</t>
  </si>
  <si>
    <t>2013W28</t>
  </si>
  <si>
    <t>2013W29</t>
  </si>
  <si>
    <t>2013W30</t>
  </si>
  <si>
    <t>2013W31</t>
  </si>
  <si>
    <t>2013W32</t>
  </si>
  <si>
    <t>2013W33</t>
  </si>
  <si>
    <t>2013W34</t>
  </si>
  <si>
    <t>2013W35</t>
  </si>
  <si>
    <t>2013W36</t>
  </si>
  <si>
    <t>2013W37</t>
  </si>
  <si>
    <t>2013W38</t>
  </si>
  <si>
    <t>2013W39</t>
  </si>
  <si>
    <t>2013W40</t>
  </si>
  <si>
    <t>2013W41</t>
  </si>
  <si>
    <t>2013W42</t>
  </si>
  <si>
    <t>2013W43</t>
  </si>
  <si>
    <t>2013W44</t>
  </si>
  <si>
    <t>2013W45</t>
  </si>
  <si>
    <t>2013W46</t>
  </si>
  <si>
    <t>2013W47</t>
  </si>
  <si>
    <t>2013W48</t>
  </si>
  <si>
    <t>2013W49</t>
  </si>
  <si>
    <t>2013W50</t>
  </si>
  <si>
    <t>2013W51</t>
  </si>
  <si>
    <t>2013W52</t>
  </si>
  <si>
    <t>2014W01</t>
  </si>
  <si>
    <t>2014W02</t>
  </si>
  <si>
    <t>2014W03</t>
  </si>
  <si>
    <t>2014W04</t>
  </si>
  <si>
    <t>2014W05</t>
  </si>
  <si>
    <t>2014W06</t>
  </si>
  <si>
    <t>2014W07</t>
  </si>
  <si>
    <t>2014W08</t>
  </si>
  <si>
    <t>2014W09</t>
  </si>
  <si>
    <t>2014W10</t>
  </si>
  <si>
    <t>2014W11</t>
  </si>
  <si>
    <t>2014W12</t>
  </si>
  <si>
    <t>2014W13</t>
  </si>
  <si>
    <t>2014W14</t>
  </si>
  <si>
    <t>2014W15</t>
  </si>
  <si>
    <t>2014W16</t>
  </si>
  <si>
    <t>2014W17</t>
  </si>
  <si>
    <t>2014W18</t>
  </si>
  <si>
    <t>2014W19</t>
  </si>
  <si>
    <t>2014W20</t>
  </si>
  <si>
    <t>2014W21</t>
  </si>
  <si>
    <t>2014W22</t>
  </si>
  <si>
    <t>2014W23</t>
  </si>
  <si>
    <t>2014W24</t>
  </si>
  <si>
    <t>2014W25</t>
  </si>
  <si>
    <t>2014W26</t>
  </si>
  <si>
    <t>2014W27</t>
  </si>
  <si>
    <t>2014W28</t>
  </si>
  <si>
    <t>2014W29</t>
  </si>
  <si>
    <t>2014W30</t>
  </si>
  <si>
    <t>2014W31</t>
  </si>
  <si>
    <t>2014W32</t>
  </si>
  <si>
    <t>2014W33</t>
  </si>
  <si>
    <t>2014W34</t>
  </si>
  <si>
    <t>2014W35</t>
  </si>
  <si>
    <t>2014W36</t>
  </si>
  <si>
    <t>2014W37</t>
  </si>
  <si>
    <t>2014W38</t>
  </si>
  <si>
    <t>2014W39</t>
  </si>
  <si>
    <t>2014W40</t>
  </si>
  <si>
    <t>2014W41</t>
  </si>
  <si>
    <t>2014W42</t>
  </si>
  <si>
    <t>2014W43</t>
  </si>
  <si>
    <t>2014W44</t>
  </si>
  <si>
    <t>2014W45</t>
  </si>
  <si>
    <t>2014W46</t>
  </si>
  <si>
    <t>2014W47</t>
  </si>
  <si>
    <t>2014W48</t>
  </si>
  <si>
    <t>2014W49</t>
  </si>
  <si>
    <t>2014W50</t>
  </si>
  <si>
    <t>2014W51</t>
  </si>
  <si>
    <t>2014W52</t>
  </si>
  <si>
    <t>2015W01</t>
  </si>
  <si>
    <t>2015W02</t>
  </si>
  <si>
    <t>2015W03</t>
  </si>
  <si>
    <t>2015W04</t>
  </si>
  <si>
    <t>2015W05</t>
  </si>
  <si>
    <t>2015W06</t>
  </si>
  <si>
    <t>2015W07</t>
  </si>
  <si>
    <t>2015W08</t>
  </si>
  <si>
    <t>2015W09</t>
  </si>
  <si>
    <t>2015W10</t>
  </si>
  <si>
    <t>2015W11</t>
  </si>
  <si>
    <t>2015W12</t>
  </si>
  <si>
    <t>2015W13</t>
  </si>
  <si>
    <t>2015W14</t>
  </si>
  <si>
    <t>2015W15</t>
  </si>
  <si>
    <t>2015W16</t>
  </si>
  <si>
    <t>2015W17</t>
  </si>
  <si>
    <t>2015W18</t>
  </si>
  <si>
    <t>2015W19</t>
  </si>
  <si>
    <t>2015W20</t>
  </si>
  <si>
    <t>2015W21</t>
  </si>
  <si>
    <t>2015W22</t>
  </si>
  <si>
    <t>2015W23</t>
  </si>
  <si>
    <t>2015W24</t>
  </si>
  <si>
    <t>2015W25</t>
  </si>
  <si>
    <t>2015W26</t>
  </si>
  <si>
    <t>2015W27</t>
  </si>
  <si>
    <t>2015W28</t>
  </si>
  <si>
    <t>2015W29</t>
  </si>
  <si>
    <t>2015W30</t>
  </si>
  <si>
    <t>2015W31</t>
  </si>
  <si>
    <t>2015W32</t>
  </si>
  <si>
    <t>2015W33</t>
  </si>
  <si>
    <t>2015W34</t>
  </si>
  <si>
    <t>2015W35</t>
  </si>
  <si>
    <t>2015W36</t>
  </si>
  <si>
    <t>2015W37</t>
  </si>
  <si>
    <t>2015W38</t>
  </si>
  <si>
    <t>2015W39</t>
  </si>
  <si>
    <t>2015W40</t>
  </si>
  <si>
    <t>2015W41</t>
  </si>
  <si>
    <t>2015W42</t>
  </si>
  <si>
    <t>2015W43</t>
  </si>
  <si>
    <t>2015W44</t>
  </si>
  <si>
    <t>2015W45</t>
  </si>
  <si>
    <t>2015W46</t>
  </si>
  <si>
    <t>2015W47</t>
  </si>
  <si>
    <t>2015W48</t>
  </si>
  <si>
    <t>2015W49</t>
  </si>
  <si>
    <t>2015W50</t>
  </si>
  <si>
    <t>2015W51</t>
  </si>
  <si>
    <t>2015W52</t>
  </si>
  <si>
    <t>2016W01</t>
  </si>
  <si>
    <t>2016W02</t>
  </si>
  <si>
    <t>2016W03</t>
  </si>
  <si>
    <t>2016W04</t>
  </si>
  <si>
    <t>2016W05</t>
  </si>
  <si>
    <t>2016W06</t>
  </si>
  <si>
    <t>2016W07</t>
  </si>
  <si>
    <t>2016W08</t>
  </si>
  <si>
    <t>2016W09</t>
  </si>
  <si>
    <t>2016W10</t>
  </si>
  <si>
    <t>2016W11</t>
  </si>
  <si>
    <t>2016W12</t>
  </si>
  <si>
    <t>2016W13</t>
  </si>
  <si>
    <t>2016W14</t>
  </si>
  <si>
    <t>2016W15</t>
  </si>
  <si>
    <t>2016W16</t>
  </si>
  <si>
    <t>2016W17</t>
  </si>
  <si>
    <t>2016W18</t>
  </si>
  <si>
    <t>2016W19</t>
  </si>
  <si>
    <t>2016W20</t>
  </si>
  <si>
    <t>2016W21</t>
  </si>
  <si>
    <t>2016W22</t>
  </si>
  <si>
    <t>2016W23</t>
  </si>
  <si>
    <t>2016W24</t>
  </si>
  <si>
    <t>2016W25</t>
  </si>
  <si>
    <t>2016W26</t>
  </si>
  <si>
    <t>2016W27</t>
  </si>
  <si>
    <t>2016W28</t>
  </si>
  <si>
    <t>2016W29</t>
  </si>
  <si>
    <t>2016W30</t>
  </si>
  <si>
    <t>2016W31</t>
  </si>
  <si>
    <t>2016W32</t>
  </si>
  <si>
    <t>2016W33</t>
  </si>
  <si>
    <t>2016W34</t>
  </si>
  <si>
    <t>2016W35</t>
  </si>
  <si>
    <t>2016W36</t>
  </si>
  <si>
    <t>2016W37</t>
  </si>
  <si>
    <t>2016W38</t>
  </si>
  <si>
    <t>2016W39</t>
  </si>
  <si>
    <t>2016W40</t>
  </si>
  <si>
    <t>2016W41</t>
  </si>
  <si>
    <t>2016W42</t>
  </si>
  <si>
    <t>2016W43</t>
  </si>
  <si>
    <t>2016W44</t>
  </si>
  <si>
    <t>2016W45</t>
  </si>
  <si>
    <t>2016W46</t>
  </si>
  <si>
    <t>2016W47</t>
  </si>
  <si>
    <t>2016W48</t>
  </si>
  <si>
    <t>2016W49</t>
  </si>
  <si>
    <t>2016W50</t>
  </si>
  <si>
    <t>2016W51</t>
  </si>
  <si>
    <t>2016W52</t>
  </si>
  <si>
    <t>2017W01</t>
  </si>
  <si>
    <t>2017W02</t>
  </si>
  <si>
    <t>2017W03</t>
  </si>
  <si>
    <t>2017W04</t>
  </si>
  <si>
    <t>2017W05</t>
  </si>
  <si>
    <t>2017W06</t>
  </si>
  <si>
    <t>2017W07</t>
  </si>
  <si>
    <t>2017W08</t>
  </si>
  <si>
    <t>2017W09</t>
  </si>
  <si>
    <t>2017W10</t>
  </si>
  <si>
    <t>2017W11</t>
  </si>
  <si>
    <t>2017W12</t>
  </si>
  <si>
    <t>2017W13</t>
  </si>
  <si>
    <t>2017W14</t>
  </si>
  <si>
    <t>2017W15</t>
  </si>
  <si>
    <t>2017W16</t>
  </si>
  <si>
    <t>2017W17</t>
  </si>
  <si>
    <t>2017W18</t>
  </si>
  <si>
    <t>2017W19</t>
  </si>
  <si>
    <t>2017W20</t>
  </si>
  <si>
    <t>2017W21</t>
  </si>
  <si>
    <t>2017W22</t>
  </si>
  <si>
    <t>2017W23</t>
  </si>
  <si>
    <t>2017W24</t>
  </si>
  <si>
    <t>2017W25</t>
  </si>
  <si>
    <t>2017W26</t>
  </si>
  <si>
    <t>2017W27</t>
  </si>
  <si>
    <t>2017W28</t>
  </si>
  <si>
    <t>2017W29</t>
  </si>
  <si>
    <t>2017W30</t>
  </si>
  <si>
    <t>2017W31</t>
  </si>
  <si>
    <t>2017W32</t>
  </si>
  <si>
    <t>2017W33</t>
  </si>
  <si>
    <t>2017W34</t>
  </si>
  <si>
    <t>2017W35</t>
  </si>
  <si>
    <t>2017W36</t>
  </si>
  <si>
    <t>2017W37</t>
  </si>
  <si>
    <t>2017W38</t>
  </si>
  <si>
    <t>2017W39</t>
  </si>
  <si>
    <t>2017W40</t>
  </si>
  <si>
    <t>2017W41</t>
  </si>
  <si>
    <t>2017W42</t>
  </si>
  <si>
    <t>2017W43</t>
  </si>
  <si>
    <t>2017W44</t>
  </si>
  <si>
    <t>2017W45</t>
  </si>
  <si>
    <t>2017W46</t>
  </si>
  <si>
    <t>2017W47</t>
  </si>
  <si>
    <t>2017W48</t>
  </si>
  <si>
    <t>2017W49</t>
  </si>
  <si>
    <t>2017W50</t>
  </si>
  <si>
    <t>2017W51</t>
  </si>
  <si>
    <t>2017W52</t>
  </si>
  <si>
    <t>2018W01</t>
  </si>
  <si>
    <t>2018W02</t>
  </si>
  <si>
    <t>2018W03</t>
  </si>
  <si>
    <t>2018W04</t>
  </si>
  <si>
    <t>2018W05</t>
  </si>
  <si>
    <t>2018W06</t>
  </si>
  <si>
    <t>2018W07</t>
  </si>
  <si>
    <t>2018W08</t>
  </si>
  <si>
    <t>2018W09</t>
  </si>
  <si>
    <t>2018W10</t>
  </si>
  <si>
    <t>2018W11</t>
  </si>
  <si>
    <t>2018W12</t>
  </si>
  <si>
    <t>2018W13</t>
  </si>
  <si>
    <t>2018W14</t>
  </si>
  <si>
    <t>2018W15</t>
  </si>
  <si>
    <t>2018W16</t>
  </si>
  <si>
    <t>2018W17</t>
  </si>
  <si>
    <t>2018W18</t>
  </si>
  <si>
    <t>2018W19</t>
  </si>
  <si>
    <t>2018W20</t>
  </si>
  <si>
    <t>2018W21</t>
  </si>
  <si>
    <t>2018W22</t>
  </si>
  <si>
    <t>2018W23</t>
  </si>
  <si>
    <t>2018W24</t>
  </si>
  <si>
    <t>2018W25</t>
  </si>
  <si>
    <t>2018W26</t>
  </si>
  <si>
    <t>2018W27</t>
  </si>
  <si>
    <t>2018W28</t>
  </si>
  <si>
    <t>2018W29</t>
  </si>
  <si>
    <t>2018W30</t>
  </si>
  <si>
    <t>2018W31</t>
  </si>
  <si>
    <t>2018W32</t>
  </si>
  <si>
    <t>2018W33</t>
  </si>
  <si>
    <t>2018W34</t>
  </si>
  <si>
    <t>2018W35</t>
  </si>
  <si>
    <t>2018W36</t>
  </si>
  <si>
    <t>2018W37</t>
  </si>
  <si>
    <t>2018W38</t>
  </si>
  <si>
    <t>2018W39</t>
  </si>
  <si>
    <t>2018W40</t>
  </si>
  <si>
    <t>2018W41</t>
  </si>
  <si>
    <t>2018W42</t>
  </si>
  <si>
    <t>2018W43</t>
  </si>
  <si>
    <t>2018W44</t>
  </si>
  <si>
    <t>2018W45</t>
  </si>
  <si>
    <t>2018W46</t>
  </si>
  <si>
    <t>2018W47</t>
  </si>
  <si>
    <t>2018W48</t>
  </si>
  <si>
    <t>2018W49</t>
  </si>
  <si>
    <t>2018W50</t>
  </si>
  <si>
    <t>2018W51</t>
  </si>
  <si>
    <t>2018W52</t>
  </si>
  <si>
    <t>2019W01</t>
  </si>
  <si>
    <t>2019W02</t>
  </si>
  <si>
    <t>2019W03</t>
  </si>
  <si>
    <t>2019W04</t>
  </si>
  <si>
    <t>2019W05</t>
  </si>
  <si>
    <t>2019W06</t>
  </si>
  <si>
    <t>2019W07</t>
  </si>
  <si>
    <t>2019W08</t>
  </si>
  <si>
    <t>2019W09</t>
  </si>
  <si>
    <t>2019W10</t>
  </si>
  <si>
    <t>2019W11</t>
  </si>
  <si>
    <t>2019W12</t>
  </si>
  <si>
    <t>2019W13</t>
  </si>
  <si>
    <t>2019W14</t>
  </si>
  <si>
    <t>2019W15</t>
  </si>
  <si>
    <t>2019W16</t>
  </si>
  <si>
    <t>2019W17</t>
  </si>
  <si>
    <t>2019W18</t>
  </si>
  <si>
    <t>2019W19</t>
  </si>
  <si>
    <t>2019W20</t>
  </si>
  <si>
    <t>2019W21</t>
  </si>
  <si>
    <t>2019W22</t>
  </si>
  <si>
    <t>2019W23</t>
  </si>
  <si>
    <t>2019W24</t>
  </si>
  <si>
    <t>2019W25</t>
  </si>
  <si>
    <t>2019W26</t>
  </si>
  <si>
    <t>2019W27</t>
  </si>
  <si>
    <t>2019W28</t>
  </si>
  <si>
    <t>2019W29</t>
  </si>
  <si>
    <t>2019W30</t>
  </si>
  <si>
    <t>2019W31</t>
  </si>
  <si>
    <t>2019W32</t>
  </si>
  <si>
    <t>2019W33</t>
  </si>
  <si>
    <t>2019W34</t>
  </si>
  <si>
    <t>2019W35</t>
  </si>
  <si>
    <t>2019W36</t>
  </si>
  <si>
    <t>2019W37</t>
  </si>
  <si>
    <t>2019W38</t>
  </si>
  <si>
    <t>2019W39</t>
  </si>
  <si>
    <t>2019W40</t>
  </si>
  <si>
    <t>2019W41</t>
  </si>
  <si>
    <t>2019W42</t>
  </si>
  <si>
    <t>2019W43</t>
  </si>
  <si>
    <t>2019W44</t>
  </si>
  <si>
    <t>2019W45</t>
  </si>
  <si>
    <t>2019W46</t>
  </si>
  <si>
    <t>2019W47</t>
  </si>
  <si>
    <t>2019W48</t>
  </si>
  <si>
    <t>2019W49</t>
  </si>
  <si>
    <t>2019W50</t>
  </si>
  <si>
    <t>2019W51</t>
  </si>
  <si>
    <t>2019W52</t>
  </si>
  <si>
    <t>2020W01</t>
  </si>
  <si>
    <t>2020W02</t>
  </si>
  <si>
    <t>2020W03</t>
  </si>
  <si>
    <t>2020W04</t>
  </si>
  <si>
    <t>2020W05</t>
  </si>
  <si>
    <t>2020W06</t>
  </si>
  <si>
    <t>2020W07</t>
  </si>
  <si>
    <t>2020W08</t>
  </si>
  <si>
    <t>2020W09</t>
  </si>
  <si>
    <t>2020W10</t>
  </si>
  <si>
    <t>2020W11</t>
  </si>
  <si>
    <t>2020W12</t>
  </si>
  <si>
    <t>2020W13</t>
  </si>
  <si>
    <t>2020W14</t>
  </si>
  <si>
    <t>2020W15</t>
  </si>
  <si>
    <t>2020W16</t>
  </si>
  <si>
    <t>2020W17</t>
  </si>
  <si>
    <t>2020W18</t>
  </si>
  <si>
    <t>2020W19</t>
  </si>
  <si>
    <t>2020W20</t>
  </si>
  <si>
    <t>2020W21</t>
  </si>
  <si>
    <t>2020W22</t>
  </si>
  <si>
    <t>2020W23</t>
  </si>
  <si>
    <t>2020W24</t>
  </si>
  <si>
    <t>2020W25</t>
  </si>
  <si>
    <t>2020W26</t>
  </si>
  <si>
    <t>2020W27</t>
  </si>
  <si>
    <t>2020W28</t>
  </si>
  <si>
    <t>2020W29</t>
  </si>
  <si>
    <t>2020W30</t>
  </si>
  <si>
    <t>2020W31</t>
  </si>
  <si>
    <t>2020W32</t>
  </si>
  <si>
    <t>2020W33</t>
  </si>
  <si>
    <t>2020W34</t>
  </si>
  <si>
    <t>2020W35</t>
  </si>
  <si>
    <t>2020W36</t>
  </si>
  <si>
    <t>2020W37</t>
  </si>
  <si>
    <t>2020W38</t>
  </si>
  <si>
    <t>2020W39</t>
  </si>
  <si>
    <t>2020W40</t>
  </si>
  <si>
    <t>2020W41</t>
  </si>
  <si>
    <t>2020W42</t>
  </si>
  <si>
    <t>2020W43</t>
  </si>
  <si>
    <t>2020W44</t>
  </si>
  <si>
    <t>2020W45</t>
  </si>
  <si>
    <t>2020W46</t>
  </si>
  <si>
    <t>2020W47</t>
  </si>
  <si>
    <t>2020W48</t>
  </si>
  <si>
    <t>2020W49</t>
  </si>
  <si>
    <t>2020W50</t>
  </si>
  <si>
    <t>2020W51</t>
  </si>
  <si>
    <t>2020W52</t>
  </si>
  <si>
    <t>2020W53</t>
  </si>
  <si>
    <t>BoE Balance Sheet:</t>
  </si>
  <si>
    <r>
      <t xml:space="preserve">Weekly statements, all items are not accounted for (in quarterly statements available from 2014 only), hence total assets does not equal total liabilities. See </t>
    </r>
    <r>
      <rPr>
        <i/>
        <sz val="11"/>
        <color theme="1"/>
        <rFont val="Calibri"/>
        <family val="2"/>
        <scheme val="minor"/>
      </rPr>
      <t>balance_sheet</t>
    </r>
    <r>
      <rPr>
        <sz val="11"/>
        <color theme="1"/>
        <rFont val="Calibri"/>
        <family val="2"/>
        <scheme val="minor"/>
      </rPr>
      <t xml:space="preserve"> sheet for code meaning. </t>
    </r>
  </si>
  <si>
    <t>Total assets:</t>
  </si>
  <si>
    <t xml:space="preserve">Total liabilities: </t>
  </si>
  <si>
    <t>1998-01-01/2006-04-26: RPWAEFC + RPWAEFD + RPWAEFJ + RPWAEFK + RPWAEFL + RPWAEFM</t>
  </si>
  <si>
    <t>2006-04-26/2013-09-13: RPWB66A + RPWB69A + RPWB72A + RPWB73A + RPWB74A + RPWB65A</t>
  </si>
  <si>
    <t>13/09/2013-2020-12-31: RPWB66A + RPWB69A + RPWZO8Q + RPWZOQ4 + RPWZ4TL + RPWZOQ3 + RPWZ4TM + RPWZ4TN + RPWB72A</t>
  </si>
  <si>
    <t>1998-01-01/2006-04-26: RPWB55A + RPWAEFB + RPWAEFF + RPWAEFH + RPWAEFI</t>
  </si>
  <si>
    <t>2006-04-26/2013-09-13: RPWB55A + RPWB56A + RPWB9R6 + RPWB59A + RPWB62A + RPWB63A + RPWB57A</t>
  </si>
  <si>
    <t>13/09/2013-2020-12-31: RPWB55A + RPWB56A + RPWB9R6 + RPWB59A</t>
  </si>
  <si>
    <t>ni</t>
  </si>
  <si>
    <t>ECB's Coeure, BoE's Miles, Debt Chiefs Speak at Euromoney Talk (2 days)</t>
  </si>
  <si>
    <t>ECB's Nowotny, Praet, BoE's Haldane Speak at Vienna Conference (2 days)</t>
  </si>
  <si>
    <t>G7 Nations' Financial Stability Forum meets in Paris (2 days)</t>
  </si>
  <si>
    <t>G-20 Finance Ministers, Central Bank Chiefs Meet in Paris (2 days)</t>
  </si>
  <si>
    <t>Global Central Bank Governors Meet in Switzerland (2 days)</t>
  </si>
  <si>
    <t>G20 Finance Ministers and Central Bank Governors Meeting (2 days)</t>
  </si>
  <si>
    <t>G20 Finance and Central Bank Deputies' Meeting in Mexico (3 days)</t>
  </si>
  <si>
    <t>G20 Finance Ministers and Central Bankers Meet in Mexico (3 days)</t>
  </si>
  <si>
    <t>G-7 Finance Ministers, Central Bank Chiefs Meet in U.K. (2 days)</t>
  </si>
  <si>
    <t>G20 Finance Ministers' and Central Bank's Deputies Meeting (2 days)</t>
  </si>
  <si>
    <t>G20 Labour Ministers Meeting (2 days)</t>
  </si>
  <si>
    <t>IIF Annual Membership Meeting (2 days)</t>
  </si>
  <si>
    <t>BIS Group of Governors and Heads of Supervision Meeting (2 days)</t>
  </si>
  <si>
    <t>World Economic Forum Annual Meeting in Davos (2 days)</t>
  </si>
  <si>
    <t>Alberta Finance Minister Horner Visits Europe (2 days)</t>
  </si>
  <si>
    <t>G30 Meeting Plenary Held in France (2 days)</t>
  </si>
  <si>
    <t>China, U.K. Hold Economic and Financial Dialogue in Beijing (2 days)</t>
  </si>
  <si>
    <t>ISO2</t>
  </si>
  <si>
    <t>AT</t>
  </si>
  <si>
    <t>EZ</t>
  </si>
  <si>
    <t>DE</t>
  </si>
  <si>
    <t>IE</t>
  </si>
  <si>
    <t>PT</t>
  </si>
  <si>
    <t>WW</t>
  </si>
  <si>
    <t>Riksbank's Ingves, BoE Governor Carney, Liikanen, Powell at Riksbank Conference</t>
  </si>
  <si>
    <t>SE</t>
  </si>
  <si>
    <t>boe_rate_cat</t>
  </si>
  <si>
    <t>boe_meetings_cat</t>
  </si>
  <si>
    <t>boe_publications_cat</t>
  </si>
  <si>
    <t>boe_speeches_cat</t>
  </si>
  <si>
    <t>Variable Description</t>
  </si>
  <si>
    <t>Name</t>
  </si>
  <si>
    <t>Categories</t>
  </si>
  <si>
    <t>Labels</t>
  </si>
  <si>
    <t>Keywords</t>
  </si>
  <si>
    <t>Basel, Basles, Macroprudential, Prudential, Supervision, Financial Stability, TBTF, Too Big To Fail</t>
  </si>
  <si>
    <t>Speeches Related to Banks and Bank Distress</t>
  </si>
  <si>
    <t>Banks, Banking, Bank, Resolution, Bank Distress</t>
  </si>
  <si>
    <t>Speeches Related to Stress Tests</t>
  </si>
  <si>
    <t>Stress Tests</t>
  </si>
  <si>
    <t>Speeches Related to the Global Financial Crisis and the Covid-19 Pandemic</t>
  </si>
  <si>
    <t>Crisis, GFC, Pandemic, Covid-19, Turmoil, Distress, Recovery</t>
  </si>
  <si>
    <t>Monetary Policy Decisions (Rates, QE, Forward Guidance)</t>
  </si>
  <si>
    <t>Interest Rate Decisions</t>
  </si>
  <si>
    <t>Releases of Minutes of Monetary Policy Committee Decisions</t>
  </si>
  <si>
    <t>Quantitative Easing, Forward Guidance</t>
  </si>
  <si>
    <t>Supplementary Indexed Long-Term Repo Operations (Around Brexit)</t>
  </si>
  <si>
    <t>Variation in BoE Policy Rate</t>
  </si>
  <si>
    <t>BoE rates cuts</t>
  </si>
  <si>
    <t>BoE rates no changes</t>
  </si>
  <si>
    <t>BoE Publications (Financial Stability Report, Stress Tests)</t>
  </si>
  <si>
    <t>Releases of Stress Tests</t>
  </si>
  <si>
    <t>BoE Speeches (incl. Mansion House Annual Speeches and Chairmen Speeches)</t>
  </si>
  <si>
    <t>Speeches Related to Bank Supervision and Financial Stability</t>
  </si>
  <si>
    <t>Speeches Related to Asset Purchases and Balance-Sheet Policies</t>
  </si>
  <si>
    <t>BoE Chairmen Speeches Related to Bank Supervision and Financial Stability</t>
  </si>
  <si>
    <t>BoE Chairmen Speeches Related to Banks and Bank Distress</t>
  </si>
  <si>
    <t>BoE Chairmen Speeches Related to Stress Tests</t>
  </si>
  <si>
    <t>BoE Chairmen Speeches Related to the Global Financial Crisis and the Covid-19 Pandemic</t>
  </si>
  <si>
    <t>Mansion House Annual Speeches</t>
  </si>
  <si>
    <t>Interest Rate Decision, Meeting</t>
  </si>
  <si>
    <t>Minutes</t>
  </si>
  <si>
    <t>QE, TFSMEI, Guidance</t>
  </si>
  <si>
    <t>ILTR</t>
  </si>
  <si>
    <t>Financial Stability, Bank</t>
  </si>
  <si>
    <t>Releases of Financial Stability Reports and Reports on Banks</t>
  </si>
  <si>
    <t>Basel, Basles, Macroprudential, Prudential, Supervision, Financial Stability, TBTF, Too Big To Fail + George, King, Carney, Bailey</t>
  </si>
  <si>
    <t>Banks, Banking, Bank, Resolution, Bank Distress + George, King, Carney, Bailey</t>
  </si>
  <si>
    <t>Stress Tests + George, King, Carney, Bailey</t>
  </si>
  <si>
    <t>Crisis, GFC, Pandemic, Covid-19, Turmoil, Distress, Recovery + George, King, Carney, Bailey</t>
  </si>
  <si>
    <t>QE, Quantitative Easing, Asset Purchases, Normalisation, Balance Sheet, Taper</t>
  </si>
  <si>
    <t>QE, Quantitative Easing, Asset Purchases, Normalisation, Balance Sheet, Taper + George, King, Carney, Bailey</t>
  </si>
  <si>
    <t>boe_rates_cat</t>
  </si>
  <si>
    <t>BoE rates increases</t>
  </si>
  <si>
    <t>BoE Chairmen Speeches Related to Asset Purchases and Balance-Sheet Policies</t>
  </si>
  <si>
    <t xml:space="preserve">Chairmen: </t>
  </si>
  <si>
    <r>
      <t xml:space="preserve">Sources : Bloomberg, </t>
    </r>
    <r>
      <rPr>
        <sz val="11"/>
        <color theme="1"/>
        <rFont val="Calibri"/>
        <family val="2"/>
        <scheme val="minor"/>
      </rPr>
      <t>Eikon Refinitiv</t>
    </r>
    <r>
      <rPr>
        <i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Bank of England</t>
    </r>
    <r>
      <rPr>
        <i/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  <scheme val="minor"/>
      </rPr>
      <t xml:space="preserve">interest rate: </t>
    </r>
    <r>
      <rPr>
        <i/>
        <sz val="11"/>
        <color theme="1"/>
        <rFont val="Calibri"/>
        <family val="2"/>
        <scheme val="minor"/>
      </rPr>
      <t>https://www.bankofengland.co.uk/boeapps/database/Bank-Rate.asp, QE: https://www.bankofengland.co.uk/independent-evaluation-office/ieo-report-january-2021/ieo-evaluation-of-the-bank-of-englands-approach-to-quantitative-easing)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</si>
</sst>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11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10" fontId="1" fillId="0" borderId="0" xfId="0" applyNumberFormat="1" applyFont="1" applyAlignment="1">
      <alignment horizontal="center"/>
    </xf>
    <xf numFmtId="10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left"/>
    </xf>
    <xf numFmtId="22" fontId="0" fillId="0" borderId="0" xfId="0" applyNumberFormat="1"/>
    <xf numFmtId="0" fontId="3" fillId="2" borderId="1" xfId="0" applyFont="1" applyFill="1" applyBorder="1"/>
    <xf numFmtId="0" fontId="4" fillId="2" borderId="2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2" xfId="0" quotePrefix="1" applyFill="1" applyBorder="1" applyAlignment="1">
      <alignment wrapText="1"/>
    </xf>
    <xf numFmtId="0" fontId="5" fillId="2" borderId="2" xfId="0" quotePrefix="1" applyFont="1" applyFill="1" applyBorder="1" applyAlignment="1">
      <alignment wrapText="1"/>
    </xf>
    <xf numFmtId="0" fontId="0" fillId="2" borderId="2" xfId="0" quotePrefix="1" applyFill="1" applyBorder="1"/>
    <xf numFmtId="0" fontId="0" fillId="2" borderId="3" xfId="0" quotePrefix="1" applyFill="1" applyBorder="1"/>
    <xf numFmtId="0" fontId="1" fillId="3" borderId="4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4" fillId="2" borderId="2" xfId="0" applyFont="1" applyFill="1" applyBorder="1" applyAlignment="1">
      <alignment wrapText="1"/>
    </xf>
    <xf numFmtId="1" fontId="0" fillId="0" borderId="0" xfId="0" applyNumberFormat="1"/>
    <xf numFmtId="164" fontId="8" fillId="0" borderId="0" xfId="0" applyNumberFormat="1" applyFont="1"/>
    <xf numFmtId="164" fontId="0" fillId="0" borderId="8" xfId="0" applyNumberFormat="1" applyBorder="1"/>
    <xf numFmtId="0" fontId="0" fillId="0" borderId="8" xfId="0" applyBorder="1"/>
    <xf numFmtId="1" fontId="0" fillId="0" borderId="8" xfId="0" applyNumberFormat="1" applyBorder="1"/>
    <xf numFmtId="0" fontId="10" fillId="0" borderId="0" xfId="0" applyFont="1"/>
    <xf numFmtId="2" fontId="0" fillId="3" borderId="6" xfId="0" applyNumberForma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4" xfId="0" applyFont="1" applyFill="1" applyBorder="1"/>
    <xf numFmtId="0" fontId="6" fillId="3" borderId="4" xfId="0" applyFont="1" applyFill="1" applyBorder="1" applyAlignment="1">
      <alignment horizontal="center"/>
    </xf>
    <xf numFmtId="2" fontId="8" fillId="3" borderId="7" xfId="0" applyNumberFormat="1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vertical="top"/>
    </xf>
    <xf numFmtId="0" fontId="8" fillId="4" borderId="4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center" vertical="center"/>
    </xf>
    <xf numFmtId="2" fontId="8" fillId="3" borderId="4" xfId="0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7" fillId="0" borderId="0" xfId="0" applyFont="1"/>
    <xf numFmtId="0" fontId="0" fillId="2" borderId="2" xfId="0" applyFill="1" applyBorder="1" applyAlignment="1">
      <alignment wrapText="1"/>
    </xf>
    <xf numFmtId="14" fontId="0" fillId="2" borderId="2" xfId="0" applyNumberFormat="1" applyFill="1" applyBorder="1"/>
    <xf numFmtId="0" fontId="0" fillId="0" borderId="8" xfId="0" applyBorder="1" applyAlignment="1">
      <alignment horizontal="center"/>
    </xf>
    <xf numFmtId="0" fontId="11" fillId="2" borderId="2" xfId="2" applyFill="1" applyBorder="1"/>
    <xf numFmtId="10" fontId="1" fillId="3" borderId="4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0" fontId="11" fillId="2" borderId="11" xfId="2" applyFill="1" applyBorder="1" applyAlignment="1">
      <alignment horizontal="left" vertical="center"/>
    </xf>
    <xf numFmtId="0" fontId="11" fillId="2" borderId="12" xfId="2" applyFill="1" applyBorder="1" applyAlignment="1">
      <alignment horizontal="right" vertical="center"/>
    </xf>
    <xf numFmtId="0" fontId="0" fillId="2" borderId="12" xfId="0" applyFill="1" applyBorder="1"/>
    <xf numFmtId="0" fontId="12" fillId="2" borderId="13" xfId="0" applyFont="1" applyFill="1" applyBorder="1"/>
    <xf numFmtId="0" fontId="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/>
    </xf>
    <xf numFmtId="0" fontId="0" fillId="2" borderId="17" xfId="0" applyFill="1" applyBorder="1"/>
    <xf numFmtId="0" fontId="12" fillId="2" borderId="18" xfId="0" applyFont="1" applyFill="1" applyBorder="1"/>
    <xf numFmtId="0" fontId="12" fillId="2" borderId="15" xfId="0" applyFont="1" applyFill="1" applyBorder="1"/>
    <xf numFmtId="0" fontId="0" fillId="2" borderId="8" xfId="0" applyFill="1" applyBorder="1"/>
    <xf numFmtId="0" fontId="12" fillId="2" borderId="20" xfId="0" applyFont="1" applyFill="1" applyBorder="1"/>
    <xf numFmtId="0" fontId="0" fillId="2" borderId="22" xfId="0" applyFill="1" applyBorder="1"/>
    <xf numFmtId="0" fontId="12" fillId="2" borderId="23" xfId="0" applyFont="1" applyFill="1" applyBorder="1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14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center" vertical="center"/>
    </xf>
    <xf numFmtId="0" fontId="3" fillId="3" borderId="0" xfId="0" applyFont="1" applyFill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2" fontId="0" fillId="3" borderId="4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7" fillId="3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651A3A32-A79B-D04A-8794-C90BB1640C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Bank of England Consolidated Balance-Sheet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371330272459923E-2"/>
          <c:y val="6.0008154320515761E-2"/>
          <c:w val="0.93599529668640402"/>
          <c:h val="0.51280177356471213"/>
        </c:manualLayout>
      </c:layout>
      <c:areaChart>
        <c:grouping val="standard"/>
        <c:varyColors val="0"/>
        <c:ser>
          <c:idx val="0"/>
          <c:order val="0"/>
          <c:tx>
            <c:strRef>
              <c:f>balance_sheet!$C$5</c:f>
              <c:strCache>
                <c:ptCount val="1"/>
                <c:pt idx="0">
                  <c:v>Short-term market operations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balance_sheet!$C$6:$C$1209</c:f>
              <c:numCache>
                <c:formatCode>General</c:formatCode>
                <c:ptCount val="1204"/>
                <c:pt idx="440" formatCode="0">
                  <c:v>36490</c:v>
                </c:pt>
                <c:pt idx="441" formatCode="0">
                  <c:v>36880</c:v>
                </c:pt>
                <c:pt idx="442" formatCode="0">
                  <c:v>37300</c:v>
                </c:pt>
                <c:pt idx="443" formatCode="0">
                  <c:v>33430</c:v>
                </c:pt>
                <c:pt idx="444" formatCode="0">
                  <c:v>33370</c:v>
                </c:pt>
                <c:pt idx="445" formatCode="0">
                  <c:v>32940</c:v>
                </c:pt>
                <c:pt idx="446" formatCode="0">
                  <c:v>33500</c:v>
                </c:pt>
                <c:pt idx="447" formatCode="0">
                  <c:v>32500</c:v>
                </c:pt>
                <c:pt idx="448" formatCode="0">
                  <c:v>31820</c:v>
                </c:pt>
                <c:pt idx="449" formatCode="0">
                  <c:v>32730</c:v>
                </c:pt>
                <c:pt idx="450" formatCode="0">
                  <c:v>33470</c:v>
                </c:pt>
                <c:pt idx="451" formatCode="0">
                  <c:v>32350</c:v>
                </c:pt>
                <c:pt idx="452" formatCode="0">
                  <c:v>32230</c:v>
                </c:pt>
                <c:pt idx="453" formatCode="0">
                  <c:v>33220</c:v>
                </c:pt>
                <c:pt idx="454" formatCode="0">
                  <c:v>33250</c:v>
                </c:pt>
                <c:pt idx="455" formatCode="0">
                  <c:v>33080</c:v>
                </c:pt>
                <c:pt idx="456" formatCode="0">
                  <c:v>31650</c:v>
                </c:pt>
                <c:pt idx="457" formatCode="0">
                  <c:v>31110</c:v>
                </c:pt>
                <c:pt idx="458" formatCode="0">
                  <c:v>30800</c:v>
                </c:pt>
                <c:pt idx="459" formatCode="0">
                  <c:v>35460</c:v>
                </c:pt>
                <c:pt idx="460" formatCode="0">
                  <c:v>30430</c:v>
                </c:pt>
                <c:pt idx="461" formatCode="0">
                  <c:v>29900</c:v>
                </c:pt>
                <c:pt idx="462" formatCode="0">
                  <c:v>30160</c:v>
                </c:pt>
                <c:pt idx="463" formatCode="0">
                  <c:v>30760</c:v>
                </c:pt>
                <c:pt idx="464" formatCode="0">
                  <c:v>31240</c:v>
                </c:pt>
                <c:pt idx="465" formatCode="0">
                  <c:v>31560</c:v>
                </c:pt>
                <c:pt idx="466" formatCode="0">
                  <c:v>30130</c:v>
                </c:pt>
                <c:pt idx="467" formatCode="0">
                  <c:v>31540</c:v>
                </c:pt>
                <c:pt idx="468" formatCode="0">
                  <c:v>33420</c:v>
                </c:pt>
                <c:pt idx="469" formatCode="0">
                  <c:v>34700</c:v>
                </c:pt>
                <c:pt idx="470" formatCode="0">
                  <c:v>36080</c:v>
                </c:pt>
                <c:pt idx="471" formatCode="0">
                  <c:v>36510</c:v>
                </c:pt>
                <c:pt idx="472" formatCode="0">
                  <c:v>36010</c:v>
                </c:pt>
                <c:pt idx="473" formatCode="0">
                  <c:v>34370</c:v>
                </c:pt>
                <c:pt idx="474" formatCode="0">
                  <c:v>31110</c:v>
                </c:pt>
                <c:pt idx="475" formatCode="0">
                  <c:v>30530</c:v>
                </c:pt>
                <c:pt idx="476" formatCode="0">
                  <c:v>30420</c:v>
                </c:pt>
                <c:pt idx="477" formatCode="0">
                  <c:v>30750</c:v>
                </c:pt>
                <c:pt idx="478" formatCode="0">
                  <c:v>30230</c:v>
                </c:pt>
                <c:pt idx="479" formatCode="0">
                  <c:v>30110</c:v>
                </c:pt>
                <c:pt idx="480" formatCode="0">
                  <c:v>30300</c:v>
                </c:pt>
                <c:pt idx="481" formatCode="0">
                  <c:v>30700</c:v>
                </c:pt>
                <c:pt idx="482" formatCode="0">
                  <c:v>31020</c:v>
                </c:pt>
                <c:pt idx="483" formatCode="0">
                  <c:v>31260</c:v>
                </c:pt>
                <c:pt idx="484" formatCode="0">
                  <c:v>31600</c:v>
                </c:pt>
                <c:pt idx="485" formatCode="0">
                  <c:v>32624</c:v>
                </c:pt>
                <c:pt idx="486" formatCode="0">
                  <c:v>32780</c:v>
                </c:pt>
                <c:pt idx="487" formatCode="0">
                  <c:v>32870</c:v>
                </c:pt>
                <c:pt idx="488" formatCode="0">
                  <c:v>31130</c:v>
                </c:pt>
                <c:pt idx="489" formatCode="0">
                  <c:v>31060</c:v>
                </c:pt>
                <c:pt idx="490" formatCode="0">
                  <c:v>31600</c:v>
                </c:pt>
                <c:pt idx="491" formatCode="0">
                  <c:v>31990</c:v>
                </c:pt>
                <c:pt idx="492" formatCode="0">
                  <c:v>30231</c:v>
                </c:pt>
                <c:pt idx="493" formatCode="0">
                  <c:v>32380</c:v>
                </c:pt>
                <c:pt idx="494" formatCode="0">
                  <c:v>31750</c:v>
                </c:pt>
                <c:pt idx="495" formatCode="0">
                  <c:v>31950</c:v>
                </c:pt>
                <c:pt idx="496" formatCode="0">
                  <c:v>32550</c:v>
                </c:pt>
                <c:pt idx="497" formatCode="0">
                  <c:v>31470</c:v>
                </c:pt>
                <c:pt idx="498" formatCode="0">
                  <c:v>51040</c:v>
                </c:pt>
                <c:pt idx="499" formatCode="0">
                  <c:v>31810</c:v>
                </c:pt>
                <c:pt idx="500" formatCode="0">
                  <c:v>32440</c:v>
                </c:pt>
                <c:pt idx="501" formatCode="0">
                  <c:v>31950</c:v>
                </c:pt>
                <c:pt idx="502" formatCode="0">
                  <c:v>33067</c:v>
                </c:pt>
                <c:pt idx="503" formatCode="0">
                  <c:v>33000</c:v>
                </c:pt>
                <c:pt idx="504" formatCode="0">
                  <c:v>33330</c:v>
                </c:pt>
                <c:pt idx="505" formatCode="0">
                  <c:v>32410</c:v>
                </c:pt>
                <c:pt idx="506" formatCode="0">
                  <c:v>33400</c:v>
                </c:pt>
                <c:pt idx="507" formatCode="0">
                  <c:v>35690</c:v>
                </c:pt>
                <c:pt idx="508" formatCode="0">
                  <c:v>34480</c:v>
                </c:pt>
                <c:pt idx="509" formatCode="0">
                  <c:v>42798</c:v>
                </c:pt>
                <c:pt idx="510" formatCode="0">
                  <c:v>40950</c:v>
                </c:pt>
                <c:pt idx="511" formatCode="0">
                  <c:v>33650</c:v>
                </c:pt>
                <c:pt idx="512" formatCode="0">
                  <c:v>27580</c:v>
                </c:pt>
                <c:pt idx="513" formatCode="0">
                  <c:v>26590</c:v>
                </c:pt>
                <c:pt idx="514" formatCode="0">
                  <c:v>25620</c:v>
                </c:pt>
                <c:pt idx="515" formatCode="0">
                  <c:v>20610</c:v>
                </c:pt>
                <c:pt idx="516" formatCode="0">
                  <c:v>21420</c:v>
                </c:pt>
                <c:pt idx="517" formatCode="0">
                  <c:v>21520</c:v>
                </c:pt>
                <c:pt idx="518" formatCode="0">
                  <c:v>21760</c:v>
                </c:pt>
                <c:pt idx="519" formatCode="0">
                  <c:v>18349</c:v>
                </c:pt>
                <c:pt idx="520" formatCode="0">
                  <c:v>16419</c:v>
                </c:pt>
                <c:pt idx="521" formatCode="0">
                  <c:v>18737</c:v>
                </c:pt>
                <c:pt idx="522" formatCode="0">
                  <c:v>19998</c:v>
                </c:pt>
                <c:pt idx="523" formatCode="0">
                  <c:v>14358</c:v>
                </c:pt>
                <c:pt idx="524" formatCode="0">
                  <c:v>14358</c:v>
                </c:pt>
                <c:pt idx="525" formatCode="0">
                  <c:v>12438</c:v>
                </c:pt>
                <c:pt idx="526" formatCode="0">
                  <c:v>12018</c:v>
                </c:pt>
                <c:pt idx="527" formatCode="0">
                  <c:v>8039</c:v>
                </c:pt>
                <c:pt idx="528" formatCode="0">
                  <c:v>3740</c:v>
                </c:pt>
                <c:pt idx="529" formatCode="0">
                  <c:v>1269</c:v>
                </c:pt>
                <c:pt idx="530" formatCode="0">
                  <c:v>5619</c:v>
                </c:pt>
                <c:pt idx="531" formatCode="0">
                  <c:v>5329</c:v>
                </c:pt>
                <c:pt idx="532" formatCode="0">
                  <c:v>6609</c:v>
                </c:pt>
                <c:pt idx="533" formatCode="0">
                  <c:v>5229</c:v>
                </c:pt>
                <c:pt idx="534" formatCode="0">
                  <c:v>15289</c:v>
                </c:pt>
                <c:pt idx="535" formatCode="0">
                  <c:v>6239</c:v>
                </c:pt>
                <c:pt idx="536" formatCode="0">
                  <c:v>12769</c:v>
                </c:pt>
                <c:pt idx="537" formatCode="0">
                  <c:v>10929</c:v>
                </c:pt>
                <c:pt idx="538" formatCode="0">
                  <c:v>13619</c:v>
                </c:pt>
                <c:pt idx="539" formatCode="0">
                  <c:v>13359</c:v>
                </c:pt>
                <c:pt idx="540" formatCode="0">
                  <c:v>11009</c:v>
                </c:pt>
                <c:pt idx="541" formatCode="0">
                  <c:v>13709</c:v>
                </c:pt>
                <c:pt idx="542" formatCode="0">
                  <c:v>10019</c:v>
                </c:pt>
                <c:pt idx="543" formatCode="0">
                  <c:v>19678</c:v>
                </c:pt>
                <c:pt idx="544" formatCode="0">
                  <c:v>15299</c:v>
                </c:pt>
                <c:pt idx="545" formatCode="0">
                  <c:v>13779</c:v>
                </c:pt>
                <c:pt idx="546" formatCode="0">
                  <c:v>13949</c:v>
                </c:pt>
                <c:pt idx="547" formatCode="0">
                  <c:v>21779</c:v>
                </c:pt>
                <c:pt idx="548" formatCode="0">
                  <c:v>15999</c:v>
                </c:pt>
                <c:pt idx="549" formatCode="0">
                  <c:v>16149</c:v>
                </c:pt>
                <c:pt idx="550" formatCode="0">
                  <c:v>20929</c:v>
                </c:pt>
                <c:pt idx="551" formatCode="0">
                  <c:v>19759</c:v>
                </c:pt>
                <c:pt idx="552" formatCode="0">
                  <c:v>22409</c:v>
                </c:pt>
                <c:pt idx="553" formatCode="0">
                  <c:v>31878</c:v>
                </c:pt>
                <c:pt idx="554" formatCode="0">
                  <c:v>32969</c:v>
                </c:pt>
                <c:pt idx="555" formatCode="0">
                  <c:v>31669</c:v>
                </c:pt>
                <c:pt idx="556" formatCode="0">
                  <c:v>34015</c:v>
                </c:pt>
                <c:pt idx="557" formatCode="0">
                  <c:v>32669</c:v>
                </c:pt>
                <c:pt idx="558" formatCode="0">
                  <c:v>33919</c:v>
                </c:pt>
                <c:pt idx="559" formatCode="0">
                  <c:v>34039</c:v>
                </c:pt>
                <c:pt idx="560" formatCode="0">
                  <c:v>42910</c:v>
                </c:pt>
                <c:pt idx="561" formatCode="0">
                  <c:v>38789</c:v>
                </c:pt>
                <c:pt idx="562" formatCode="0">
                  <c:v>62519</c:v>
                </c:pt>
                <c:pt idx="563" formatCode="0">
                  <c:v>66209</c:v>
                </c:pt>
                <c:pt idx="564" formatCode="0">
                  <c:v>52799</c:v>
                </c:pt>
                <c:pt idx="565" formatCode="0">
                  <c:v>14999</c:v>
                </c:pt>
                <c:pt idx="566" formatCode="0">
                  <c:v>0</c:v>
                </c:pt>
                <c:pt idx="567" formatCode="0">
                  <c:v>0</c:v>
                </c:pt>
                <c:pt idx="568" formatCode="0">
                  <c:v>0</c:v>
                </c:pt>
                <c:pt idx="569" formatCode="0">
                  <c:v>0</c:v>
                </c:pt>
                <c:pt idx="570" formatCode="0">
                  <c:v>0</c:v>
                </c:pt>
                <c:pt idx="571" formatCode="0">
                  <c:v>0</c:v>
                </c:pt>
                <c:pt idx="572" formatCode="0">
                  <c:v>0</c:v>
                </c:pt>
                <c:pt idx="573" formatCode="0">
                  <c:v>0</c:v>
                </c:pt>
                <c:pt idx="574" formatCode="0">
                  <c:v>0</c:v>
                </c:pt>
                <c:pt idx="575" formatCode="0">
                  <c:v>0</c:v>
                </c:pt>
                <c:pt idx="576" formatCode="0">
                  <c:v>0</c:v>
                </c:pt>
                <c:pt idx="577" formatCode="0">
                  <c:v>0</c:v>
                </c:pt>
                <c:pt idx="578" formatCode="0">
                  <c:v>0</c:v>
                </c:pt>
                <c:pt idx="579" formatCode="0">
                  <c:v>0</c:v>
                </c:pt>
                <c:pt idx="580" formatCode="0">
                  <c:v>0</c:v>
                </c:pt>
                <c:pt idx="581" formatCode="0">
                  <c:v>0</c:v>
                </c:pt>
                <c:pt idx="582" formatCode="0">
                  <c:v>2000</c:v>
                </c:pt>
                <c:pt idx="583" formatCode="0">
                  <c:v>0</c:v>
                </c:pt>
                <c:pt idx="584" formatCode="0">
                  <c:v>0</c:v>
                </c:pt>
                <c:pt idx="585" formatCode="0">
                  <c:v>0</c:v>
                </c:pt>
                <c:pt idx="586" formatCode="0">
                  <c:v>0</c:v>
                </c:pt>
                <c:pt idx="587" formatCode="0">
                  <c:v>0</c:v>
                </c:pt>
                <c:pt idx="588" formatCode="0">
                  <c:v>0</c:v>
                </c:pt>
                <c:pt idx="589" formatCode="0">
                  <c:v>0</c:v>
                </c:pt>
                <c:pt idx="590" formatCode="0">
                  <c:v>0</c:v>
                </c:pt>
                <c:pt idx="591" formatCode="0">
                  <c:v>0</c:v>
                </c:pt>
                <c:pt idx="592" formatCode="0">
                  <c:v>0</c:v>
                </c:pt>
                <c:pt idx="593" formatCode="0">
                  <c:v>0</c:v>
                </c:pt>
                <c:pt idx="594" formatCode="0">
                  <c:v>0</c:v>
                </c:pt>
                <c:pt idx="595" formatCode="0">
                  <c:v>0</c:v>
                </c:pt>
                <c:pt idx="596" formatCode="0">
                  <c:v>0</c:v>
                </c:pt>
                <c:pt idx="597" formatCode="0">
                  <c:v>0</c:v>
                </c:pt>
                <c:pt idx="598" formatCode="0">
                  <c:v>0</c:v>
                </c:pt>
                <c:pt idx="599" formatCode="0">
                  <c:v>0</c:v>
                </c:pt>
                <c:pt idx="600" formatCode="0">
                  <c:v>0</c:v>
                </c:pt>
                <c:pt idx="601" formatCode="0">
                  <c:v>0</c:v>
                </c:pt>
                <c:pt idx="602" formatCode="0">
                  <c:v>0</c:v>
                </c:pt>
                <c:pt idx="603" formatCode="0">
                  <c:v>0</c:v>
                </c:pt>
                <c:pt idx="604" formatCode="0">
                  <c:v>11740</c:v>
                </c:pt>
                <c:pt idx="605" formatCode="0">
                  <c:v>11560</c:v>
                </c:pt>
                <c:pt idx="606" formatCode="0">
                  <c:v>30200</c:v>
                </c:pt>
                <c:pt idx="607" formatCode="0">
                  <c:v>29540</c:v>
                </c:pt>
                <c:pt idx="608" formatCode="0">
                  <c:v>30080</c:v>
                </c:pt>
                <c:pt idx="609" formatCode="0">
                  <c:v>0</c:v>
                </c:pt>
                <c:pt idx="610" formatCode="0">
                  <c:v>0</c:v>
                </c:pt>
                <c:pt idx="611" formatCode="0">
                  <c:v>0</c:v>
                </c:pt>
                <c:pt idx="612" formatCode="0">
                  <c:v>0</c:v>
                </c:pt>
                <c:pt idx="613" formatCode="0">
                  <c:v>0</c:v>
                </c:pt>
                <c:pt idx="614" formatCode="0">
                  <c:v>0</c:v>
                </c:pt>
                <c:pt idx="615" formatCode="0">
                  <c:v>0</c:v>
                </c:pt>
                <c:pt idx="616" formatCode="0">
                  <c:v>0</c:v>
                </c:pt>
                <c:pt idx="617" formatCode="0">
                  <c:v>0</c:v>
                </c:pt>
                <c:pt idx="618" formatCode="0">
                  <c:v>0</c:v>
                </c:pt>
                <c:pt idx="619" formatCode="0">
                  <c:v>0</c:v>
                </c:pt>
                <c:pt idx="620" formatCode="0">
                  <c:v>0</c:v>
                </c:pt>
                <c:pt idx="621" formatCode="0">
                  <c:v>0</c:v>
                </c:pt>
                <c:pt idx="622" formatCode="0">
                  <c:v>0</c:v>
                </c:pt>
                <c:pt idx="623" formatCode="0">
                  <c:v>0</c:v>
                </c:pt>
                <c:pt idx="624" formatCode="0">
                  <c:v>0</c:v>
                </c:pt>
                <c:pt idx="625" formatCode="0">
                  <c:v>0</c:v>
                </c:pt>
                <c:pt idx="626" formatCode="0">
                  <c:v>0</c:v>
                </c:pt>
                <c:pt idx="627" formatCode="0">
                  <c:v>0</c:v>
                </c:pt>
                <c:pt idx="628" formatCode="0">
                  <c:v>0</c:v>
                </c:pt>
                <c:pt idx="629" formatCode="0">
                  <c:v>0</c:v>
                </c:pt>
                <c:pt idx="630" formatCode="0">
                  <c:v>0</c:v>
                </c:pt>
                <c:pt idx="631" formatCode="0">
                  <c:v>0</c:v>
                </c:pt>
                <c:pt idx="632" formatCode="0">
                  <c:v>0</c:v>
                </c:pt>
                <c:pt idx="633" formatCode="0">
                  <c:v>0</c:v>
                </c:pt>
                <c:pt idx="634" formatCode="0">
                  <c:v>0</c:v>
                </c:pt>
                <c:pt idx="635" formatCode="0">
                  <c:v>0</c:v>
                </c:pt>
                <c:pt idx="636" formatCode="0">
                  <c:v>0</c:v>
                </c:pt>
                <c:pt idx="637" formatCode="0">
                  <c:v>0</c:v>
                </c:pt>
                <c:pt idx="638" formatCode="0">
                  <c:v>0</c:v>
                </c:pt>
                <c:pt idx="639" formatCode="0">
                  <c:v>0</c:v>
                </c:pt>
                <c:pt idx="640" formatCode="0">
                  <c:v>0</c:v>
                </c:pt>
                <c:pt idx="641" formatCode="0">
                  <c:v>0</c:v>
                </c:pt>
                <c:pt idx="642" formatCode="0">
                  <c:v>0</c:v>
                </c:pt>
                <c:pt idx="643" formatCode="0">
                  <c:v>0</c:v>
                </c:pt>
                <c:pt idx="644" formatCode="0">
                  <c:v>0</c:v>
                </c:pt>
                <c:pt idx="645" formatCode="0">
                  <c:v>0</c:v>
                </c:pt>
                <c:pt idx="646" formatCode="0">
                  <c:v>0</c:v>
                </c:pt>
                <c:pt idx="647" formatCode="0">
                  <c:v>0</c:v>
                </c:pt>
                <c:pt idx="648" formatCode="0">
                  <c:v>0</c:v>
                </c:pt>
                <c:pt idx="649" formatCode="0">
                  <c:v>0</c:v>
                </c:pt>
                <c:pt idx="650" formatCode="0">
                  <c:v>0</c:v>
                </c:pt>
                <c:pt idx="651" formatCode="0">
                  <c:v>0</c:v>
                </c:pt>
                <c:pt idx="652" formatCode="0">
                  <c:v>0</c:v>
                </c:pt>
                <c:pt idx="653" formatCode="0">
                  <c:v>0</c:v>
                </c:pt>
                <c:pt idx="654" formatCode="0">
                  <c:v>0</c:v>
                </c:pt>
                <c:pt idx="655" formatCode="0">
                  <c:v>0</c:v>
                </c:pt>
                <c:pt idx="656" formatCode="0">
                  <c:v>0</c:v>
                </c:pt>
                <c:pt idx="657" formatCode="0">
                  <c:v>0</c:v>
                </c:pt>
                <c:pt idx="658" formatCode="0">
                  <c:v>0</c:v>
                </c:pt>
                <c:pt idx="659" formatCode="0">
                  <c:v>0</c:v>
                </c:pt>
                <c:pt idx="660" formatCode="0">
                  <c:v>0</c:v>
                </c:pt>
                <c:pt idx="661" formatCode="0">
                  <c:v>0</c:v>
                </c:pt>
                <c:pt idx="662" formatCode="0">
                  <c:v>0</c:v>
                </c:pt>
                <c:pt idx="663" formatCode="0">
                  <c:v>0</c:v>
                </c:pt>
                <c:pt idx="664" formatCode="0">
                  <c:v>0</c:v>
                </c:pt>
                <c:pt idx="665" formatCode="0">
                  <c:v>0</c:v>
                </c:pt>
                <c:pt idx="666" formatCode="0">
                  <c:v>0</c:v>
                </c:pt>
                <c:pt idx="667" formatCode="0">
                  <c:v>0</c:v>
                </c:pt>
                <c:pt idx="668" formatCode="0">
                  <c:v>0</c:v>
                </c:pt>
                <c:pt idx="669" formatCode="0">
                  <c:v>0</c:v>
                </c:pt>
                <c:pt idx="670" formatCode="0">
                  <c:v>0</c:v>
                </c:pt>
                <c:pt idx="671" formatCode="0">
                  <c:v>0</c:v>
                </c:pt>
                <c:pt idx="672" formatCode="0">
                  <c:v>0</c:v>
                </c:pt>
                <c:pt idx="673" formatCode="0">
                  <c:v>0</c:v>
                </c:pt>
                <c:pt idx="674" formatCode="0">
                  <c:v>0</c:v>
                </c:pt>
                <c:pt idx="675" formatCode="0">
                  <c:v>0</c:v>
                </c:pt>
                <c:pt idx="676" formatCode="0">
                  <c:v>0</c:v>
                </c:pt>
                <c:pt idx="677" formatCode="0">
                  <c:v>0</c:v>
                </c:pt>
                <c:pt idx="678" formatCode="0">
                  <c:v>0</c:v>
                </c:pt>
                <c:pt idx="679" formatCode="0">
                  <c:v>0</c:v>
                </c:pt>
                <c:pt idx="680" formatCode="0">
                  <c:v>0</c:v>
                </c:pt>
                <c:pt idx="681" formatCode="0">
                  <c:v>0</c:v>
                </c:pt>
                <c:pt idx="682" formatCode="0">
                  <c:v>0</c:v>
                </c:pt>
                <c:pt idx="683" formatCode="0">
                  <c:v>0</c:v>
                </c:pt>
                <c:pt idx="684" formatCode="0">
                  <c:v>0</c:v>
                </c:pt>
                <c:pt idx="685" formatCode="0">
                  <c:v>0</c:v>
                </c:pt>
                <c:pt idx="686" formatCode="0">
                  <c:v>0</c:v>
                </c:pt>
                <c:pt idx="687" formatCode="0">
                  <c:v>0</c:v>
                </c:pt>
                <c:pt idx="688" formatCode="0">
                  <c:v>0</c:v>
                </c:pt>
                <c:pt idx="689" formatCode="0">
                  <c:v>0</c:v>
                </c:pt>
                <c:pt idx="690" formatCode="0">
                  <c:v>0</c:v>
                </c:pt>
                <c:pt idx="691" formatCode="0">
                  <c:v>0</c:v>
                </c:pt>
                <c:pt idx="692" formatCode="0">
                  <c:v>0</c:v>
                </c:pt>
                <c:pt idx="693" formatCode="0">
                  <c:v>0</c:v>
                </c:pt>
                <c:pt idx="694" formatCode="0">
                  <c:v>0</c:v>
                </c:pt>
                <c:pt idx="695" formatCode="0">
                  <c:v>0</c:v>
                </c:pt>
                <c:pt idx="696" formatCode="0">
                  <c:v>0</c:v>
                </c:pt>
                <c:pt idx="697" formatCode="0">
                  <c:v>0</c:v>
                </c:pt>
                <c:pt idx="698" formatCode="0">
                  <c:v>0</c:v>
                </c:pt>
                <c:pt idx="699" formatCode="0">
                  <c:v>0</c:v>
                </c:pt>
                <c:pt idx="700" formatCode="0">
                  <c:v>0</c:v>
                </c:pt>
                <c:pt idx="701" formatCode="0">
                  <c:v>0</c:v>
                </c:pt>
                <c:pt idx="702" formatCode="0">
                  <c:v>0</c:v>
                </c:pt>
                <c:pt idx="703" formatCode="0">
                  <c:v>0</c:v>
                </c:pt>
                <c:pt idx="704" formatCode="0">
                  <c:v>0</c:v>
                </c:pt>
                <c:pt idx="705" formatCode="0">
                  <c:v>0</c:v>
                </c:pt>
                <c:pt idx="706" formatCode="0">
                  <c:v>0</c:v>
                </c:pt>
                <c:pt idx="707" formatCode="0">
                  <c:v>0</c:v>
                </c:pt>
                <c:pt idx="708" formatCode="0">
                  <c:v>0</c:v>
                </c:pt>
                <c:pt idx="709" formatCode="0">
                  <c:v>0</c:v>
                </c:pt>
                <c:pt idx="710" formatCode="0">
                  <c:v>0</c:v>
                </c:pt>
                <c:pt idx="711" formatCode="0">
                  <c:v>0</c:v>
                </c:pt>
                <c:pt idx="712" formatCode="0">
                  <c:v>0</c:v>
                </c:pt>
                <c:pt idx="713" formatCode="0">
                  <c:v>0</c:v>
                </c:pt>
                <c:pt idx="714" formatCode="0">
                  <c:v>0</c:v>
                </c:pt>
                <c:pt idx="715" formatCode="0">
                  <c:v>0</c:v>
                </c:pt>
                <c:pt idx="716" formatCode="0">
                  <c:v>0</c:v>
                </c:pt>
                <c:pt idx="717" formatCode="0">
                  <c:v>0</c:v>
                </c:pt>
                <c:pt idx="718" formatCode="0">
                  <c:v>0</c:v>
                </c:pt>
                <c:pt idx="719" formatCode="0">
                  <c:v>0</c:v>
                </c:pt>
                <c:pt idx="720" formatCode="0">
                  <c:v>0</c:v>
                </c:pt>
                <c:pt idx="721" formatCode="0">
                  <c:v>0</c:v>
                </c:pt>
                <c:pt idx="722" formatCode="0">
                  <c:v>0</c:v>
                </c:pt>
                <c:pt idx="723" formatCode="0">
                  <c:v>0</c:v>
                </c:pt>
                <c:pt idx="724" formatCode="0">
                  <c:v>0</c:v>
                </c:pt>
                <c:pt idx="725" formatCode="0">
                  <c:v>0</c:v>
                </c:pt>
                <c:pt idx="726" formatCode="0">
                  <c:v>0</c:v>
                </c:pt>
                <c:pt idx="727" formatCode="0">
                  <c:v>0</c:v>
                </c:pt>
                <c:pt idx="728" formatCode="0">
                  <c:v>0</c:v>
                </c:pt>
                <c:pt idx="729" formatCode="0">
                  <c:v>0</c:v>
                </c:pt>
                <c:pt idx="730" formatCode="0">
                  <c:v>0</c:v>
                </c:pt>
                <c:pt idx="731" formatCode="0">
                  <c:v>0</c:v>
                </c:pt>
                <c:pt idx="732" formatCode="0">
                  <c:v>0</c:v>
                </c:pt>
                <c:pt idx="733" formatCode="0">
                  <c:v>0</c:v>
                </c:pt>
                <c:pt idx="734" formatCode="0">
                  <c:v>0</c:v>
                </c:pt>
                <c:pt idx="735" formatCode="0">
                  <c:v>0</c:v>
                </c:pt>
                <c:pt idx="736" formatCode="0">
                  <c:v>0</c:v>
                </c:pt>
                <c:pt idx="737" formatCode="0">
                  <c:v>0</c:v>
                </c:pt>
                <c:pt idx="738" formatCode="0">
                  <c:v>0</c:v>
                </c:pt>
                <c:pt idx="739" formatCode="0">
                  <c:v>0</c:v>
                </c:pt>
                <c:pt idx="740" formatCode="0">
                  <c:v>0</c:v>
                </c:pt>
                <c:pt idx="741" formatCode="0">
                  <c:v>0</c:v>
                </c:pt>
                <c:pt idx="742" formatCode="0">
                  <c:v>0</c:v>
                </c:pt>
                <c:pt idx="743" formatCode="0">
                  <c:v>0</c:v>
                </c:pt>
                <c:pt idx="744" formatCode="0">
                  <c:v>0</c:v>
                </c:pt>
                <c:pt idx="745" formatCode="0">
                  <c:v>0</c:v>
                </c:pt>
                <c:pt idx="746" formatCode="0">
                  <c:v>0</c:v>
                </c:pt>
                <c:pt idx="747" formatCode="0">
                  <c:v>0</c:v>
                </c:pt>
                <c:pt idx="748" formatCode="0">
                  <c:v>0</c:v>
                </c:pt>
                <c:pt idx="749" formatCode="0">
                  <c:v>0</c:v>
                </c:pt>
                <c:pt idx="750" formatCode="0">
                  <c:v>0</c:v>
                </c:pt>
                <c:pt idx="751" formatCode="0">
                  <c:v>0</c:v>
                </c:pt>
                <c:pt idx="752" formatCode="0">
                  <c:v>0</c:v>
                </c:pt>
                <c:pt idx="753" formatCode="0">
                  <c:v>0</c:v>
                </c:pt>
                <c:pt idx="754" formatCode="0">
                  <c:v>0</c:v>
                </c:pt>
                <c:pt idx="755" formatCode="0">
                  <c:v>0</c:v>
                </c:pt>
                <c:pt idx="756" formatCode="0">
                  <c:v>0</c:v>
                </c:pt>
                <c:pt idx="757" formatCode="0">
                  <c:v>0</c:v>
                </c:pt>
                <c:pt idx="758" formatCode="0">
                  <c:v>0</c:v>
                </c:pt>
                <c:pt idx="759" formatCode="0">
                  <c:v>0</c:v>
                </c:pt>
                <c:pt idx="760" formatCode="0">
                  <c:v>0</c:v>
                </c:pt>
                <c:pt idx="761" formatCode="0">
                  <c:v>0</c:v>
                </c:pt>
                <c:pt idx="762" formatCode="0">
                  <c:v>0</c:v>
                </c:pt>
                <c:pt idx="763" formatCode="0">
                  <c:v>0</c:v>
                </c:pt>
                <c:pt idx="764" formatCode="0">
                  <c:v>0</c:v>
                </c:pt>
                <c:pt idx="765" formatCode="0">
                  <c:v>0</c:v>
                </c:pt>
                <c:pt idx="766" formatCode="0">
                  <c:v>0</c:v>
                </c:pt>
                <c:pt idx="767" formatCode="0">
                  <c:v>0</c:v>
                </c:pt>
                <c:pt idx="768" formatCode="0">
                  <c:v>0</c:v>
                </c:pt>
                <c:pt idx="769" formatCode="0">
                  <c:v>0</c:v>
                </c:pt>
                <c:pt idx="770" formatCode="0">
                  <c:v>0</c:v>
                </c:pt>
                <c:pt idx="771" formatCode="0">
                  <c:v>0</c:v>
                </c:pt>
                <c:pt idx="772" formatCode="0">
                  <c:v>0</c:v>
                </c:pt>
                <c:pt idx="773" formatCode="0">
                  <c:v>0</c:v>
                </c:pt>
                <c:pt idx="774" formatCode="0">
                  <c:v>0</c:v>
                </c:pt>
                <c:pt idx="775" formatCode="0">
                  <c:v>0</c:v>
                </c:pt>
                <c:pt idx="776" formatCode="0">
                  <c:v>0</c:v>
                </c:pt>
                <c:pt idx="777" formatCode="0">
                  <c:v>0</c:v>
                </c:pt>
                <c:pt idx="778" formatCode="0">
                  <c:v>0</c:v>
                </c:pt>
                <c:pt idx="779" formatCode="0">
                  <c:v>0</c:v>
                </c:pt>
                <c:pt idx="780" formatCode="0">
                  <c:v>0</c:v>
                </c:pt>
                <c:pt idx="781" formatCode="0">
                  <c:v>0</c:v>
                </c:pt>
                <c:pt idx="782" formatCode="0">
                  <c:v>0</c:v>
                </c:pt>
                <c:pt idx="783" formatCode="0">
                  <c:v>0</c:v>
                </c:pt>
                <c:pt idx="784" formatCode="0">
                  <c:v>0</c:v>
                </c:pt>
                <c:pt idx="785" formatCode="0">
                  <c:v>0</c:v>
                </c:pt>
                <c:pt idx="786" formatCode="0">
                  <c:v>0</c:v>
                </c:pt>
                <c:pt idx="787" formatCode="0">
                  <c:v>0</c:v>
                </c:pt>
                <c:pt idx="788" formatCode="0">
                  <c:v>0</c:v>
                </c:pt>
                <c:pt idx="789" formatCode="0">
                  <c:v>0</c:v>
                </c:pt>
                <c:pt idx="790" formatCode="0">
                  <c:v>0</c:v>
                </c:pt>
                <c:pt idx="791" formatCode="0">
                  <c:v>0</c:v>
                </c:pt>
                <c:pt idx="792" formatCode="0">
                  <c:v>0</c:v>
                </c:pt>
                <c:pt idx="793" formatCode="0">
                  <c:v>0</c:v>
                </c:pt>
                <c:pt idx="794" formatCode="0">
                  <c:v>0</c:v>
                </c:pt>
                <c:pt idx="795" formatCode="0">
                  <c:v>0</c:v>
                </c:pt>
                <c:pt idx="796" formatCode="0">
                  <c:v>0</c:v>
                </c:pt>
                <c:pt idx="797" formatCode="0">
                  <c:v>0</c:v>
                </c:pt>
                <c:pt idx="798" formatCode="0">
                  <c:v>0</c:v>
                </c:pt>
                <c:pt idx="799" formatCode="0">
                  <c:v>0</c:v>
                </c:pt>
                <c:pt idx="800" formatCode="0">
                  <c:v>0</c:v>
                </c:pt>
                <c:pt idx="801" formatCode="0">
                  <c:v>0</c:v>
                </c:pt>
                <c:pt idx="802" formatCode="0">
                  <c:v>0</c:v>
                </c:pt>
                <c:pt idx="803" formatCode="0">
                  <c:v>0</c:v>
                </c:pt>
                <c:pt idx="804" formatCode="0">
                  <c:v>0</c:v>
                </c:pt>
                <c:pt idx="805" formatCode="0">
                  <c:v>0</c:v>
                </c:pt>
                <c:pt idx="806" formatCode="0">
                  <c:v>0</c:v>
                </c:pt>
                <c:pt idx="807" formatCode="0">
                  <c:v>0</c:v>
                </c:pt>
                <c:pt idx="808" formatCode="0">
                  <c:v>0</c:v>
                </c:pt>
                <c:pt idx="809" formatCode="0">
                  <c:v>0</c:v>
                </c:pt>
                <c:pt idx="810" formatCode="0">
                  <c:v>0</c:v>
                </c:pt>
                <c:pt idx="811" formatCode="0">
                  <c:v>0</c:v>
                </c:pt>
                <c:pt idx="812" formatCode="0">
                  <c:v>0</c:v>
                </c:pt>
                <c:pt idx="813" formatCode="0">
                  <c:v>0</c:v>
                </c:pt>
                <c:pt idx="814" formatCode="0">
                  <c:v>0</c:v>
                </c:pt>
                <c:pt idx="815" formatCode="0">
                  <c:v>0</c:v>
                </c:pt>
                <c:pt idx="816" formatCode="0">
                  <c:v>0</c:v>
                </c:pt>
                <c:pt idx="817" formatCode="0">
                  <c:v>0</c:v>
                </c:pt>
                <c:pt idx="818" formatCode="0">
                  <c:v>0</c:v>
                </c:pt>
                <c:pt idx="819" formatCode="0">
                  <c:v>0</c:v>
                </c:pt>
                <c:pt idx="820" formatCode="0">
                  <c:v>0</c:v>
                </c:pt>
                <c:pt idx="821" formatCode="0">
                  <c:v>0</c:v>
                </c:pt>
                <c:pt idx="822" formatCode="0">
                  <c:v>0</c:v>
                </c:pt>
                <c:pt idx="823" formatCode="0">
                  <c:v>0</c:v>
                </c:pt>
                <c:pt idx="824" formatCode="0">
                  <c:v>0</c:v>
                </c:pt>
                <c:pt idx="825" formatCode="0">
                  <c:v>0</c:v>
                </c:pt>
                <c:pt idx="826" formatCode="0">
                  <c:v>0</c:v>
                </c:pt>
                <c:pt idx="827" formatCode="0">
                  <c:v>0</c:v>
                </c:pt>
                <c:pt idx="828" formatCode="0">
                  <c:v>0</c:v>
                </c:pt>
                <c:pt idx="829" formatCode="0">
                  <c:v>0</c:v>
                </c:pt>
                <c:pt idx="830" formatCode="0">
                  <c:v>0</c:v>
                </c:pt>
                <c:pt idx="831" formatCode="0">
                  <c:v>0</c:v>
                </c:pt>
                <c:pt idx="832" formatCode="0">
                  <c:v>0</c:v>
                </c:pt>
                <c:pt idx="833" formatCode="0">
                  <c:v>0</c:v>
                </c:pt>
                <c:pt idx="834" formatCode="0">
                  <c:v>0</c:v>
                </c:pt>
                <c:pt idx="835" formatCode="0">
                  <c:v>0</c:v>
                </c:pt>
                <c:pt idx="836" formatCode="0">
                  <c:v>0</c:v>
                </c:pt>
                <c:pt idx="837" formatCode="0">
                  <c:v>0</c:v>
                </c:pt>
                <c:pt idx="838" formatCode="0">
                  <c:v>0</c:v>
                </c:pt>
                <c:pt idx="839" formatCode="0">
                  <c:v>0</c:v>
                </c:pt>
                <c:pt idx="840" formatCode="0">
                  <c:v>0</c:v>
                </c:pt>
                <c:pt idx="841" formatCode="0">
                  <c:v>0</c:v>
                </c:pt>
                <c:pt idx="842" formatCode="0">
                  <c:v>0</c:v>
                </c:pt>
                <c:pt idx="843" formatCode="0">
                  <c:v>0</c:v>
                </c:pt>
                <c:pt idx="844" formatCode="0">
                  <c:v>0</c:v>
                </c:pt>
                <c:pt idx="845" formatCode="0">
                  <c:v>0</c:v>
                </c:pt>
                <c:pt idx="846" formatCode="0">
                  <c:v>0</c:v>
                </c:pt>
                <c:pt idx="847" formatCode="0">
                  <c:v>0</c:v>
                </c:pt>
                <c:pt idx="848" formatCode="0">
                  <c:v>0</c:v>
                </c:pt>
                <c:pt idx="849" formatCode="0">
                  <c:v>0</c:v>
                </c:pt>
                <c:pt idx="850" formatCode="0">
                  <c:v>0</c:v>
                </c:pt>
                <c:pt idx="851" formatCode="0">
                  <c:v>0</c:v>
                </c:pt>
                <c:pt idx="852" formatCode="0">
                  <c:v>0</c:v>
                </c:pt>
                <c:pt idx="853" formatCode="0">
                  <c:v>0</c:v>
                </c:pt>
                <c:pt idx="854" formatCode="0">
                  <c:v>0</c:v>
                </c:pt>
                <c:pt idx="855" formatCode="0">
                  <c:v>0</c:v>
                </c:pt>
                <c:pt idx="856" formatCode="0">
                  <c:v>0</c:v>
                </c:pt>
                <c:pt idx="857" formatCode="0">
                  <c:v>0</c:v>
                </c:pt>
                <c:pt idx="858" formatCode="0">
                  <c:v>0</c:v>
                </c:pt>
                <c:pt idx="859" formatCode="0">
                  <c:v>0</c:v>
                </c:pt>
                <c:pt idx="860" formatCode="0">
                  <c:v>0</c:v>
                </c:pt>
                <c:pt idx="861" formatCode="0">
                  <c:v>0</c:v>
                </c:pt>
                <c:pt idx="862" formatCode="0">
                  <c:v>0</c:v>
                </c:pt>
                <c:pt idx="863" formatCode="0">
                  <c:v>0</c:v>
                </c:pt>
                <c:pt idx="864" formatCode="0">
                  <c:v>0</c:v>
                </c:pt>
                <c:pt idx="865" formatCode="0">
                  <c:v>0</c:v>
                </c:pt>
                <c:pt idx="866" formatCode="0">
                  <c:v>0</c:v>
                </c:pt>
                <c:pt idx="867" formatCode="0">
                  <c:v>0</c:v>
                </c:pt>
                <c:pt idx="868" formatCode="0">
                  <c:v>0</c:v>
                </c:pt>
                <c:pt idx="869" formatCode="0">
                  <c:v>0</c:v>
                </c:pt>
                <c:pt idx="870" formatCode="0">
                  <c:v>0</c:v>
                </c:pt>
                <c:pt idx="871" formatCode="0">
                  <c:v>0</c:v>
                </c:pt>
                <c:pt idx="872" formatCode="0">
                  <c:v>0</c:v>
                </c:pt>
                <c:pt idx="873" formatCode="0">
                  <c:v>0</c:v>
                </c:pt>
                <c:pt idx="874" formatCode="0">
                  <c:v>0</c:v>
                </c:pt>
                <c:pt idx="875" formatCode="0">
                  <c:v>0</c:v>
                </c:pt>
                <c:pt idx="876" formatCode="0">
                  <c:v>0</c:v>
                </c:pt>
                <c:pt idx="877" formatCode="0">
                  <c:v>0</c:v>
                </c:pt>
                <c:pt idx="878" formatCode="0">
                  <c:v>0</c:v>
                </c:pt>
                <c:pt idx="879" formatCode="0">
                  <c:v>0</c:v>
                </c:pt>
                <c:pt idx="880" formatCode="0">
                  <c:v>0</c:v>
                </c:pt>
                <c:pt idx="881" formatCode="0">
                  <c:v>0</c:v>
                </c:pt>
                <c:pt idx="882" formatCode="0">
                  <c:v>0</c:v>
                </c:pt>
                <c:pt idx="883" formatCode="0">
                  <c:v>0</c:v>
                </c:pt>
                <c:pt idx="884" formatCode="0">
                  <c:v>0</c:v>
                </c:pt>
                <c:pt idx="885" formatCode="0">
                  <c:v>0</c:v>
                </c:pt>
                <c:pt idx="886" formatCode="0">
                  <c:v>0</c:v>
                </c:pt>
                <c:pt idx="887" formatCode="0">
                  <c:v>0</c:v>
                </c:pt>
                <c:pt idx="888" formatCode="0">
                  <c:v>0</c:v>
                </c:pt>
                <c:pt idx="889" formatCode="0">
                  <c:v>0</c:v>
                </c:pt>
                <c:pt idx="890" formatCode="0">
                  <c:v>0</c:v>
                </c:pt>
                <c:pt idx="891" formatCode="0">
                  <c:v>0</c:v>
                </c:pt>
                <c:pt idx="892" formatCode="0">
                  <c:v>0</c:v>
                </c:pt>
                <c:pt idx="893" formatCode="0">
                  <c:v>0</c:v>
                </c:pt>
                <c:pt idx="894" formatCode="0">
                  <c:v>0</c:v>
                </c:pt>
                <c:pt idx="895" formatCode="0">
                  <c:v>0</c:v>
                </c:pt>
                <c:pt idx="896" formatCode="0">
                  <c:v>0</c:v>
                </c:pt>
                <c:pt idx="897" formatCode="0">
                  <c:v>0</c:v>
                </c:pt>
                <c:pt idx="898" formatCode="0">
                  <c:v>0</c:v>
                </c:pt>
                <c:pt idx="899" formatCode="0">
                  <c:v>0</c:v>
                </c:pt>
                <c:pt idx="900" formatCode="0">
                  <c:v>0</c:v>
                </c:pt>
                <c:pt idx="901" formatCode="0">
                  <c:v>0</c:v>
                </c:pt>
                <c:pt idx="902" formatCode="0">
                  <c:v>0</c:v>
                </c:pt>
                <c:pt idx="903" formatCode="0">
                  <c:v>0</c:v>
                </c:pt>
                <c:pt idx="904" formatCode="0">
                  <c:v>0</c:v>
                </c:pt>
                <c:pt idx="905" formatCode="0">
                  <c:v>0</c:v>
                </c:pt>
                <c:pt idx="906" formatCode="0">
                  <c:v>0</c:v>
                </c:pt>
                <c:pt idx="907" formatCode="0">
                  <c:v>0</c:v>
                </c:pt>
                <c:pt idx="908" formatCode="0">
                  <c:v>0</c:v>
                </c:pt>
                <c:pt idx="909" formatCode="0">
                  <c:v>0</c:v>
                </c:pt>
                <c:pt idx="910" formatCode="0">
                  <c:v>0</c:v>
                </c:pt>
                <c:pt idx="911" formatCode="0">
                  <c:v>0</c:v>
                </c:pt>
                <c:pt idx="912" formatCode="0">
                  <c:v>0</c:v>
                </c:pt>
                <c:pt idx="913" formatCode="0">
                  <c:v>0</c:v>
                </c:pt>
                <c:pt idx="914" formatCode="0">
                  <c:v>0</c:v>
                </c:pt>
                <c:pt idx="915" formatCode="0">
                  <c:v>0</c:v>
                </c:pt>
                <c:pt idx="916" formatCode="0">
                  <c:v>0</c:v>
                </c:pt>
                <c:pt idx="917" formatCode="0">
                  <c:v>0</c:v>
                </c:pt>
                <c:pt idx="918" formatCode="0">
                  <c:v>0</c:v>
                </c:pt>
                <c:pt idx="919" formatCode="0">
                  <c:v>0</c:v>
                </c:pt>
                <c:pt idx="920" formatCode="0">
                  <c:v>0</c:v>
                </c:pt>
                <c:pt idx="921" formatCode="0">
                  <c:v>0</c:v>
                </c:pt>
                <c:pt idx="922" formatCode="0">
                  <c:v>0</c:v>
                </c:pt>
                <c:pt idx="923" formatCode="0">
                  <c:v>0</c:v>
                </c:pt>
                <c:pt idx="924" formatCode="0">
                  <c:v>0</c:v>
                </c:pt>
                <c:pt idx="925" formatCode="0">
                  <c:v>0</c:v>
                </c:pt>
                <c:pt idx="926" formatCode="0">
                  <c:v>0</c:v>
                </c:pt>
                <c:pt idx="927" formatCode="0">
                  <c:v>0</c:v>
                </c:pt>
                <c:pt idx="928" formatCode="0">
                  <c:v>0</c:v>
                </c:pt>
                <c:pt idx="929" formatCode="0">
                  <c:v>0</c:v>
                </c:pt>
                <c:pt idx="930" formatCode="0">
                  <c:v>0</c:v>
                </c:pt>
                <c:pt idx="931" formatCode="0">
                  <c:v>0</c:v>
                </c:pt>
                <c:pt idx="932" formatCode="0">
                  <c:v>0</c:v>
                </c:pt>
                <c:pt idx="933" formatCode="0">
                  <c:v>0</c:v>
                </c:pt>
                <c:pt idx="934" formatCode="0">
                  <c:v>0</c:v>
                </c:pt>
                <c:pt idx="935" formatCode="0">
                  <c:v>0</c:v>
                </c:pt>
                <c:pt idx="936" formatCode="0">
                  <c:v>0</c:v>
                </c:pt>
                <c:pt idx="937" formatCode="0">
                  <c:v>0</c:v>
                </c:pt>
                <c:pt idx="938" formatCode="0">
                  <c:v>0</c:v>
                </c:pt>
                <c:pt idx="939" formatCode="0">
                  <c:v>0</c:v>
                </c:pt>
                <c:pt idx="940" formatCode="0">
                  <c:v>0</c:v>
                </c:pt>
                <c:pt idx="941" formatCode="0">
                  <c:v>0</c:v>
                </c:pt>
                <c:pt idx="942" formatCode="0">
                  <c:v>0</c:v>
                </c:pt>
                <c:pt idx="943" formatCode="0">
                  <c:v>0</c:v>
                </c:pt>
                <c:pt idx="944" formatCode="0">
                  <c:v>0</c:v>
                </c:pt>
                <c:pt idx="945" formatCode="0">
                  <c:v>0</c:v>
                </c:pt>
                <c:pt idx="946" formatCode="0">
                  <c:v>0</c:v>
                </c:pt>
                <c:pt idx="947" formatCode="0">
                  <c:v>0</c:v>
                </c:pt>
                <c:pt idx="948" formatCode="0">
                  <c:v>0</c:v>
                </c:pt>
                <c:pt idx="949" formatCode="0">
                  <c:v>0</c:v>
                </c:pt>
                <c:pt idx="950" formatCode="0">
                  <c:v>0</c:v>
                </c:pt>
                <c:pt idx="951" formatCode="0">
                  <c:v>0</c:v>
                </c:pt>
                <c:pt idx="952" formatCode="0">
                  <c:v>0</c:v>
                </c:pt>
                <c:pt idx="953" formatCode="0">
                  <c:v>0</c:v>
                </c:pt>
                <c:pt idx="954" formatCode="0">
                  <c:v>0</c:v>
                </c:pt>
                <c:pt idx="955" formatCode="0">
                  <c:v>0</c:v>
                </c:pt>
                <c:pt idx="956" formatCode="0">
                  <c:v>0</c:v>
                </c:pt>
                <c:pt idx="957" formatCode="0">
                  <c:v>0</c:v>
                </c:pt>
                <c:pt idx="958" formatCode="0">
                  <c:v>0</c:v>
                </c:pt>
                <c:pt idx="959" formatCode="0">
                  <c:v>0</c:v>
                </c:pt>
                <c:pt idx="960" formatCode="0">
                  <c:v>0</c:v>
                </c:pt>
                <c:pt idx="961" formatCode="0">
                  <c:v>0</c:v>
                </c:pt>
                <c:pt idx="962" formatCode="0">
                  <c:v>0</c:v>
                </c:pt>
                <c:pt idx="963" formatCode="0">
                  <c:v>0</c:v>
                </c:pt>
                <c:pt idx="964" formatCode="0">
                  <c:v>0</c:v>
                </c:pt>
                <c:pt idx="965" formatCode="0">
                  <c:v>0</c:v>
                </c:pt>
                <c:pt idx="966" formatCode="0">
                  <c:v>0</c:v>
                </c:pt>
                <c:pt idx="967" formatCode="0">
                  <c:v>0</c:v>
                </c:pt>
                <c:pt idx="968" formatCode="0">
                  <c:v>0</c:v>
                </c:pt>
                <c:pt idx="969" formatCode="0">
                  <c:v>0</c:v>
                </c:pt>
                <c:pt idx="970" formatCode="0">
                  <c:v>0</c:v>
                </c:pt>
                <c:pt idx="971" formatCode="0">
                  <c:v>0</c:v>
                </c:pt>
                <c:pt idx="972" formatCode="0">
                  <c:v>0</c:v>
                </c:pt>
                <c:pt idx="973" formatCode="0">
                  <c:v>0</c:v>
                </c:pt>
                <c:pt idx="974" formatCode="0">
                  <c:v>0</c:v>
                </c:pt>
                <c:pt idx="975" formatCode="0">
                  <c:v>0</c:v>
                </c:pt>
                <c:pt idx="976" formatCode="0">
                  <c:v>0</c:v>
                </c:pt>
                <c:pt idx="977" formatCode="0">
                  <c:v>0</c:v>
                </c:pt>
                <c:pt idx="978" formatCode="0">
                  <c:v>0</c:v>
                </c:pt>
                <c:pt idx="979" formatCode="0">
                  <c:v>0</c:v>
                </c:pt>
                <c:pt idx="980" formatCode="0">
                  <c:v>0</c:v>
                </c:pt>
                <c:pt idx="981" formatCode="0">
                  <c:v>0</c:v>
                </c:pt>
                <c:pt idx="982" formatCode="0">
                  <c:v>0</c:v>
                </c:pt>
                <c:pt idx="983" formatCode="0">
                  <c:v>0</c:v>
                </c:pt>
                <c:pt idx="984" formatCode="0">
                  <c:v>0</c:v>
                </c:pt>
                <c:pt idx="985" formatCode="0">
                  <c:v>0</c:v>
                </c:pt>
                <c:pt idx="986" formatCode="0">
                  <c:v>0</c:v>
                </c:pt>
                <c:pt idx="987" formatCode="0">
                  <c:v>0</c:v>
                </c:pt>
                <c:pt idx="988" formatCode="0">
                  <c:v>0</c:v>
                </c:pt>
                <c:pt idx="989" formatCode="0">
                  <c:v>0</c:v>
                </c:pt>
                <c:pt idx="990" formatCode="0">
                  <c:v>0</c:v>
                </c:pt>
                <c:pt idx="991" formatCode="0">
                  <c:v>0</c:v>
                </c:pt>
                <c:pt idx="992" formatCode="0">
                  <c:v>0</c:v>
                </c:pt>
                <c:pt idx="993" formatCode="0">
                  <c:v>0</c:v>
                </c:pt>
                <c:pt idx="994" formatCode="0">
                  <c:v>0</c:v>
                </c:pt>
                <c:pt idx="995" formatCode="0">
                  <c:v>0</c:v>
                </c:pt>
                <c:pt idx="996" formatCode="0">
                  <c:v>0</c:v>
                </c:pt>
                <c:pt idx="997" formatCode="0">
                  <c:v>0</c:v>
                </c:pt>
                <c:pt idx="998" formatCode="0">
                  <c:v>0</c:v>
                </c:pt>
                <c:pt idx="999" formatCode="0">
                  <c:v>0</c:v>
                </c:pt>
                <c:pt idx="1000" formatCode="0">
                  <c:v>0</c:v>
                </c:pt>
                <c:pt idx="1001" formatCode="0">
                  <c:v>0</c:v>
                </c:pt>
                <c:pt idx="1002" formatCode="0">
                  <c:v>0</c:v>
                </c:pt>
                <c:pt idx="1003" formatCode="0">
                  <c:v>0</c:v>
                </c:pt>
                <c:pt idx="1004" formatCode="0">
                  <c:v>0</c:v>
                </c:pt>
                <c:pt idx="1005" formatCode="0">
                  <c:v>0</c:v>
                </c:pt>
                <c:pt idx="1006" formatCode="0">
                  <c:v>0</c:v>
                </c:pt>
                <c:pt idx="1007" formatCode="0">
                  <c:v>0</c:v>
                </c:pt>
                <c:pt idx="1008" formatCode="0">
                  <c:v>0</c:v>
                </c:pt>
                <c:pt idx="1009" formatCode="0">
                  <c:v>0</c:v>
                </c:pt>
                <c:pt idx="1010" formatCode="0">
                  <c:v>0</c:v>
                </c:pt>
                <c:pt idx="1011" formatCode="0">
                  <c:v>0</c:v>
                </c:pt>
                <c:pt idx="1012" formatCode="0">
                  <c:v>0</c:v>
                </c:pt>
                <c:pt idx="1013" formatCode="0">
                  <c:v>0</c:v>
                </c:pt>
                <c:pt idx="1014" formatCode="0">
                  <c:v>0</c:v>
                </c:pt>
                <c:pt idx="1015" formatCode="0">
                  <c:v>0</c:v>
                </c:pt>
                <c:pt idx="1016" formatCode="0">
                  <c:v>0</c:v>
                </c:pt>
                <c:pt idx="1017" formatCode="0">
                  <c:v>0</c:v>
                </c:pt>
                <c:pt idx="1018" formatCode="0">
                  <c:v>0</c:v>
                </c:pt>
                <c:pt idx="1019" formatCode="0">
                  <c:v>0</c:v>
                </c:pt>
                <c:pt idx="1020" formatCode="0">
                  <c:v>0</c:v>
                </c:pt>
                <c:pt idx="1021" formatCode="0">
                  <c:v>0</c:v>
                </c:pt>
                <c:pt idx="1022" formatCode="0">
                  <c:v>0</c:v>
                </c:pt>
                <c:pt idx="1023" formatCode="0">
                  <c:v>0</c:v>
                </c:pt>
                <c:pt idx="1024" formatCode="0">
                  <c:v>0</c:v>
                </c:pt>
                <c:pt idx="1025" formatCode="0">
                  <c:v>0</c:v>
                </c:pt>
                <c:pt idx="1026" formatCode="0">
                  <c:v>0</c:v>
                </c:pt>
                <c:pt idx="1027" formatCode="0">
                  <c:v>0</c:v>
                </c:pt>
                <c:pt idx="1028" formatCode="0">
                  <c:v>0</c:v>
                </c:pt>
                <c:pt idx="1029" formatCode="0">
                  <c:v>0</c:v>
                </c:pt>
                <c:pt idx="1030" formatCode="0">
                  <c:v>0</c:v>
                </c:pt>
                <c:pt idx="1031" formatCode="0">
                  <c:v>0</c:v>
                </c:pt>
                <c:pt idx="1032" formatCode="0">
                  <c:v>0</c:v>
                </c:pt>
                <c:pt idx="1033" formatCode="0">
                  <c:v>0</c:v>
                </c:pt>
                <c:pt idx="1034" formatCode="0">
                  <c:v>0</c:v>
                </c:pt>
                <c:pt idx="1035" formatCode="0">
                  <c:v>0</c:v>
                </c:pt>
                <c:pt idx="1036" formatCode="0">
                  <c:v>0</c:v>
                </c:pt>
                <c:pt idx="1037" formatCode="0">
                  <c:v>0</c:v>
                </c:pt>
                <c:pt idx="1038" formatCode="0">
                  <c:v>0</c:v>
                </c:pt>
                <c:pt idx="1039" formatCode="0">
                  <c:v>0</c:v>
                </c:pt>
                <c:pt idx="1040" formatCode="0">
                  <c:v>0</c:v>
                </c:pt>
                <c:pt idx="1041" formatCode="0">
                  <c:v>0</c:v>
                </c:pt>
                <c:pt idx="1042" formatCode="0">
                  <c:v>0</c:v>
                </c:pt>
                <c:pt idx="1043" formatCode="0">
                  <c:v>0</c:v>
                </c:pt>
                <c:pt idx="1044" formatCode="0">
                  <c:v>0</c:v>
                </c:pt>
                <c:pt idx="1045" formatCode="0">
                  <c:v>0</c:v>
                </c:pt>
                <c:pt idx="1046" formatCode="0">
                  <c:v>0</c:v>
                </c:pt>
                <c:pt idx="1047" formatCode="0">
                  <c:v>0</c:v>
                </c:pt>
                <c:pt idx="1048" formatCode="0">
                  <c:v>0</c:v>
                </c:pt>
                <c:pt idx="1049" formatCode="0">
                  <c:v>0</c:v>
                </c:pt>
                <c:pt idx="1050" formatCode="0">
                  <c:v>0</c:v>
                </c:pt>
                <c:pt idx="1051" formatCode="0">
                  <c:v>0</c:v>
                </c:pt>
                <c:pt idx="1052" formatCode="0">
                  <c:v>0</c:v>
                </c:pt>
                <c:pt idx="1053" formatCode="0">
                  <c:v>0</c:v>
                </c:pt>
                <c:pt idx="1054" formatCode="0">
                  <c:v>0</c:v>
                </c:pt>
                <c:pt idx="1055" formatCode="0">
                  <c:v>0</c:v>
                </c:pt>
                <c:pt idx="1056" formatCode="0">
                  <c:v>0</c:v>
                </c:pt>
                <c:pt idx="1057" formatCode="0">
                  <c:v>0</c:v>
                </c:pt>
                <c:pt idx="1058" formatCode="0">
                  <c:v>0</c:v>
                </c:pt>
                <c:pt idx="1059" formatCode="0">
                  <c:v>0</c:v>
                </c:pt>
                <c:pt idx="1060" formatCode="0">
                  <c:v>0</c:v>
                </c:pt>
                <c:pt idx="1061" formatCode="0">
                  <c:v>0</c:v>
                </c:pt>
                <c:pt idx="1062" formatCode="0">
                  <c:v>0</c:v>
                </c:pt>
                <c:pt idx="1063" formatCode="0">
                  <c:v>0</c:v>
                </c:pt>
                <c:pt idx="1064" formatCode="0">
                  <c:v>0</c:v>
                </c:pt>
                <c:pt idx="1065" formatCode="0">
                  <c:v>0</c:v>
                </c:pt>
                <c:pt idx="1066" formatCode="0">
                  <c:v>0</c:v>
                </c:pt>
                <c:pt idx="1067" formatCode="0">
                  <c:v>0</c:v>
                </c:pt>
                <c:pt idx="1068" formatCode="0">
                  <c:v>0</c:v>
                </c:pt>
                <c:pt idx="1069" formatCode="0">
                  <c:v>0</c:v>
                </c:pt>
                <c:pt idx="1070" formatCode="0">
                  <c:v>0</c:v>
                </c:pt>
                <c:pt idx="1071" formatCode="0">
                  <c:v>0</c:v>
                </c:pt>
                <c:pt idx="1072" formatCode="0">
                  <c:v>0</c:v>
                </c:pt>
                <c:pt idx="1073" formatCode="0">
                  <c:v>0</c:v>
                </c:pt>
                <c:pt idx="1074" formatCode="0">
                  <c:v>0</c:v>
                </c:pt>
                <c:pt idx="1075" formatCode="0">
                  <c:v>0</c:v>
                </c:pt>
                <c:pt idx="1076" formatCode="0">
                  <c:v>0</c:v>
                </c:pt>
                <c:pt idx="1077" formatCode="0">
                  <c:v>0</c:v>
                </c:pt>
                <c:pt idx="1078" formatCode="0">
                  <c:v>0</c:v>
                </c:pt>
                <c:pt idx="1079" formatCode="0">
                  <c:v>0</c:v>
                </c:pt>
                <c:pt idx="1080" formatCode="0">
                  <c:v>0</c:v>
                </c:pt>
                <c:pt idx="1081" formatCode="0">
                  <c:v>0</c:v>
                </c:pt>
                <c:pt idx="1082" formatCode="0">
                  <c:v>0</c:v>
                </c:pt>
                <c:pt idx="1083" formatCode="0">
                  <c:v>0</c:v>
                </c:pt>
                <c:pt idx="1084" formatCode="0">
                  <c:v>0</c:v>
                </c:pt>
                <c:pt idx="1085" formatCode="0">
                  <c:v>0</c:v>
                </c:pt>
                <c:pt idx="1086" formatCode="0">
                  <c:v>0</c:v>
                </c:pt>
                <c:pt idx="1087" formatCode="0">
                  <c:v>0</c:v>
                </c:pt>
                <c:pt idx="1088" formatCode="0">
                  <c:v>0</c:v>
                </c:pt>
                <c:pt idx="1089" formatCode="0">
                  <c:v>0</c:v>
                </c:pt>
                <c:pt idx="1090" formatCode="0">
                  <c:v>0</c:v>
                </c:pt>
                <c:pt idx="1091" formatCode="0">
                  <c:v>0</c:v>
                </c:pt>
                <c:pt idx="1092" formatCode="0">
                  <c:v>0</c:v>
                </c:pt>
                <c:pt idx="1093" formatCode="0">
                  <c:v>0</c:v>
                </c:pt>
                <c:pt idx="1094" formatCode="0">
                  <c:v>0</c:v>
                </c:pt>
                <c:pt idx="1095" formatCode="0">
                  <c:v>0</c:v>
                </c:pt>
                <c:pt idx="1096" formatCode="0">
                  <c:v>0</c:v>
                </c:pt>
                <c:pt idx="1097" formatCode="0">
                  <c:v>0</c:v>
                </c:pt>
                <c:pt idx="1098" formatCode="0">
                  <c:v>0</c:v>
                </c:pt>
                <c:pt idx="1099" formatCode="0">
                  <c:v>0</c:v>
                </c:pt>
                <c:pt idx="1100" formatCode="0">
                  <c:v>0</c:v>
                </c:pt>
                <c:pt idx="1101" formatCode="0">
                  <c:v>0</c:v>
                </c:pt>
                <c:pt idx="1102" formatCode="0">
                  <c:v>0</c:v>
                </c:pt>
                <c:pt idx="1103" formatCode="0">
                  <c:v>0</c:v>
                </c:pt>
                <c:pt idx="1104" formatCode="0">
                  <c:v>0</c:v>
                </c:pt>
                <c:pt idx="1105" formatCode="0">
                  <c:v>0</c:v>
                </c:pt>
                <c:pt idx="1106" formatCode="0">
                  <c:v>0</c:v>
                </c:pt>
                <c:pt idx="1107" formatCode="0">
                  <c:v>0</c:v>
                </c:pt>
                <c:pt idx="1108" formatCode="0">
                  <c:v>0</c:v>
                </c:pt>
                <c:pt idx="1109" formatCode="0">
                  <c:v>0</c:v>
                </c:pt>
                <c:pt idx="1110" formatCode="0">
                  <c:v>0</c:v>
                </c:pt>
                <c:pt idx="1111" formatCode="0">
                  <c:v>0</c:v>
                </c:pt>
                <c:pt idx="1112" formatCode="0">
                  <c:v>0</c:v>
                </c:pt>
                <c:pt idx="1113" formatCode="0">
                  <c:v>0</c:v>
                </c:pt>
                <c:pt idx="1114" formatCode="0">
                  <c:v>0</c:v>
                </c:pt>
                <c:pt idx="1115" formatCode="0">
                  <c:v>0</c:v>
                </c:pt>
                <c:pt idx="1116" formatCode="0">
                  <c:v>0</c:v>
                </c:pt>
                <c:pt idx="1117" formatCode="0">
                  <c:v>0</c:v>
                </c:pt>
                <c:pt idx="1118" formatCode="0">
                  <c:v>0</c:v>
                </c:pt>
                <c:pt idx="1119" formatCode="0">
                  <c:v>0</c:v>
                </c:pt>
                <c:pt idx="1120" formatCode="0">
                  <c:v>0</c:v>
                </c:pt>
                <c:pt idx="1121" formatCode="0">
                  <c:v>0</c:v>
                </c:pt>
                <c:pt idx="1122" formatCode="0">
                  <c:v>0</c:v>
                </c:pt>
                <c:pt idx="1123" formatCode="0">
                  <c:v>0</c:v>
                </c:pt>
                <c:pt idx="1124" formatCode="0">
                  <c:v>0</c:v>
                </c:pt>
                <c:pt idx="1125" formatCode="0">
                  <c:v>0</c:v>
                </c:pt>
                <c:pt idx="1126" formatCode="0">
                  <c:v>0</c:v>
                </c:pt>
                <c:pt idx="1127" formatCode="0">
                  <c:v>0</c:v>
                </c:pt>
                <c:pt idx="1128" formatCode="0">
                  <c:v>0</c:v>
                </c:pt>
                <c:pt idx="1129" formatCode="0">
                  <c:v>0</c:v>
                </c:pt>
                <c:pt idx="1130" formatCode="0">
                  <c:v>0</c:v>
                </c:pt>
                <c:pt idx="1131" formatCode="0">
                  <c:v>0</c:v>
                </c:pt>
                <c:pt idx="1132" formatCode="0">
                  <c:v>0</c:v>
                </c:pt>
                <c:pt idx="1133" formatCode="0">
                  <c:v>0</c:v>
                </c:pt>
                <c:pt idx="1134" formatCode="0">
                  <c:v>0</c:v>
                </c:pt>
                <c:pt idx="1135" formatCode="0">
                  <c:v>0</c:v>
                </c:pt>
                <c:pt idx="1136" formatCode="0">
                  <c:v>0</c:v>
                </c:pt>
                <c:pt idx="1137" formatCode="0">
                  <c:v>0</c:v>
                </c:pt>
                <c:pt idx="1138" formatCode="0">
                  <c:v>0</c:v>
                </c:pt>
                <c:pt idx="1139" formatCode="0">
                  <c:v>0</c:v>
                </c:pt>
                <c:pt idx="1140" formatCode="0">
                  <c:v>0</c:v>
                </c:pt>
                <c:pt idx="1141" formatCode="0">
                  <c:v>0</c:v>
                </c:pt>
                <c:pt idx="1142" formatCode="0">
                  <c:v>0</c:v>
                </c:pt>
                <c:pt idx="1143" formatCode="0">
                  <c:v>0</c:v>
                </c:pt>
                <c:pt idx="1144" formatCode="0">
                  <c:v>0</c:v>
                </c:pt>
                <c:pt idx="1145" formatCode="0">
                  <c:v>0</c:v>
                </c:pt>
                <c:pt idx="1146" formatCode="0">
                  <c:v>0</c:v>
                </c:pt>
                <c:pt idx="1147" formatCode="0">
                  <c:v>0</c:v>
                </c:pt>
                <c:pt idx="1148" formatCode="0">
                  <c:v>0</c:v>
                </c:pt>
                <c:pt idx="1149" formatCode="0">
                  <c:v>0</c:v>
                </c:pt>
                <c:pt idx="1150" formatCode="0">
                  <c:v>0</c:v>
                </c:pt>
                <c:pt idx="1151" formatCode="0">
                  <c:v>0</c:v>
                </c:pt>
                <c:pt idx="1152" formatCode="0">
                  <c:v>0</c:v>
                </c:pt>
                <c:pt idx="1153" formatCode="0">
                  <c:v>0</c:v>
                </c:pt>
                <c:pt idx="1154" formatCode="0">
                  <c:v>0</c:v>
                </c:pt>
                <c:pt idx="1155" formatCode="0">
                  <c:v>0</c:v>
                </c:pt>
                <c:pt idx="1156" formatCode="0">
                  <c:v>0</c:v>
                </c:pt>
                <c:pt idx="1157" formatCode="0">
                  <c:v>0</c:v>
                </c:pt>
                <c:pt idx="1158" formatCode="0">
                  <c:v>0</c:v>
                </c:pt>
                <c:pt idx="1159" formatCode="0">
                  <c:v>0</c:v>
                </c:pt>
                <c:pt idx="1160" formatCode="0">
                  <c:v>0</c:v>
                </c:pt>
                <c:pt idx="1161" formatCode="0">
                  <c:v>0</c:v>
                </c:pt>
                <c:pt idx="1162" formatCode="0">
                  <c:v>0</c:v>
                </c:pt>
                <c:pt idx="1163" formatCode="0">
                  <c:v>0</c:v>
                </c:pt>
                <c:pt idx="1164" formatCode="0">
                  <c:v>0</c:v>
                </c:pt>
                <c:pt idx="1165" formatCode="0">
                  <c:v>0</c:v>
                </c:pt>
                <c:pt idx="1166" formatCode="0">
                  <c:v>0</c:v>
                </c:pt>
                <c:pt idx="1167" formatCode="0">
                  <c:v>0</c:v>
                </c:pt>
                <c:pt idx="1168" formatCode="0">
                  <c:v>0</c:v>
                </c:pt>
                <c:pt idx="1169" formatCode="0">
                  <c:v>0</c:v>
                </c:pt>
                <c:pt idx="1170" formatCode="0">
                  <c:v>0</c:v>
                </c:pt>
                <c:pt idx="1171" formatCode="0">
                  <c:v>0</c:v>
                </c:pt>
                <c:pt idx="1172" formatCode="0">
                  <c:v>0</c:v>
                </c:pt>
                <c:pt idx="1173" formatCode="0">
                  <c:v>0</c:v>
                </c:pt>
                <c:pt idx="1174" formatCode="0">
                  <c:v>0</c:v>
                </c:pt>
                <c:pt idx="1175" formatCode="0">
                  <c:v>0</c:v>
                </c:pt>
                <c:pt idx="1176" formatCode="0">
                  <c:v>0</c:v>
                </c:pt>
                <c:pt idx="1177" formatCode="0">
                  <c:v>0</c:v>
                </c:pt>
                <c:pt idx="1178" formatCode="0">
                  <c:v>0</c:v>
                </c:pt>
                <c:pt idx="1179" formatCode="0">
                  <c:v>0</c:v>
                </c:pt>
                <c:pt idx="1180" formatCode="0">
                  <c:v>0</c:v>
                </c:pt>
                <c:pt idx="1181" formatCode="0">
                  <c:v>0</c:v>
                </c:pt>
                <c:pt idx="1182" formatCode="0">
                  <c:v>0</c:v>
                </c:pt>
                <c:pt idx="1183" formatCode="0">
                  <c:v>0</c:v>
                </c:pt>
                <c:pt idx="1184" formatCode="0">
                  <c:v>0</c:v>
                </c:pt>
                <c:pt idx="1185" formatCode="0">
                  <c:v>0</c:v>
                </c:pt>
                <c:pt idx="1186" formatCode="0">
                  <c:v>0</c:v>
                </c:pt>
                <c:pt idx="1187" formatCode="0">
                  <c:v>0</c:v>
                </c:pt>
                <c:pt idx="1188" formatCode="0">
                  <c:v>0</c:v>
                </c:pt>
                <c:pt idx="1189" formatCode="0">
                  <c:v>0</c:v>
                </c:pt>
                <c:pt idx="1190" formatCode="0">
                  <c:v>0</c:v>
                </c:pt>
                <c:pt idx="1191" formatCode="0">
                  <c:v>0</c:v>
                </c:pt>
                <c:pt idx="1192" formatCode="0">
                  <c:v>0</c:v>
                </c:pt>
                <c:pt idx="1193" formatCode="0">
                  <c:v>0</c:v>
                </c:pt>
                <c:pt idx="1194" formatCode="0">
                  <c:v>0</c:v>
                </c:pt>
                <c:pt idx="1195" formatCode="0">
                  <c:v>0</c:v>
                </c:pt>
                <c:pt idx="1196" formatCode="0">
                  <c:v>0</c:v>
                </c:pt>
                <c:pt idx="1197" formatCode="0">
                  <c:v>0</c:v>
                </c:pt>
                <c:pt idx="1198" formatCode="0">
                  <c:v>0</c:v>
                </c:pt>
                <c:pt idx="1199" formatCode="0">
                  <c:v>0</c:v>
                </c:pt>
                <c:pt idx="1200" formatCode="0">
                  <c:v>0</c:v>
                </c:pt>
                <c:pt idx="1201" formatCode="0">
                  <c:v>0</c:v>
                </c:pt>
                <c:pt idx="1202" formatCode="0">
                  <c:v>0</c:v>
                </c:pt>
                <c:pt idx="120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E-9645-926E-3830DABCE972}"/>
            </c:ext>
          </c:extLst>
        </c:ser>
        <c:ser>
          <c:idx val="1"/>
          <c:order val="1"/>
          <c:tx>
            <c:strRef>
              <c:f>balance_sheet!$D$5</c:f>
              <c:strCache>
                <c:ptCount val="1"/>
                <c:pt idx="0">
                  <c:v>Long-term operations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balance_sheet!$D$6:$D$1209</c:f>
              <c:numCache>
                <c:formatCode>General</c:formatCode>
                <c:ptCount val="1204"/>
                <c:pt idx="440" formatCode="0">
                  <c:v>15000</c:v>
                </c:pt>
                <c:pt idx="441" formatCode="0">
                  <c:v>15000</c:v>
                </c:pt>
                <c:pt idx="442" formatCode="0">
                  <c:v>15000</c:v>
                </c:pt>
                <c:pt idx="443" formatCode="0">
                  <c:v>15000</c:v>
                </c:pt>
                <c:pt idx="444" formatCode="0">
                  <c:v>15400</c:v>
                </c:pt>
                <c:pt idx="445" formatCode="0">
                  <c:v>15400</c:v>
                </c:pt>
                <c:pt idx="446" formatCode="0">
                  <c:v>15400</c:v>
                </c:pt>
                <c:pt idx="447" formatCode="0">
                  <c:v>15400</c:v>
                </c:pt>
                <c:pt idx="448" formatCode="0">
                  <c:v>15050</c:v>
                </c:pt>
                <c:pt idx="449" formatCode="0">
                  <c:v>15050</c:v>
                </c:pt>
                <c:pt idx="450" formatCode="0">
                  <c:v>15050</c:v>
                </c:pt>
                <c:pt idx="451" formatCode="0">
                  <c:v>15050</c:v>
                </c:pt>
                <c:pt idx="452" formatCode="0">
                  <c:v>14700</c:v>
                </c:pt>
                <c:pt idx="453" formatCode="0">
                  <c:v>14700</c:v>
                </c:pt>
                <c:pt idx="454" formatCode="0">
                  <c:v>14700</c:v>
                </c:pt>
                <c:pt idx="455" formatCode="0">
                  <c:v>14700</c:v>
                </c:pt>
                <c:pt idx="456" formatCode="0">
                  <c:v>14700</c:v>
                </c:pt>
                <c:pt idx="457" formatCode="0">
                  <c:v>15200</c:v>
                </c:pt>
                <c:pt idx="458" formatCode="0">
                  <c:v>15200</c:v>
                </c:pt>
                <c:pt idx="459" formatCode="0">
                  <c:v>15200</c:v>
                </c:pt>
                <c:pt idx="460" formatCode="0">
                  <c:v>15200</c:v>
                </c:pt>
                <c:pt idx="461" formatCode="0">
                  <c:v>15100</c:v>
                </c:pt>
                <c:pt idx="462" formatCode="0">
                  <c:v>15100</c:v>
                </c:pt>
                <c:pt idx="463" formatCode="0">
                  <c:v>15100</c:v>
                </c:pt>
                <c:pt idx="464" formatCode="0">
                  <c:v>15100</c:v>
                </c:pt>
                <c:pt idx="465" formatCode="0">
                  <c:v>15000</c:v>
                </c:pt>
                <c:pt idx="466" formatCode="0">
                  <c:v>15000</c:v>
                </c:pt>
                <c:pt idx="467" formatCode="0">
                  <c:v>15000</c:v>
                </c:pt>
                <c:pt idx="468" formatCode="0">
                  <c:v>15000</c:v>
                </c:pt>
                <c:pt idx="469" formatCode="0">
                  <c:v>15000</c:v>
                </c:pt>
                <c:pt idx="470" formatCode="0">
                  <c:v>14900</c:v>
                </c:pt>
                <c:pt idx="471" formatCode="0">
                  <c:v>14900</c:v>
                </c:pt>
                <c:pt idx="472" formatCode="0">
                  <c:v>14900</c:v>
                </c:pt>
                <c:pt idx="473" formatCode="0">
                  <c:v>14900</c:v>
                </c:pt>
                <c:pt idx="474" formatCode="0">
                  <c:v>15000</c:v>
                </c:pt>
                <c:pt idx="475" formatCode="0">
                  <c:v>15000</c:v>
                </c:pt>
                <c:pt idx="476" formatCode="0">
                  <c:v>15000</c:v>
                </c:pt>
                <c:pt idx="477" formatCode="0">
                  <c:v>15000</c:v>
                </c:pt>
                <c:pt idx="478" formatCode="0">
                  <c:v>14850</c:v>
                </c:pt>
                <c:pt idx="479" formatCode="0">
                  <c:v>15000</c:v>
                </c:pt>
                <c:pt idx="480" formatCode="0">
                  <c:v>15000</c:v>
                </c:pt>
                <c:pt idx="481" formatCode="0">
                  <c:v>15000</c:v>
                </c:pt>
                <c:pt idx="482" formatCode="0">
                  <c:v>14800</c:v>
                </c:pt>
                <c:pt idx="483" formatCode="0">
                  <c:v>15000</c:v>
                </c:pt>
                <c:pt idx="484" formatCode="0">
                  <c:v>15000</c:v>
                </c:pt>
                <c:pt idx="485" formatCode="0">
                  <c:v>15000</c:v>
                </c:pt>
                <c:pt idx="486" formatCode="0">
                  <c:v>15000</c:v>
                </c:pt>
                <c:pt idx="487" formatCode="0">
                  <c:v>15000</c:v>
                </c:pt>
                <c:pt idx="488" formatCode="0">
                  <c:v>15000</c:v>
                </c:pt>
                <c:pt idx="489" formatCode="0">
                  <c:v>15000</c:v>
                </c:pt>
                <c:pt idx="490" formatCode="0">
                  <c:v>15000</c:v>
                </c:pt>
                <c:pt idx="491" formatCode="0">
                  <c:v>15000</c:v>
                </c:pt>
                <c:pt idx="492" formatCode="0">
                  <c:v>15000</c:v>
                </c:pt>
                <c:pt idx="493" formatCode="0">
                  <c:v>15000</c:v>
                </c:pt>
                <c:pt idx="494" formatCode="0">
                  <c:v>15000</c:v>
                </c:pt>
                <c:pt idx="495" formatCode="0">
                  <c:v>15000</c:v>
                </c:pt>
                <c:pt idx="496" formatCode="0">
                  <c:v>15000</c:v>
                </c:pt>
                <c:pt idx="497" formatCode="0">
                  <c:v>15000</c:v>
                </c:pt>
                <c:pt idx="498" formatCode="0">
                  <c:v>15000</c:v>
                </c:pt>
                <c:pt idx="499" formatCode="0">
                  <c:v>15000</c:v>
                </c:pt>
                <c:pt idx="500" formatCode="0">
                  <c:v>15000</c:v>
                </c:pt>
                <c:pt idx="501" formatCode="0">
                  <c:v>15000</c:v>
                </c:pt>
                <c:pt idx="502" formatCode="0">
                  <c:v>15000</c:v>
                </c:pt>
                <c:pt idx="503" formatCode="0">
                  <c:v>15000</c:v>
                </c:pt>
                <c:pt idx="504" formatCode="0">
                  <c:v>15000</c:v>
                </c:pt>
                <c:pt idx="505" formatCode="0">
                  <c:v>15000</c:v>
                </c:pt>
                <c:pt idx="506" formatCode="0">
                  <c:v>15000</c:v>
                </c:pt>
                <c:pt idx="507" formatCode="0">
                  <c:v>15000</c:v>
                </c:pt>
                <c:pt idx="508" formatCode="0">
                  <c:v>15000</c:v>
                </c:pt>
                <c:pt idx="509" formatCode="0">
                  <c:v>15000</c:v>
                </c:pt>
                <c:pt idx="510" formatCode="0">
                  <c:v>15000</c:v>
                </c:pt>
                <c:pt idx="511" formatCode="0">
                  <c:v>15000</c:v>
                </c:pt>
                <c:pt idx="512" formatCode="0">
                  <c:v>15000</c:v>
                </c:pt>
                <c:pt idx="513" formatCode="0">
                  <c:v>14900</c:v>
                </c:pt>
                <c:pt idx="514" formatCode="0">
                  <c:v>14900</c:v>
                </c:pt>
                <c:pt idx="515" formatCode="0">
                  <c:v>14900</c:v>
                </c:pt>
                <c:pt idx="516" formatCode="0">
                  <c:v>14900</c:v>
                </c:pt>
                <c:pt idx="517" formatCode="0">
                  <c:v>14700</c:v>
                </c:pt>
                <c:pt idx="518" formatCode="0">
                  <c:v>15000</c:v>
                </c:pt>
                <c:pt idx="519" formatCode="0">
                  <c:v>15000</c:v>
                </c:pt>
                <c:pt idx="520" formatCode="0">
                  <c:v>15000</c:v>
                </c:pt>
                <c:pt idx="521" formatCode="0">
                  <c:v>15000</c:v>
                </c:pt>
                <c:pt idx="522" formatCode="0">
                  <c:v>23500</c:v>
                </c:pt>
                <c:pt idx="523" formatCode="0">
                  <c:v>23500</c:v>
                </c:pt>
                <c:pt idx="524" formatCode="0">
                  <c:v>23500</c:v>
                </c:pt>
                <c:pt idx="525" formatCode="0">
                  <c:v>23500</c:v>
                </c:pt>
                <c:pt idx="526" formatCode="0">
                  <c:v>23500</c:v>
                </c:pt>
                <c:pt idx="527" formatCode="0">
                  <c:v>24419</c:v>
                </c:pt>
                <c:pt idx="528" formatCode="0">
                  <c:v>31999</c:v>
                </c:pt>
                <c:pt idx="529" formatCode="0">
                  <c:v>31999</c:v>
                </c:pt>
                <c:pt idx="530" formatCode="0">
                  <c:v>31999</c:v>
                </c:pt>
                <c:pt idx="531" formatCode="0">
                  <c:v>31999</c:v>
                </c:pt>
                <c:pt idx="532" formatCode="0">
                  <c:v>31999</c:v>
                </c:pt>
                <c:pt idx="533" formatCode="0">
                  <c:v>31999</c:v>
                </c:pt>
                <c:pt idx="534" formatCode="0">
                  <c:v>31999</c:v>
                </c:pt>
                <c:pt idx="535" formatCode="0">
                  <c:v>31999</c:v>
                </c:pt>
                <c:pt idx="536" formatCode="0">
                  <c:v>31999</c:v>
                </c:pt>
                <c:pt idx="537" formatCode="0">
                  <c:v>31999</c:v>
                </c:pt>
                <c:pt idx="538" formatCode="0">
                  <c:v>31999</c:v>
                </c:pt>
                <c:pt idx="539" formatCode="0">
                  <c:v>31999</c:v>
                </c:pt>
                <c:pt idx="540" formatCode="0">
                  <c:v>36999</c:v>
                </c:pt>
                <c:pt idx="541" formatCode="0">
                  <c:v>36999</c:v>
                </c:pt>
                <c:pt idx="542" formatCode="0">
                  <c:v>36999</c:v>
                </c:pt>
                <c:pt idx="543" formatCode="0">
                  <c:v>36999</c:v>
                </c:pt>
                <c:pt idx="544" formatCode="0">
                  <c:v>36799</c:v>
                </c:pt>
                <c:pt idx="545" formatCode="0">
                  <c:v>36998</c:v>
                </c:pt>
                <c:pt idx="546" formatCode="0">
                  <c:v>36998</c:v>
                </c:pt>
                <c:pt idx="547" formatCode="0">
                  <c:v>36998</c:v>
                </c:pt>
                <c:pt idx="548" formatCode="0">
                  <c:v>36998</c:v>
                </c:pt>
                <c:pt idx="549" formatCode="0">
                  <c:v>31997</c:v>
                </c:pt>
                <c:pt idx="550" formatCode="0">
                  <c:v>31997</c:v>
                </c:pt>
                <c:pt idx="551" formatCode="0">
                  <c:v>31997</c:v>
                </c:pt>
                <c:pt idx="552" formatCode="0">
                  <c:v>31997</c:v>
                </c:pt>
                <c:pt idx="553" formatCode="0">
                  <c:v>22047</c:v>
                </c:pt>
                <c:pt idx="554" formatCode="0">
                  <c:v>22047</c:v>
                </c:pt>
                <c:pt idx="555" formatCode="0">
                  <c:v>22047</c:v>
                </c:pt>
                <c:pt idx="556" formatCode="0">
                  <c:v>22047</c:v>
                </c:pt>
                <c:pt idx="557" formatCode="0">
                  <c:v>21847</c:v>
                </c:pt>
                <c:pt idx="558" formatCode="0">
                  <c:v>22046</c:v>
                </c:pt>
                <c:pt idx="559" formatCode="0">
                  <c:v>22046</c:v>
                </c:pt>
                <c:pt idx="560" formatCode="0">
                  <c:v>22046</c:v>
                </c:pt>
                <c:pt idx="561" formatCode="0">
                  <c:v>22046</c:v>
                </c:pt>
                <c:pt idx="562" formatCode="0">
                  <c:v>22046</c:v>
                </c:pt>
                <c:pt idx="563" formatCode="0">
                  <c:v>22046</c:v>
                </c:pt>
                <c:pt idx="564" formatCode="0">
                  <c:v>62046</c:v>
                </c:pt>
                <c:pt idx="565" formatCode="0">
                  <c:v>92722</c:v>
                </c:pt>
                <c:pt idx="566" formatCode="0">
                  <c:v>104285</c:v>
                </c:pt>
                <c:pt idx="567" formatCode="0">
                  <c:v>111959</c:v>
                </c:pt>
                <c:pt idx="568" formatCode="0">
                  <c:v>120884</c:v>
                </c:pt>
                <c:pt idx="569" formatCode="0">
                  <c:v>128684</c:v>
                </c:pt>
                <c:pt idx="570" formatCode="0">
                  <c:v>139689</c:v>
                </c:pt>
                <c:pt idx="571" formatCode="0">
                  <c:v>145214</c:v>
                </c:pt>
                <c:pt idx="572" formatCode="0">
                  <c:v>145214</c:v>
                </c:pt>
                <c:pt idx="573" formatCode="0">
                  <c:v>158719</c:v>
                </c:pt>
                <c:pt idx="574" formatCode="0">
                  <c:v>158719</c:v>
                </c:pt>
                <c:pt idx="575" formatCode="0">
                  <c:v>153069</c:v>
                </c:pt>
                <c:pt idx="576" formatCode="0">
                  <c:v>170104</c:v>
                </c:pt>
                <c:pt idx="577" formatCode="0">
                  <c:v>170104</c:v>
                </c:pt>
                <c:pt idx="578" formatCode="0">
                  <c:v>170104</c:v>
                </c:pt>
                <c:pt idx="579" formatCode="0">
                  <c:v>189900</c:v>
                </c:pt>
                <c:pt idx="580" formatCode="0">
                  <c:v>150100</c:v>
                </c:pt>
                <c:pt idx="581" formatCode="0">
                  <c:v>122858</c:v>
                </c:pt>
                <c:pt idx="582" formatCode="0">
                  <c:v>115184</c:v>
                </c:pt>
                <c:pt idx="583" formatCode="0">
                  <c:v>126259</c:v>
                </c:pt>
                <c:pt idx="584" formatCode="0">
                  <c:v>126261</c:v>
                </c:pt>
                <c:pt idx="585" formatCode="0">
                  <c:v>138461</c:v>
                </c:pt>
                <c:pt idx="586" formatCode="0">
                  <c:v>127456</c:v>
                </c:pt>
                <c:pt idx="587" formatCode="0">
                  <c:v>140331</c:v>
                </c:pt>
                <c:pt idx="588" formatCode="0">
                  <c:v>126827</c:v>
                </c:pt>
                <c:pt idx="589" formatCode="0">
                  <c:v>129792</c:v>
                </c:pt>
                <c:pt idx="590" formatCode="0">
                  <c:v>129792</c:v>
                </c:pt>
                <c:pt idx="591" formatCode="0">
                  <c:v>149792</c:v>
                </c:pt>
                <c:pt idx="592" formatCode="0">
                  <c:v>129716</c:v>
                </c:pt>
                <c:pt idx="593" formatCode="0">
                  <c:v>129719</c:v>
                </c:pt>
                <c:pt idx="594" formatCode="0">
                  <c:v>129719</c:v>
                </c:pt>
                <c:pt idx="595" formatCode="0">
                  <c:v>129719</c:v>
                </c:pt>
                <c:pt idx="596" formatCode="0">
                  <c:v>120779</c:v>
                </c:pt>
                <c:pt idx="597" formatCode="0">
                  <c:v>120779</c:v>
                </c:pt>
                <c:pt idx="598" formatCode="0">
                  <c:v>111541</c:v>
                </c:pt>
                <c:pt idx="599" formatCode="0">
                  <c:v>111541</c:v>
                </c:pt>
                <c:pt idx="600" formatCode="0">
                  <c:v>100598</c:v>
                </c:pt>
                <c:pt idx="601" formatCode="0">
                  <c:v>100648</c:v>
                </c:pt>
                <c:pt idx="602" formatCode="0">
                  <c:v>91212</c:v>
                </c:pt>
                <c:pt idx="603" formatCode="0">
                  <c:v>91212</c:v>
                </c:pt>
                <c:pt idx="604" formatCode="0">
                  <c:v>79650</c:v>
                </c:pt>
                <c:pt idx="605" formatCode="0">
                  <c:v>79651</c:v>
                </c:pt>
                <c:pt idx="606" formatCode="0">
                  <c:v>60956</c:v>
                </c:pt>
                <c:pt idx="607" formatCode="0">
                  <c:v>60956</c:v>
                </c:pt>
                <c:pt idx="608" formatCode="0">
                  <c:v>60956</c:v>
                </c:pt>
                <c:pt idx="609" formatCode="0">
                  <c:v>58174</c:v>
                </c:pt>
                <c:pt idx="610" formatCode="0">
                  <c:v>58174</c:v>
                </c:pt>
                <c:pt idx="611" formatCode="0">
                  <c:v>52730</c:v>
                </c:pt>
                <c:pt idx="612" formatCode="0">
                  <c:v>52730</c:v>
                </c:pt>
                <c:pt idx="613" formatCode="0">
                  <c:v>47483</c:v>
                </c:pt>
                <c:pt idx="614" formatCode="0">
                  <c:v>47883</c:v>
                </c:pt>
                <c:pt idx="615" formatCode="0">
                  <c:v>39464</c:v>
                </c:pt>
                <c:pt idx="616" formatCode="0">
                  <c:v>39464</c:v>
                </c:pt>
                <c:pt idx="617" formatCode="0">
                  <c:v>32735</c:v>
                </c:pt>
                <c:pt idx="618" formatCode="0">
                  <c:v>32815</c:v>
                </c:pt>
                <c:pt idx="619" formatCode="0">
                  <c:v>33560</c:v>
                </c:pt>
                <c:pt idx="620" formatCode="0">
                  <c:v>33560</c:v>
                </c:pt>
                <c:pt idx="621" formatCode="0">
                  <c:v>33560</c:v>
                </c:pt>
                <c:pt idx="622" formatCode="0">
                  <c:v>29522</c:v>
                </c:pt>
                <c:pt idx="623" formatCode="0">
                  <c:v>29522</c:v>
                </c:pt>
                <c:pt idx="624" formatCode="0">
                  <c:v>27651</c:v>
                </c:pt>
                <c:pt idx="625" formatCode="0">
                  <c:v>27651</c:v>
                </c:pt>
                <c:pt idx="626" formatCode="0">
                  <c:v>25341</c:v>
                </c:pt>
                <c:pt idx="627" formatCode="0">
                  <c:v>25541</c:v>
                </c:pt>
                <c:pt idx="628" formatCode="0">
                  <c:v>23991</c:v>
                </c:pt>
                <c:pt idx="629" formatCode="0">
                  <c:v>23991</c:v>
                </c:pt>
                <c:pt idx="630" formatCode="0">
                  <c:v>23991</c:v>
                </c:pt>
                <c:pt idx="631" formatCode="0">
                  <c:v>24092</c:v>
                </c:pt>
                <c:pt idx="632" formatCode="0">
                  <c:v>24797</c:v>
                </c:pt>
                <c:pt idx="633" formatCode="0">
                  <c:v>24797</c:v>
                </c:pt>
                <c:pt idx="634" formatCode="0">
                  <c:v>24797</c:v>
                </c:pt>
                <c:pt idx="635" formatCode="0">
                  <c:v>20557</c:v>
                </c:pt>
                <c:pt idx="636" formatCode="0">
                  <c:v>20607</c:v>
                </c:pt>
                <c:pt idx="637" formatCode="0">
                  <c:v>21409</c:v>
                </c:pt>
                <c:pt idx="638" formatCode="0">
                  <c:v>21409</c:v>
                </c:pt>
                <c:pt idx="639" formatCode="0">
                  <c:v>19909</c:v>
                </c:pt>
                <c:pt idx="640" formatCode="0">
                  <c:v>19909</c:v>
                </c:pt>
                <c:pt idx="641" formatCode="0">
                  <c:v>23504</c:v>
                </c:pt>
                <c:pt idx="642" formatCode="0">
                  <c:v>23504</c:v>
                </c:pt>
                <c:pt idx="643" formatCode="0">
                  <c:v>23504</c:v>
                </c:pt>
                <c:pt idx="644" formatCode="0">
                  <c:v>21894</c:v>
                </c:pt>
                <c:pt idx="645" formatCode="0">
                  <c:v>20994</c:v>
                </c:pt>
                <c:pt idx="646" formatCode="0">
                  <c:v>20994</c:v>
                </c:pt>
                <c:pt idx="647" formatCode="0">
                  <c:v>20994</c:v>
                </c:pt>
                <c:pt idx="648" formatCode="0">
                  <c:v>20994</c:v>
                </c:pt>
                <c:pt idx="649" formatCode="0">
                  <c:v>20994</c:v>
                </c:pt>
                <c:pt idx="650" formatCode="0">
                  <c:v>21742</c:v>
                </c:pt>
                <c:pt idx="651" formatCode="0">
                  <c:v>21742</c:v>
                </c:pt>
                <c:pt idx="652" formatCode="0">
                  <c:v>21742</c:v>
                </c:pt>
                <c:pt idx="653" formatCode="0">
                  <c:v>20392</c:v>
                </c:pt>
                <c:pt idx="654" formatCode="0">
                  <c:v>21202</c:v>
                </c:pt>
                <c:pt idx="655" formatCode="0">
                  <c:v>21202</c:v>
                </c:pt>
                <c:pt idx="656" formatCode="0">
                  <c:v>21202</c:v>
                </c:pt>
                <c:pt idx="657" formatCode="0">
                  <c:v>19852</c:v>
                </c:pt>
                <c:pt idx="658" formatCode="0">
                  <c:v>22797</c:v>
                </c:pt>
                <c:pt idx="659" formatCode="0">
                  <c:v>22797</c:v>
                </c:pt>
                <c:pt idx="660" formatCode="0">
                  <c:v>22797</c:v>
                </c:pt>
                <c:pt idx="661" formatCode="0">
                  <c:v>22797</c:v>
                </c:pt>
                <c:pt idx="662" formatCode="0">
                  <c:v>21447</c:v>
                </c:pt>
                <c:pt idx="663" formatCode="0">
                  <c:v>18950</c:v>
                </c:pt>
                <c:pt idx="664" formatCode="0">
                  <c:v>18950</c:v>
                </c:pt>
                <c:pt idx="665" formatCode="0">
                  <c:v>18950</c:v>
                </c:pt>
                <c:pt idx="666" formatCode="0">
                  <c:v>17600</c:v>
                </c:pt>
                <c:pt idx="667" formatCode="0">
                  <c:v>17600</c:v>
                </c:pt>
                <c:pt idx="668" formatCode="0">
                  <c:v>17600</c:v>
                </c:pt>
                <c:pt idx="669" formatCode="0">
                  <c:v>17600</c:v>
                </c:pt>
                <c:pt idx="670" formatCode="0">
                  <c:v>16250</c:v>
                </c:pt>
                <c:pt idx="671" formatCode="0">
                  <c:v>16250</c:v>
                </c:pt>
                <c:pt idx="672" formatCode="0">
                  <c:v>16250</c:v>
                </c:pt>
                <c:pt idx="673" formatCode="0">
                  <c:v>16250</c:v>
                </c:pt>
                <c:pt idx="674" formatCode="0">
                  <c:v>16250</c:v>
                </c:pt>
                <c:pt idx="675" formatCode="0">
                  <c:v>14900</c:v>
                </c:pt>
                <c:pt idx="676" formatCode="0">
                  <c:v>17400</c:v>
                </c:pt>
                <c:pt idx="677" formatCode="0">
                  <c:v>17400</c:v>
                </c:pt>
                <c:pt idx="678" formatCode="0">
                  <c:v>17400</c:v>
                </c:pt>
                <c:pt idx="679" formatCode="0">
                  <c:v>16800</c:v>
                </c:pt>
                <c:pt idx="680" formatCode="0">
                  <c:v>16800</c:v>
                </c:pt>
                <c:pt idx="681" formatCode="0">
                  <c:v>16800</c:v>
                </c:pt>
                <c:pt idx="682" formatCode="0">
                  <c:v>16800</c:v>
                </c:pt>
                <c:pt idx="683" formatCode="0">
                  <c:v>16200</c:v>
                </c:pt>
                <c:pt idx="684" formatCode="0">
                  <c:v>14702</c:v>
                </c:pt>
                <c:pt idx="685" formatCode="0">
                  <c:v>14702</c:v>
                </c:pt>
                <c:pt idx="686" formatCode="0">
                  <c:v>14702</c:v>
                </c:pt>
                <c:pt idx="687" formatCode="0">
                  <c:v>14702</c:v>
                </c:pt>
                <c:pt idx="688" formatCode="0">
                  <c:v>14102</c:v>
                </c:pt>
                <c:pt idx="689" formatCode="0">
                  <c:v>13242</c:v>
                </c:pt>
                <c:pt idx="690" formatCode="0">
                  <c:v>13242</c:v>
                </c:pt>
                <c:pt idx="691" formatCode="0">
                  <c:v>13242</c:v>
                </c:pt>
                <c:pt idx="692" formatCode="0">
                  <c:v>13042</c:v>
                </c:pt>
                <c:pt idx="693" formatCode="0">
                  <c:v>13042</c:v>
                </c:pt>
                <c:pt idx="694" formatCode="0">
                  <c:v>13042</c:v>
                </c:pt>
                <c:pt idx="695" formatCode="0">
                  <c:v>13042</c:v>
                </c:pt>
                <c:pt idx="696" formatCode="0">
                  <c:v>12842</c:v>
                </c:pt>
                <c:pt idx="697" formatCode="0">
                  <c:v>12875</c:v>
                </c:pt>
                <c:pt idx="698" formatCode="0">
                  <c:v>12875</c:v>
                </c:pt>
                <c:pt idx="699" formatCode="0">
                  <c:v>12875</c:v>
                </c:pt>
                <c:pt idx="700" formatCode="0">
                  <c:v>12875</c:v>
                </c:pt>
                <c:pt idx="701" formatCode="0">
                  <c:v>12675</c:v>
                </c:pt>
                <c:pt idx="702" formatCode="0">
                  <c:v>12535</c:v>
                </c:pt>
                <c:pt idx="703" formatCode="0">
                  <c:v>12535</c:v>
                </c:pt>
                <c:pt idx="704" formatCode="0">
                  <c:v>12535</c:v>
                </c:pt>
                <c:pt idx="705" formatCode="0">
                  <c:v>12535</c:v>
                </c:pt>
                <c:pt idx="706" formatCode="0">
                  <c:v>10585</c:v>
                </c:pt>
                <c:pt idx="707" formatCode="0">
                  <c:v>10585</c:v>
                </c:pt>
                <c:pt idx="708" formatCode="0">
                  <c:v>10585</c:v>
                </c:pt>
                <c:pt idx="709" formatCode="0">
                  <c:v>10585</c:v>
                </c:pt>
                <c:pt idx="710" formatCode="0">
                  <c:v>12050</c:v>
                </c:pt>
                <c:pt idx="711" formatCode="0">
                  <c:v>12050</c:v>
                </c:pt>
                <c:pt idx="712" formatCode="0">
                  <c:v>12050</c:v>
                </c:pt>
                <c:pt idx="713" formatCode="0">
                  <c:v>12050</c:v>
                </c:pt>
                <c:pt idx="714" formatCode="0">
                  <c:v>12050</c:v>
                </c:pt>
                <c:pt idx="715" formatCode="0">
                  <c:v>12910</c:v>
                </c:pt>
                <c:pt idx="716" formatCode="0">
                  <c:v>12910</c:v>
                </c:pt>
                <c:pt idx="717" formatCode="0">
                  <c:v>12910</c:v>
                </c:pt>
                <c:pt idx="718" formatCode="0">
                  <c:v>12910</c:v>
                </c:pt>
                <c:pt idx="719" formatCode="0">
                  <c:v>14063</c:v>
                </c:pt>
                <c:pt idx="720" formatCode="0">
                  <c:v>14063</c:v>
                </c:pt>
                <c:pt idx="721" formatCode="0">
                  <c:v>14063</c:v>
                </c:pt>
                <c:pt idx="722" formatCode="0">
                  <c:v>14063</c:v>
                </c:pt>
                <c:pt idx="723" formatCode="0">
                  <c:v>13793</c:v>
                </c:pt>
                <c:pt idx="724" formatCode="0">
                  <c:v>13793</c:v>
                </c:pt>
                <c:pt idx="725" formatCode="0">
                  <c:v>13793</c:v>
                </c:pt>
                <c:pt idx="726" formatCode="0">
                  <c:v>13793</c:v>
                </c:pt>
                <c:pt idx="727" formatCode="0">
                  <c:v>13793</c:v>
                </c:pt>
                <c:pt idx="728" formatCode="0">
                  <c:v>12602</c:v>
                </c:pt>
                <c:pt idx="729" formatCode="0">
                  <c:v>12602</c:v>
                </c:pt>
                <c:pt idx="730" formatCode="0">
                  <c:v>12602</c:v>
                </c:pt>
                <c:pt idx="731" formatCode="0">
                  <c:v>12602</c:v>
                </c:pt>
                <c:pt idx="732" formatCode="0">
                  <c:v>9992</c:v>
                </c:pt>
                <c:pt idx="733" formatCode="0">
                  <c:v>9992</c:v>
                </c:pt>
                <c:pt idx="734" formatCode="0">
                  <c:v>9992</c:v>
                </c:pt>
                <c:pt idx="735" formatCode="0">
                  <c:v>9992</c:v>
                </c:pt>
                <c:pt idx="736" formatCode="0">
                  <c:v>5545</c:v>
                </c:pt>
                <c:pt idx="737" formatCode="0">
                  <c:v>5545</c:v>
                </c:pt>
                <c:pt idx="738" formatCode="0">
                  <c:v>5545</c:v>
                </c:pt>
                <c:pt idx="739" formatCode="0">
                  <c:v>5545</c:v>
                </c:pt>
                <c:pt idx="740" formatCode="0">
                  <c:v>5545</c:v>
                </c:pt>
                <c:pt idx="741" formatCode="0">
                  <c:v>3365</c:v>
                </c:pt>
                <c:pt idx="742" formatCode="0">
                  <c:v>3365</c:v>
                </c:pt>
                <c:pt idx="743" formatCode="0">
                  <c:v>3365</c:v>
                </c:pt>
                <c:pt idx="744" formatCode="0">
                  <c:v>3365</c:v>
                </c:pt>
                <c:pt idx="745" formatCode="0">
                  <c:v>2407</c:v>
                </c:pt>
                <c:pt idx="746" formatCode="0">
                  <c:v>2407</c:v>
                </c:pt>
                <c:pt idx="747" formatCode="0">
                  <c:v>2407</c:v>
                </c:pt>
                <c:pt idx="748" formatCode="0">
                  <c:v>2407</c:v>
                </c:pt>
                <c:pt idx="749" formatCode="0">
                  <c:v>2190</c:v>
                </c:pt>
                <c:pt idx="750" formatCode="0">
                  <c:v>2190</c:v>
                </c:pt>
                <c:pt idx="751" formatCode="0">
                  <c:v>2190</c:v>
                </c:pt>
                <c:pt idx="752" formatCode="0">
                  <c:v>2190</c:v>
                </c:pt>
                <c:pt idx="753" formatCode="0">
                  <c:v>2190</c:v>
                </c:pt>
                <c:pt idx="754" formatCode="0">
                  <c:v>1195</c:v>
                </c:pt>
                <c:pt idx="755" formatCode="0">
                  <c:v>1195</c:v>
                </c:pt>
                <c:pt idx="756" formatCode="0">
                  <c:v>1195</c:v>
                </c:pt>
                <c:pt idx="757" formatCode="0">
                  <c:v>1195</c:v>
                </c:pt>
                <c:pt idx="758" formatCode="0">
                  <c:v>835</c:v>
                </c:pt>
                <c:pt idx="759" formatCode="0">
                  <c:v>5835</c:v>
                </c:pt>
                <c:pt idx="760" formatCode="0">
                  <c:v>5835</c:v>
                </c:pt>
                <c:pt idx="761" formatCode="0">
                  <c:v>5835</c:v>
                </c:pt>
                <c:pt idx="762" formatCode="0">
                  <c:v>5700</c:v>
                </c:pt>
                <c:pt idx="763" formatCode="0">
                  <c:v>9875</c:v>
                </c:pt>
                <c:pt idx="764" formatCode="0">
                  <c:v>9875</c:v>
                </c:pt>
                <c:pt idx="765" formatCode="0">
                  <c:v>9875</c:v>
                </c:pt>
                <c:pt idx="766" formatCode="0">
                  <c:v>9875</c:v>
                </c:pt>
                <c:pt idx="767" formatCode="0">
                  <c:v>11115</c:v>
                </c:pt>
                <c:pt idx="768" formatCode="0">
                  <c:v>11115</c:v>
                </c:pt>
                <c:pt idx="769" formatCode="0">
                  <c:v>11115</c:v>
                </c:pt>
                <c:pt idx="770" formatCode="0">
                  <c:v>11115</c:v>
                </c:pt>
                <c:pt idx="771" formatCode="0">
                  <c:v>11330</c:v>
                </c:pt>
                <c:pt idx="772" formatCode="0">
                  <c:v>11480</c:v>
                </c:pt>
                <c:pt idx="773" formatCode="0">
                  <c:v>11480</c:v>
                </c:pt>
                <c:pt idx="774" formatCode="0">
                  <c:v>11480</c:v>
                </c:pt>
                <c:pt idx="775" formatCode="0">
                  <c:v>11285</c:v>
                </c:pt>
                <c:pt idx="776" formatCode="0">
                  <c:v>11285</c:v>
                </c:pt>
                <c:pt idx="777" formatCode="0">
                  <c:v>11285</c:v>
                </c:pt>
                <c:pt idx="778" formatCode="0">
                  <c:v>11285</c:v>
                </c:pt>
                <c:pt idx="779" formatCode="0">
                  <c:v>11285</c:v>
                </c:pt>
                <c:pt idx="780" formatCode="0">
                  <c:v>11265</c:v>
                </c:pt>
                <c:pt idx="781" formatCode="0">
                  <c:v>11265</c:v>
                </c:pt>
                <c:pt idx="782" formatCode="0">
                  <c:v>11265</c:v>
                </c:pt>
                <c:pt idx="783" formatCode="0">
                  <c:v>11265</c:v>
                </c:pt>
                <c:pt idx="784" formatCode="0">
                  <c:v>11055</c:v>
                </c:pt>
                <c:pt idx="785" formatCode="0">
                  <c:v>6055</c:v>
                </c:pt>
                <c:pt idx="786" formatCode="0">
                  <c:v>6055</c:v>
                </c:pt>
                <c:pt idx="787" formatCode="0">
                  <c:v>6055</c:v>
                </c:pt>
                <c:pt idx="788" formatCode="0">
                  <c:v>6050</c:v>
                </c:pt>
                <c:pt idx="789" formatCode="0">
                  <c:v>1875</c:v>
                </c:pt>
                <c:pt idx="790" formatCode="0">
                  <c:v>1875</c:v>
                </c:pt>
                <c:pt idx="791" formatCode="0">
                  <c:v>1875</c:v>
                </c:pt>
                <c:pt idx="792" formatCode="0">
                  <c:v>1875</c:v>
                </c:pt>
                <c:pt idx="793" formatCode="0">
                  <c:v>2085</c:v>
                </c:pt>
                <c:pt idx="794" formatCode="0">
                  <c:v>585</c:v>
                </c:pt>
                <c:pt idx="795" formatCode="0">
                  <c:v>585</c:v>
                </c:pt>
                <c:pt idx="796" formatCode="0">
                  <c:v>585</c:v>
                </c:pt>
                <c:pt idx="797" formatCode="0">
                  <c:v>585</c:v>
                </c:pt>
                <c:pt idx="798" formatCode="0">
                  <c:v>435</c:v>
                </c:pt>
                <c:pt idx="799" formatCode="0">
                  <c:v>435</c:v>
                </c:pt>
                <c:pt idx="800" formatCode="0">
                  <c:v>435</c:v>
                </c:pt>
                <c:pt idx="801" formatCode="0">
                  <c:v>440</c:v>
                </c:pt>
                <c:pt idx="802" formatCode="0">
                  <c:v>440</c:v>
                </c:pt>
                <c:pt idx="803" formatCode="0">
                  <c:v>440</c:v>
                </c:pt>
                <c:pt idx="804" formatCode="0">
                  <c:v>440</c:v>
                </c:pt>
                <c:pt idx="805" formatCode="0">
                  <c:v>440</c:v>
                </c:pt>
                <c:pt idx="806" formatCode="0">
                  <c:v>335</c:v>
                </c:pt>
                <c:pt idx="807" formatCode="0">
                  <c:v>335</c:v>
                </c:pt>
                <c:pt idx="808" formatCode="0">
                  <c:v>335</c:v>
                </c:pt>
                <c:pt idx="809" formatCode="0">
                  <c:v>335</c:v>
                </c:pt>
                <c:pt idx="810" formatCode="0">
                  <c:v>325</c:v>
                </c:pt>
                <c:pt idx="811" formatCode="0">
                  <c:v>325</c:v>
                </c:pt>
                <c:pt idx="812" formatCode="0">
                  <c:v>325</c:v>
                </c:pt>
                <c:pt idx="813" formatCode="0">
                  <c:v>325</c:v>
                </c:pt>
                <c:pt idx="814" formatCode="0">
                  <c:v>380</c:v>
                </c:pt>
                <c:pt idx="815" formatCode="0">
                  <c:v>380</c:v>
                </c:pt>
                <c:pt idx="816" formatCode="0">
                  <c:v>380</c:v>
                </c:pt>
                <c:pt idx="817" formatCode="0">
                  <c:v>380</c:v>
                </c:pt>
                <c:pt idx="818" formatCode="0">
                  <c:v>380</c:v>
                </c:pt>
                <c:pt idx="819" formatCode="0">
                  <c:v>180</c:v>
                </c:pt>
                <c:pt idx="820" formatCode="0">
                  <c:v>180</c:v>
                </c:pt>
                <c:pt idx="821" formatCode="0">
                  <c:v>180</c:v>
                </c:pt>
                <c:pt idx="822" formatCode="0">
                  <c:v>180</c:v>
                </c:pt>
                <c:pt idx="823" formatCode="0">
                  <c:v>215</c:v>
                </c:pt>
                <c:pt idx="824" formatCode="0">
                  <c:v>215</c:v>
                </c:pt>
                <c:pt idx="825" formatCode="0">
                  <c:v>215</c:v>
                </c:pt>
                <c:pt idx="826" formatCode="0">
                  <c:v>215</c:v>
                </c:pt>
                <c:pt idx="827" formatCode="0">
                  <c:v>155</c:v>
                </c:pt>
                <c:pt idx="828" formatCode="0">
                  <c:v>155</c:v>
                </c:pt>
                <c:pt idx="829" formatCode="0">
                  <c:v>155</c:v>
                </c:pt>
                <c:pt idx="830" formatCode="0">
                  <c:v>155</c:v>
                </c:pt>
                <c:pt idx="831" formatCode="0">
                  <c:v>155</c:v>
                </c:pt>
                <c:pt idx="832" formatCode="0">
                  <c:v>105</c:v>
                </c:pt>
                <c:pt idx="833" formatCode="0">
                  <c:v>105</c:v>
                </c:pt>
                <c:pt idx="834" formatCode="0">
                  <c:v>105</c:v>
                </c:pt>
                <c:pt idx="835" formatCode="0">
                  <c:v>105</c:v>
                </c:pt>
                <c:pt idx="836" formatCode="0">
                  <c:v>125</c:v>
                </c:pt>
                <c:pt idx="837" formatCode="0">
                  <c:v>125</c:v>
                </c:pt>
                <c:pt idx="838" formatCode="0">
                  <c:v>125</c:v>
                </c:pt>
                <c:pt idx="839" formatCode="0">
                  <c:v>125</c:v>
                </c:pt>
                <c:pt idx="840" formatCode="0">
                  <c:v>325</c:v>
                </c:pt>
                <c:pt idx="841" formatCode="0">
                  <c:v>325</c:v>
                </c:pt>
                <c:pt idx="842" formatCode="0">
                  <c:v>325</c:v>
                </c:pt>
                <c:pt idx="843" formatCode="0">
                  <c:v>325</c:v>
                </c:pt>
                <c:pt idx="844" formatCode="0">
                  <c:v>325</c:v>
                </c:pt>
                <c:pt idx="845" formatCode="0">
                  <c:v>1165</c:v>
                </c:pt>
                <c:pt idx="846" formatCode="0">
                  <c:v>1165</c:v>
                </c:pt>
                <c:pt idx="847" formatCode="0">
                  <c:v>1165</c:v>
                </c:pt>
                <c:pt idx="848" formatCode="0">
                  <c:v>1165</c:v>
                </c:pt>
                <c:pt idx="849" formatCode="0">
                  <c:v>1313</c:v>
                </c:pt>
                <c:pt idx="850" formatCode="0">
                  <c:v>1313</c:v>
                </c:pt>
                <c:pt idx="851" formatCode="0">
                  <c:v>1313</c:v>
                </c:pt>
                <c:pt idx="852" formatCode="0">
                  <c:v>1313</c:v>
                </c:pt>
                <c:pt idx="853" formatCode="0">
                  <c:v>1313</c:v>
                </c:pt>
                <c:pt idx="854" formatCode="0">
                  <c:v>1313</c:v>
                </c:pt>
                <c:pt idx="855" formatCode="0">
                  <c:v>1313</c:v>
                </c:pt>
                <c:pt idx="856" formatCode="0">
                  <c:v>1313</c:v>
                </c:pt>
                <c:pt idx="857" formatCode="0">
                  <c:v>1313</c:v>
                </c:pt>
                <c:pt idx="858" formatCode="0">
                  <c:v>1473</c:v>
                </c:pt>
                <c:pt idx="859" formatCode="0">
                  <c:v>1473</c:v>
                </c:pt>
                <c:pt idx="860" formatCode="0">
                  <c:v>1473</c:v>
                </c:pt>
                <c:pt idx="861" formatCode="0">
                  <c:v>1473</c:v>
                </c:pt>
                <c:pt idx="862" formatCode="0">
                  <c:v>1908</c:v>
                </c:pt>
                <c:pt idx="863" formatCode="0">
                  <c:v>1908</c:v>
                </c:pt>
                <c:pt idx="864" formatCode="0">
                  <c:v>1908</c:v>
                </c:pt>
                <c:pt idx="865" formatCode="0">
                  <c:v>1908</c:v>
                </c:pt>
                <c:pt idx="866" formatCode="0">
                  <c:v>2127</c:v>
                </c:pt>
                <c:pt idx="867" formatCode="0">
                  <c:v>2127</c:v>
                </c:pt>
                <c:pt idx="868" formatCode="0">
                  <c:v>2127</c:v>
                </c:pt>
                <c:pt idx="869" formatCode="0">
                  <c:v>2127</c:v>
                </c:pt>
                <c:pt idx="870" formatCode="0">
                  <c:v>2127</c:v>
                </c:pt>
                <c:pt idx="871" formatCode="0">
                  <c:v>1562</c:v>
                </c:pt>
                <c:pt idx="872" formatCode="0">
                  <c:v>1562</c:v>
                </c:pt>
                <c:pt idx="873" formatCode="0">
                  <c:v>1562</c:v>
                </c:pt>
                <c:pt idx="874" formatCode="0">
                  <c:v>1562</c:v>
                </c:pt>
                <c:pt idx="875" formatCode="0">
                  <c:v>1658</c:v>
                </c:pt>
                <c:pt idx="876" formatCode="0">
                  <c:v>1658</c:v>
                </c:pt>
                <c:pt idx="877" formatCode="0">
                  <c:v>1658</c:v>
                </c:pt>
                <c:pt idx="878" formatCode="0">
                  <c:v>1658</c:v>
                </c:pt>
                <c:pt idx="879" formatCode="0">
                  <c:v>1746</c:v>
                </c:pt>
                <c:pt idx="880" formatCode="0">
                  <c:v>1746</c:v>
                </c:pt>
                <c:pt idx="881" formatCode="0">
                  <c:v>1746</c:v>
                </c:pt>
                <c:pt idx="882" formatCode="0">
                  <c:v>1746</c:v>
                </c:pt>
                <c:pt idx="883" formatCode="0">
                  <c:v>1746</c:v>
                </c:pt>
                <c:pt idx="884" formatCode="0">
                  <c:v>1903</c:v>
                </c:pt>
                <c:pt idx="885" formatCode="0">
                  <c:v>1903</c:v>
                </c:pt>
                <c:pt idx="886" formatCode="0">
                  <c:v>1903</c:v>
                </c:pt>
                <c:pt idx="887" formatCode="0">
                  <c:v>1903</c:v>
                </c:pt>
                <c:pt idx="888" formatCode="0">
                  <c:v>2298</c:v>
                </c:pt>
                <c:pt idx="889" formatCode="0">
                  <c:v>2298</c:v>
                </c:pt>
                <c:pt idx="890" formatCode="0">
                  <c:v>2298</c:v>
                </c:pt>
                <c:pt idx="891" formatCode="0">
                  <c:v>2298</c:v>
                </c:pt>
                <c:pt idx="892" formatCode="0">
                  <c:v>2339</c:v>
                </c:pt>
                <c:pt idx="893" formatCode="0">
                  <c:v>2339</c:v>
                </c:pt>
                <c:pt idx="894" formatCode="0">
                  <c:v>2339</c:v>
                </c:pt>
                <c:pt idx="895" formatCode="0">
                  <c:v>2339</c:v>
                </c:pt>
                <c:pt idx="896" formatCode="0">
                  <c:v>2339</c:v>
                </c:pt>
                <c:pt idx="897" formatCode="0">
                  <c:v>2994</c:v>
                </c:pt>
                <c:pt idx="898" formatCode="0">
                  <c:v>2994</c:v>
                </c:pt>
                <c:pt idx="899" formatCode="0">
                  <c:v>2994</c:v>
                </c:pt>
                <c:pt idx="900" formatCode="0">
                  <c:v>2994</c:v>
                </c:pt>
                <c:pt idx="901" formatCode="0">
                  <c:v>5180</c:v>
                </c:pt>
                <c:pt idx="902" formatCode="0">
                  <c:v>5180</c:v>
                </c:pt>
                <c:pt idx="903" formatCode="0">
                  <c:v>5180</c:v>
                </c:pt>
                <c:pt idx="904" formatCode="0">
                  <c:v>5180</c:v>
                </c:pt>
                <c:pt idx="905" formatCode="0">
                  <c:v>8412</c:v>
                </c:pt>
                <c:pt idx="906" formatCode="0">
                  <c:v>8412</c:v>
                </c:pt>
                <c:pt idx="907" formatCode="0">
                  <c:v>8412</c:v>
                </c:pt>
                <c:pt idx="908" formatCode="0">
                  <c:v>8412</c:v>
                </c:pt>
                <c:pt idx="909" formatCode="0">
                  <c:v>8412</c:v>
                </c:pt>
                <c:pt idx="910" formatCode="0">
                  <c:v>12565</c:v>
                </c:pt>
                <c:pt idx="911" formatCode="0">
                  <c:v>12565</c:v>
                </c:pt>
                <c:pt idx="912" formatCode="0">
                  <c:v>12565</c:v>
                </c:pt>
                <c:pt idx="913" formatCode="0">
                  <c:v>12565</c:v>
                </c:pt>
                <c:pt idx="914" formatCode="0">
                  <c:v>13372</c:v>
                </c:pt>
                <c:pt idx="915" formatCode="0">
                  <c:v>13372</c:v>
                </c:pt>
                <c:pt idx="916" formatCode="0">
                  <c:v>13372</c:v>
                </c:pt>
                <c:pt idx="917" formatCode="0">
                  <c:v>13372</c:v>
                </c:pt>
                <c:pt idx="918" formatCode="0">
                  <c:v>15427</c:v>
                </c:pt>
                <c:pt idx="919" formatCode="0">
                  <c:v>15427</c:v>
                </c:pt>
                <c:pt idx="920" formatCode="0">
                  <c:v>15427</c:v>
                </c:pt>
                <c:pt idx="921" formatCode="0">
                  <c:v>15427</c:v>
                </c:pt>
                <c:pt idx="922" formatCode="0">
                  <c:v>15427</c:v>
                </c:pt>
                <c:pt idx="923" formatCode="0">
                  <c:v>16562</c:v>
                </c:pt>
                <c:pt idx="924" formatCode="0">
                  <c:v>16562</c:v>
                </c:pt>
                <c:pt idx="925" formatCode="0">
                  <c:v>16562</c:v>
                </c:pt>
                <c:pt idx="926" formatCode="0">
                  <c:v>16562</c:v>
                </c:pt>
                <c:pt idx="927" formatCode="0">
                  <c:v>15272</c:v>
                </c:pt>
                <c:pt idx="928" formatCode="0">
                  <c:v>15272</c:v>
                </c:pt>
                <c:pt idx="929" formatCode="0">
                  <c:v>15272</c:v>
                </c:pt>
                <c:pt idx="930" formatCode="0">
                  <c:v>15272</c:v>
                </c:pt>
                <c:pt idx="931" formatCode="0">
                  <c:v>14042</c:v>
                </c:pt>
                <c:pt idx="932" formatCode="0">
                  <c:v>14042</c:v>
                </c:pt>
                <c:pt idx="933" formatCode="0">
                  <c:v>14042</c:v>
                </c:pt>
                <c:pt idx="934" formatCode="0">
                  <c:v>14042</c:v>
                </c:pt>
                <c:pt idx="935" formatCode="0">
                  <c:v>14042</c:v>
                </c:pt>
                <c:pt idx="936" formatCode="0">
                  <c:v>13492</c:v>
                </c:pt>
                <c:pt idx="937" formatCode="0">
                  <c:v>13492</c:v>
                </c:pt>
                <c:pt idx="938" formatCode="0">
                  <c:v>13492</c:v>
                </c:pt>
                <c:pt idx="939" formatCode="0">
                  <c:v>13492</c:v>
                </c:pt>
                <c:pt idx="940" formatCode="0">
                  <c:v>15455</c:v>
                </c:pt>
                <c:pt idx="941" formatCode="0">
                  <c:v>15455</c:v>
                </c:pt>
                <c:pt idx="942" formatCode="0">
                  <c:v>15455</c:v>
                </c:pt>
                <c:pt idx="943" formatCode="0">
                  <c:v>15455</c:v>
                </c:pt>
                <c:pt idx="944" formatCode="0">
                  <c:v>16261</c:v>
                </c:pt>
                <c:pt idx="945" formatCode="0">
                  <c:v>16261</c:v>
                </c:pt>
                <c:pt idx="946" formatCode="0">
                  <c:v>16261</c:v>
                </c:pt>
                <c:pt idx="947" formatCode="0">
                  <c:v>16261</c:v>
                </c:pt>
                <c:pt idx="948" formatCode="0">
                  <c:v>16261</c:v>
                </c:pt>
                <c:pt idx="949" formatCode="0">
                  <c:v>15522</c:v>
                </c:pt>
                <c:pt idx="950" formatCode="0">
                  <c:v>15522</c:v>
                </c:pt>
                <c:pt idx="951" formatCode="0">
                  <c:v>15522</c:v>
                </c:pt>
                <c:pt idx="952" formatCode="0">
                  <c:v>15522</c:v>
                </c:pt>
                <c:pt idx="953" formatCode="0">
                  <c:v>18657</c:v>
                </c:pt>
                <c:pt idx="954" formatCode="0">
                  <c:v>18657</c:v>
                </c:pt>
                <c:pt idx="955" formatCode="0">
                  <c:v>18657</c:v>
                </c:pt>
                <c:pt idx="956" formatCode="0">
                  <c:v>18657</c:v>
                </c:pt>
                <c:pt idx="957" formatCode="0">
                  <c:v>18869</c:v>
                </c:pt>
                <c:pt idx="958" formatCode="0">
                  <c:v>18869</c:v>
                </c:pt>
                <c:pt idx="959" formatCode="0">
                  <c:v>18869</c:v>
                </c:pt>
                <c:pt idx="960" formatCode="0">
                  <c:v>18869</c:v>
                </c:pt>
                <c:pt idx="961" formatCode="0">
                  <c:v>18869</c:v>
                </c:pt>
                <c:pt idx="962" formatCode="0">
                  <c:v>18015</c:v>
                </c:pt>
                <c:pt idx="963" formatCode="0">
                  <c:v>18015</c:v>
                </c:pt>
                <c:pt idx="964" formatCode="0">
                  <c:v>18015</c:v>
                </c:pt>
                <c:pt idx="965" formatCode="0">
                  <c:v>18015</c:v>
                </c:pt>
                <c:pt idx="966" formatCode="0">
                  <c:v>17670</c:v>
                </c:pt>
                <c:pt idx="967" formatCode="0">
                  <c:v>20125</c:v>
                </c:pt>
                <c:pt idx="968" formatCode="0">
                  <c:v>20495</c:v>
                </c:pt>
                <c:pt idx="969" formatCode="0">
                  <c:v>23567</c:v>
                </c:pt>
                <c:pt idx="970" formatCode="0">
                  <c:v>21796</c:v>
                </c:pt>
                <c:pt idx="971" formatCode="0">
                  <c:v>23801</c:v>
                </c:pt>
                <c:pt idx="972" formatCode="0">
                  <c:v>24051</c:v>
                </c:pt>
                <c:pt idx="973" formatCode="0">
                  <c:v>24126</c:v>
                </c:pt>
                <c:pt idx="974" formatCode="0">
                  <c:v>24326</c:v>
                </c:pt>
                <c:pt idx="975" formatCode="0">
                  <c:v>23374</c:v>
                </c:pt>
                <c:pt idx="976" formatCode="0">
                  <c:v>23599</c:v>
                </c:pt>
                <c:pt idx="977" formatCode="0">
                  <c:v>24229</c:v>
                </c:pt>
                <c:pt idx="978" formatCode="0">
                  <c:v>24229</c:v>
                </c:pt>
                <c:pt idx="979" formatCode="0">
                  <c:v>20209</c:v>
                </c:pt>
                <c:pt idx="980" formatCode="0">
                  <c:v>20279</c:v>
                </c:pt>
                <c:pt idx="981" formatCode="0">
                  <c:v>20364</c:v>
                </c:pt>
                <c:pt idx="982" formatCode="0">
                  <c:v>20534</c:v>
                </c:pt>
                <c:pt idx="983" formatCode="0">
                  <c:v>18297</c:v>
                </c:pt>
                <c:pt idx="984" formatCode="0">
                  <c:v>18297</c:v>
                </c:pt>
                <c:pt idx="985" formatCode="0">
                  <c:v>18297</c:v>
                </c:pt>
                <c:pt idx="986" formatCode="0">
                  <c:v>18297</c:v>
                </c:pt>
                <c:pt idx="987" formatCode="0">
                  <c:v>18297</c:v>
                </c:pt>
                <c:pt idx="988" formatCode="0">
                  <c:v>16566</c:v>
                </c:pt>
                <c:pt idx="989" formatCode="0">
                  <c:v>16566</c:v>
                </c:pt>
                <c:pt idx="990" formatCode="0">
                  <c:v>16566</c:v>
                </c:pt>
                <c:pt idx="991" formatCode="0">
                  <c:v>16566</c:v>
                </c:pt>
                <c:pt idx="992" formatCode="0">
                  <c:v>10879</c:v>
                </c:pt>
                <c:pt idx="993" formatCode="0">
                  <c:v>10879</c:v>
                </c:pt>
                <c:pt idx="994" formatCode="0">
                  <c:v>10879</c:v>
                </c:pt>
                <c:pt idx="995" formatCode="0">
                  <c:v>10879</c:v>
                </c:pt>
                <c:pt idx="996" formatCode="0">
                  <c:v>9219</c:v>
                </c:pt>
                <c:pt idx="997" formatCode="0">
                  <c:v>9219</c:v>
                </c:pt>
                <c:pt idx="998" formatCode="0">
                  <c:v>9219</c:v>
                </c:pt>
                <c:pt idx="999" formatCode="0">
                  <c:v>9219</c:v>
                </c:pt>
                <c:pt idx="1000" formatCode="0">
                  <c:v>9219</c:v>
                </c:pt>
                <c:pt idx="1001" formatCode="0">
                  <c:v>9355</c:v>
                </c:pt>
                <c:pt idx="1002" formatCode="0">
                  <c:v>9355</c:v>
                </c:pt>
                <c:pt idx="1003" formatCode="0">
                  <c:v>9355</c:v>
                </c:pt>
                <c:pt idx="1004" formatCode="0">
                  <c:v>9355</c:v>
                </c:pt>
                <c:pt idx="1005" formatCode="0">
                  <c:v>11320</c:v>
                </c:pt>
                <c:pt idx="1006" formatCode="0">
                  <c:v>11320</c:v>
                </c:pt>
                <c:pt idx="1007" formatCode="0">
                  <c:v>11320</c:v>
                </c:pt>
                <c:pt idx="1008" formatCode="0">
                  <c:v>11320</c:v>
                </c:pt>
                <c:pt idx="1009" formatCode="0">
                  <c:v>12575</c:v>
                </c:pt>
                <c:pt idx="1010" formatCode="0">
                  <c:v>12575</c:v>
                </c:pt>
                <c:pt idx="1011" formatCode="0">
                  <c:v>12575</c:v>
                </c:pt>
                <c:pt idx="1012" formatCode="0">
                  <c:v>12575</c:v>
                </c:pt>
                <c:pt idx="1013" formatCode="0">
                  <c:v>12575</c:v>
                </c:pt>
                <c:pt idx="1014" formatCode="0">
                  <c:v>13385</c:v>
                </c:pt>
                <c:pt idx="1015" formatCode="0">
                  <c:v>13385</c:v>
                </c:pt>
                <c:pt idx="1016" formatCode="0">
                  <c:v>13385</c:v>
                </c:pt>
                <c:pt idx="1017" formatCode="0">
                  <c:v>13385</c:v>
                </c:pt>
                <c:pt idx="1018" formatCode="0">
                  <c:v>11210</c:v>
                </c:pt>
                <c:pt idx="1019" formatCode="0">
                  <c:v>11210</c:v>
                </c:pt>
                <c:pt idx="1020" formatCode="0">
                  <c:v>11210</c:v>
                </c:pt>
                <c:pt idx="1021" formatCode="0">
                  <c:v>11210</c:v>
                </c:pt>
                <c:pt idx="1022" formatCode="0">
                  <c:v>9557</c:v>
                </c:pt>
                <c:pt idx="1023" formatCode="0">
                  <c:v>9557</c:v>
                </c:pt>
                <c:pt idx="1024" formatCode="0">
                  <c:v>9557</c:v>
                </c:pt>
                <c:pt idx="1025" formatCode="0">
                  <c:v>9557</c:v>
                </c:pt>
                <c:pt idx="1026" formatCode="0">
                  <c:v>9557</c:v>
                </c:pt>
                <c:pt idx="1027" formatCode="0">
                  <c:v>8777</c:v>
                </c:pt>
                <c:pt idx="1028" formatCode="0">
                  <c:v>8777</c:v>
                </c:pt>
                <c:pt idx="1029" formatCode="0">
                  <c:v>8777</c:v>
                </c:pt>
                <c:pt idx="1030" formatCode="0">
                  <c:v>8777</c:v>
                </c:pt>
                <c:pt idx="1031" formatCode="0">
                  <c:v>6572</c:v>
                </c:pt>
                <c:pt idx="1032" formatCode="0">
                  <c:v>6572</c:v>
                </c:pt>
                <c:pt idx="1033" formatCode="0">
                  <c:v>6572</c:v>
                </c:pt>
                <c:pt idx="1034" formatCode="0">
                  <c:v>6572</c:v>
                </c:pt>
                <c:pt idx="1035" formatCode="0">
                  <c:v>6067</c:v>
                </c:pt>
                <c:pt idx="1036" formatCode="0">
                  <c:v>6067</c:v>
                </c:pt>
                <c:pt idx="1037" formatCode="0">
                  <c:v>6067</c:v>
                </c:pt>
                <c:pt idx="1038" formatCode="0">
                  <c:v>6067</c:v>
                </c:pt>
                <c:pt idx="1039" formatCode="0">
                  <c:v>6067</c:v>
                </c:pt>
                <c:pt idx="1040" formatCode="0">
                  <c:v>4072</c:v>
                </c:pt>
                <c:pt idx="1041" formatCode="0">
                  <c:v>4072</c:v>
                </c:pt>
                <c:pt idx="1042" formatCode="0">
                  <c:v>4072</c:v>
                </c:pt>
                <c:pt idx="1043" formatCode="0">
                  <c:v>4072</c:v>
                </c:pt>
                <c:pt idx="1044" formatCode="0">
                  <c:v>4417</c:v>
                </c:pt>
                <c:pt idx="1045" formatCode="0">
                  <c:v>4417</c:v>
                </c:pt>
                <c:pt idx="1046" formatCode="0">
                  <c:v>4417</c:v>
                </c:pt>
                <c:pt idx="1047" formatCode="0">
                  <c:v>4417</c:v>
                </c:pt>
                <c:pt idx="1048" formatCode="0">
                  <c:v>4417</c:v>
                </c:pt>
                <c:pt idx="1049" formatCode="0">
                  <c:v>4660</c:v>
                </c:pt>
                <c:pt idx="1050" formatCode="0">
                  <c:v>4660</c:v>
                </c:pt>
                <c:pt idx="1051" formatCode="0">
                  <c:v>4660</c:v>
                </c:pt>
                <c:pt idx="1052" formatCode="0">
                  <c:v>4660</c:v>
                </c:pt>
                <c:pt idx="1053" formatCode="0">
                  <c:v>4115</c:v>
                </c:pt>
                <c:pt idx="1054" formatCode="0">
                  <c:v>4115</c:v>
                </c:pt>
                <c:pt idx="1055" formatCode="0">
                  <c:v>4115</c:v>
                </c:pt>
                <c:pt idx="1056" formatCode="0">
                  <c:v>4115</c:v>
                </c:pt>
                <c:pt idx="1057" formatCode="0">
                  <c:v>4077</c:v>
                </c:pt>
                <c:pt idx="1058" formatCode="0">
                  <c:v>4077</c:v>
                </c:pt>
                <c:pt idx="1059" formatCode="0">
                  <c:v>4077</c:v>
                </c:pt>
                <c:pt idx="1060" formatCode="0">
                  <c:v>4077</c:v>
                </c:pt>
                <c:pt idx="1061" formatCode="0">
                  <c:v>4287</c:v>
                </c:pt>
                <c:pt idx="1062" formatCode="0">
                  <c:v>4287</c:v>
                </c:pt>
                <c:pt idx="1063" formatCode="0">
                  <c:v>4287</c:v>
                </c:pt>
                <c:pt idx="1064" formatCode="0">
                  <c:v>4287</c:v>
                </c:pt>
                <c:pt idx="1065" formatCode="0">
                  <c:v>4287</c:v>
                </c:pt>
                <c:pt idx="1066" formatCode="0">
                  <c:v>5062</c:v>
                </c:pt>
                <c:pt idx="1067" formatCode="0">
                  <c:v>5062</c:v>
                </c:pt>
                <c:pt idx="1068" formatCode="0">
                  <c:v>5062</c:v>
                </c:pt>
                <c:pt idx="1069" formatCode="0">
                  <c:v>5062</c:v>
                </c:pt>
                <c:pt idx="1070" formatCode="0">
                  <c:v>4177</c:v>
                </c:pt>
                <c:pt idx="1071" formatCode="0">
                  <c:v>4177</c:v>
                </c:pt>
                <c:pt idx="1072" formatCode="0">
                  <c:v>4177</c:v>
                </c:pt>
                <c:pt idx="1073" formatCode="0">
                  <c:v>4177</c:v>
                </c:pt>
                <c:pt idx="1074" formatCode="0">
                  <c:v>4177</c:v>
                </c:pt>
                <c:pt idx="1075" formatCode="0">
                  <c:v>4157</c:v>
                </c:pt>
                <c:pt idx="1076" formatCode="0">
                  <c:v>4157</c:v>
                </c:pt>
                <c:pt idx="1077" formatCode="0">
                  <c:v>4157</c:v>
                </c:pt>
                <c:pt idx="1078" formatCode="0">
                  <c:v>4157</c:v>
                </c:pt>
                <c:pt idx="1079" formatCode="0">
                  <c:v>5480</c:v>
                </c:pt>
                <c:pt idx="1080" formatCode="0">
                  <c:v>5480</c:v>
                </c:pt>
                <c:pt idx="1081" formatCode="0">
                  <c:v>5480</c:v>
                </c:pt>
                <c:pt idx="1082" formatCode="0">
                  <c:v>5480</c:v>
                </c:pt>
                <c:pt idx="1083" formatCode="0">
                  <c:v>5908</c:v>
                </c:pt>
                <c:pt idx="1084" formatCode="0">
                  <c:v>5908</c:v>
                </c:pt>
                <c:pt idx="1085" formatCode="0">
                  <c:v>5908</c:v>
                </c:pt>
                <c:pt idx="1086" formatCode="0">
                  <c:v>5908</c:v>
                </c:pt>
                <c:pt idx="1087" formatCode="0">
                  <c:v>5428</c:v>
                </c:pt>
                <c:pt idx="1088" formatCode="0">
                  <c:v>5428</c:v>
                </c:pt>
                <c:pt idx="1089" formatCode="0">
                  <c:v>5428</c:v>
                </c:pt>
                <c:pt idx="1090" formatCode="0">
                  <c:v>5428</c:v>
                </c:pt>
                <c:pt idx="1091" formatCode="0">
                  <c:v>5428</c:v>
                </c:pt>
                <c:pt idx="1092" formatCode="0">
                  <c:v>5830</c:v>
                </c:pt>
                <c:pt idx="1093" formatCode="0">
                  <c:v>5830</c:v>
                </c:pt>
                <c:pt idx="1094" formatCode="0">
                  <c:v>5830</c:v>
                </c:pt>
                <c:pt idx="1095" formatCode="0">
                  <c:v>5830</c:v>
                </c:pt>
                <c:pt idx="1096" formatCode="0">
                  <c:v>7164</c:v>
                </c:pt>
                <c:pt idx="1097" formatCode="0">
                  <c:v>7164</c:v>
                </c:pt>
                <c:pt idx="1098" formatCode="0">
                  <c:v>7164</c:v>
                </c:pt>
                <c:pt idx="1099" formatCode="0">
                  <c:v>7164</c:v>
                </c:pt>
                <c:pt idx="1100" formatCode="0">
                  <c:v>7164</c:v>
                </c:pt>
                <c:pt idx="1101" formatCode="0">
                  <c:v>8134</c:v>
                </c:pt>
                <c:pt idx="1102" formatCode="0">
                  <c:v>8134</c:v>
                </c:pt>
                <c:pt idx="1103" formatCode="0">
                  <c:v>8134</c:v>
                </c:pt>
                <c:pt idx="1104" formatCode="0">
                  <c:v>8134</c:v>
                </c:pt>
                <c:pt idx="1105" formatCode="0">
                  <c:v>9631</c:v>
                </c:pt>
                <c:pt idx="1106" formatCode="0">
                  <c:v>9631</c:v>
                </c:pt>
                <c:pt idx="1107" formatCode="0">
                  <c:v>9631</c:v>
                </c:pt>
                <c:pt idx="1108" formatCode="0">
                  <c:v>9631</c:v>
                </c:pt>
                <c:pt idx="1109" formatCode="0">
                  <c:v>11511</c:v>
                </c:pt>
                <c:pt idx="1110" formatCode="0">
                  <c:v>11916</c:v>
                </c:pt>
                <c:pt idx="1111" formatCode="0">
                  <c:v>12086</c:v>
                </c:pt>
                <c:pt idx="1112" formatCode="0">
                  <c:v>12561</c:v>
                </c:pt>
                <c:pt idx="1113" formatCode="0">
                  <c:v>12611</c:v>
                </c:pt>
                <c:pt idx="1114" formatCode="0">
                  <c:v>12841</c:v>
                </c:pt>
                <c:pt idx="1115" formatCode="0">
                  <c:v>12903</c:v>
                </c:pt>
                <c:pt idx="1116" formatCode="0">
                  <c:v>12943</c:v>
                </c:pt>
                <c:pt idx="1117" formatCode="0">
                  <c:v>12963</c:v>
                </c:pt>
                <c:pt idx="1118" formatCode="0">
                  <c:v>12816</c:v>
                </c:pt>
                <c:pt idx="1119" formatCode="0">
                  <c:v>13571</c:v>
                </c:pt>
                <c:pt idx="1120" formatCode="0">
                  <c:v>13571</c:v>
                </c:pt>
                <c:pt idx="1121" formatCode="0">
                  <c:v>13646</c:v>
                </c:pt>
                <c:pt idx="1122" formatCode="0">
                  <c:v>12823</c:v>
                </c:pt>
                <c:pt idx="1123" formatCode="0">
                  <c:v>13128</c:v>
                </c:pt>
                <c:pt idx="1124" formatCode="0">
                  <c:v>13228</c:v>
                </c:pt>
                <c:pt idx="1125" formatCode="0">
                  <c:v>12528</c:v>
                </c:pt>
                <c:pt idx="1126" formatCode="0">
                  <c:v>12778</c:v>
                </c:pt>
                <c:pt idx="1127" formatCode="0">
                  <c:v>11858</c:v>
                </c:pt>
                <c:pt idx="1128" formatCode="0">
                  <c:v>13438</c:v>
                </c:pt>
                <c:pt idx="1129" formatCode="0">
                  <c:v>13538</c:v>
                </c:pt>
                <c:pt idx="1130" formatCode="0">
                  <c:v>13823</c:v>
                </c:pt>
                <c:pt idx="1131" formatCode="0">
                  <c:v>11743</c:v>
                </c:pt>
                <c:pt idx="1132" formatCode="0">
                  <c:v>11768</c:v>
                </c:pt>
                <c:pt idx="1133" formatCode="0">
                  <c:v>11873</c:v>
                </c:pt>
                <c:pt idx="1134" formatCode="0">
                  <c:v>11893</c:v>
                </c:pt>
                <c:pt idx="1135" formatCode="0">
                  <c:v>8892</c:v>
                </c:pt>
                <c:pt idx="1136" formatCode="0">
                  <c:v>8917</c:v>
                </c:pt>
                <c:pt idx="1137" formatCode="0">
                  <c:v>8917</c:v>
                </c:pt>
                <c:pt idx="1138" formatCode="0">
                  <c:v>8997</c:v>
                </c:pt>
                <c:pt idx="1139" formatCode="0">
                  <c:v>8673</c:v>
                </c:pt>
                <c:pt idx="1140" formatCode="0">
                  <c:v>9033</c:v>
                </c:pt>
                <c:pt idx="1141" formatCode="0">
                  <c:v>9398</c:v>
                </c:pt>
                <c:pt idx="1142" formatCode="0">
                  <c:v>10038</c:v>
                </c:pt>
                <c:pt idx="1143" formatCode="0">
                  <c:v>10188</c:v>
                </c:pt>
                <c:pt idx="1144" formatCode="0">
                  <c:v>9093</c:v>
                </c:pt>
                <c:pt idx="1145" formatCode="0">
                  <c:v>9093</c:v>
                </c:pt>
                <c:pt idx="1146" formatCode="0">
                  <c:v>9093</c:v>
                </c:pt>
                <c:pt idx="1147" formatCode="0">
                  <c:v>9703</c:v>
                </c:pt>
                <c:pt idx="1148" formatCode="0">
                  <c:v>7932</c:v>
                </c:pt>
                <c:pt idx="1149" formatCode="0">
                  <c:v>8472</c:v>
                </c:pt>
                <c:pt idx="1150" formatCode="0">
                  <c:v>8502</c:v>
                </c:pt>
                <c:pt idx="1151" formatCode="0">
                  <c:v>8502</c:v>
                </c:pt>
                <c:pt idx="1152" formatCode="0">
                  <c:v>8502</c:v>
                </c:pt>
                <c:pt idx="1153" formatCode="0">
                  <c:v>7442</c:v>
                </c:pt>
                <c:pt idx="1154" formatCode="0">
                  <c:v>7992</c:v>
                </c:pt>
                <c:pt idx="1155" formatCode="0">
                  <c:v>8252</c:v>
                </c:pt>
                <c:pt idx="1156" formatCode="0">
                  <c:v>8357</c:v>
                </c:pt>
                <c:pt idx="1157" formatCode="0">
                  <c:v>8137</c:v>
                </c:pt>
                <c:pt idx="1158" formatCode="0">
                  <c:v>8147</c:v>
                </c:pt>
                <c:pt idx="1159" formatCode="0">
                  <c:v>8172</c:v>
                </c:pt>
                <c:pt idx="1160" formatCode="0">
                  <c:v>8192</c:v>
                </c:pt>
                <c:pt idx="1161" formatCode="0">
                  <c:v>8298</c:v>
                </c:pt>
                <c:pt idx="1162" formatCode="0">
                  <c:v>10858</c:v>
                </c:pt>
                <c:pt idx="1163" formatCode="0">
                  <c:v>14537</c:v>
                </c:pt>
                <c:pt idx="1164" formatCode="0">
                  <c:v>32867</c:v>
                </c:pt>
                <c:pt idx="1165" formatCode="0">
                  <c:v>36367</c:v>
                </c:pt>
                <c:pt idx="1166" formatCode="0">
                  <c:v>36654</c:v>
                </c:pt>
                <c:pt idx="1167" formatCode="0">
                  <c:v>32354</c:v>
                </c:pt>
                <c:pt idx="1168" formatCode="0">
                  <c:v>33579</c:v>
                </c:pt>
                <c:pt idx="1169" formatCode="0">
                  <c:v>33839</c:v>
                </c:pt>
                <c:pt idx="1170" formatCode="0">
                  <c:v>33864</c:v>
                </c:pt>
                <c:pt idx="1171" formatCode="0">
                  <c:v>34064</c:v>
                </c:pt>
                <c:pt idx="1172" formatCode="0">
                  <c:v>34254</c:v>
                </c:pt>
                <c:pt idx="1173" formatCode="0">
                  <c:v>34259</c:v>
                </c:pt>
                <c:pt idx="1174" formatCode="0">
                  <c:v>33929</c:v>
                </c:pt>
                <c:pt idx="1175" formatCode="0">
                  <c:v>34184</c:v>
                </c:pt>
                <c:pt idx="1176" formatCode="0">
                  <c:v>34199</c:v>
                </c:pt>
                <c:pt idx="1177" formatCode="0">
                  <c:v>29334</c:v>
                </c:pt>
                <c:pt idx="1178" formatCode="0">
                  <c:v>29084</c:v>
                </c:pt>
                <c:pt idx="1179" formatCode="0">
                  <c:v>26579</c:v>
                </c:pt>
                <c:pt idx="1180" formatCode="0">
                  <c:v>26579</c:v>
                </c:pt>
                <c:pt idx="1181" formatCode="0">
                  <c:v>26454</c:v>
                </c:pt>
                <c:pt idx="1182" formatCode="0">
                  <c:v>26454</c:v>
                </c:pt>
                <c:pt idx="1183" formatCode="0">
                  <c:v>25469</c:v>
                </c:pt>
                <c:pt idx="1184" formatCode="0">
                  <c:v>25519</c:v>
                </c:pt>
                <c:pt idx="1185" formatCode="0">
                  <c:v>25634</c:v>
                </c:pt>
                <c:pt idx="1186" formatCode="0">
                  <c:v>25959</c:v>
                </c:pt>
                <c:pt idx="1187" formatCode="0">
                  <c:v>9660</c:v>
                </c:pt>
                <c:pt idx="1188" formatCode="0">
                  <c:v>9675</c:v>
                </c:pt>
                <c:pt idx="1189" formatCode="0">
                  <c:v>9750</c:v>
                </c:pt>
                <c:pt idx="1190" formatCode="0">
                  <c:v>9855</c:v>
                </c:pt>
                <c:pt idx="1191" formatCode="0">
                  <c:v>9880</c:v>
                </c:pt>
                <c:pt idx="1192" formatCode="0">
                  <c:v>5905</c:v>
                </c:pt>
                <c:pt idx="1193" formatCode="0">
                  <c:v>5905</c:v>
                </c:pt>
                <c:pt idx="1194" formatCode="0">
                  <c:v>5905</c:v>
                </c:pt>
                <c:pt idx="1195" formatCode="0">
                  <c:v>5910</c:v>
                </c:pt>
                <c:pt idx="1196" formatCode="0">
                  <c:v>5860</c:v>
                </c:pt>
                <c:pt idx="1197" formatCode="0">
                  <c:v>5860</c:v>
                </c:pt>
                <c:pt idx="1198" formatCode="0">
                  <c:v>5860</c:v>
                </c:pt>
                <c:pt idx="1199" formatCode="0">
                  <c:v>5873</c:v>
                </c:pt>
                <c:pt idx="1200" formatCode="0">
                  <c:v>4683</c:v>
                </c:pt>
                <c:pt idx="1201" formatCode="0">
                  <c:v>4688</c:v>
                </c:pt>
                <c:pt idx="1202" formatCode="0">
                  <c:v>4698</c:v>
                </c:pt>
                <c:pt idx="1203" formatCode="0">
                  <c:v>4698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8E-9645-926E-3830DABCE972}"/>
            </c:ext>
          </c:extLst>
        </c:ser>
        <c:ser>
          <c:idx val="2"/>
          <c:order val="2"/>
          <c:tx>
            <c:strRef>
              <c:f>balance_sheet!$G$5</c:f>
              <c:strCache>
                <c:ptCount val="1"/>
                <c:pt idx="0">
                  <c:v>Aggregate drawings from the Term Funding Scheme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balance_sheet!$G$6:$G$1209</c:f>
              <c:numCache>
                <c:formatCode>General</c:formatCode>
                <c:ptCount val="1204"/>
                <c:pt idx="1102" formatCode="0">
                  <c:v>121442</c:v>
                </c:pt>
                <c:pt idx="1103" formatCode="0">
                  <c:v>121422</c:v>
                </c:pt>
                <c:pt idx="1104" formatCode="0">
                  <c:v>121422</c:v>
                </c:pt>
                <c:pt idx="1105" formatCode="0">
                  <c:v>121422</c:v>
                </c:pt>
                <c:pt idx="1106" formatCode="0">
                  <c:v>121422</c:v>
                </c:pt>
                <c:pt idx="1107" formatCode="0">
                  <c:v>121401</c:v>
                </c:pt>
                <c:pt idx="1108" formatCode="0">
                  <c:v>121401</c:v>
                </c:pt>
                <c:pt idx="1109" formatCode="0">
                  <c:v>121401</c:v>
                </c:pt>
                <c:pt idx="1110" formatCode="0">
                  <c:v>121401</c:v>
                </c:pt>
                <c:pt idx="1111" formatCode="0">
                  <c:v>121401</c:v>
                </c:pt>
                <c:pt idx="1112" formatCode="0">
                  <c:v>121250</c:v>
                </c:pt>
                <c:pt idx="1113" formatCode="0">
                  <c:v>121250</c:v>
                </c:pt>
                <c:pt idx="1114" formatCode="0">
                  <c:v>121250</c:v>
                </c:pt>
                <c:pt idx="1115" formatCode="0">
                  <c:v>121250</c:v>
                </c:pt>
                <c:pt idx="1116" formatCode="0">
                  <c:v>121249</c:v>
                </c:pt>
                <c:pt idx="1117" formatCode="0">
                  <c:v>117239</c:v>
                </c:pt>
                <c:pt idx="1118" formatCode="0">
                  <c:v>117239</c:v>
                </c:pt>
                <c:pt idx="1119" formatCode="0">
                  <c:v>117239</c:v>
                </c:pt>
                <c:pt idx="1120" formatCode="0">
                  <c:v>117238</c:v>
                </c:pt>
                <c:pt idx="1121" formatCode="0">
                  <c:v>117238</c:v>
                </c:pt>
                <c:pt idx="1122" formatCode="0">
                  <c:v>116943</c:v>
                </c:pt>
                <c:pt idx="1123" formatCode="0">
                  <c:v>116943</c:v>
                </c:pt>
                <c:pt idx="1124" formatCode="0">
                  <c:v>116742</c:v>
                </c:pt>
                <c:pt idx="1125" formatCode="0">
                  <c:v>116742</c:v>
                </c:pt>
                <c:pt idx="1126" formatCode="0">
                  <c:v>116742</c:v>
                </c:pt>
                <c:pt idx="1127" formatCode="0">
                  <c:v>116742</c:v>
                </c:pt>
                <c:pt idx="1128" formatCode="0">
                  <c:v>116742</c:v>
                </c:pt>
                <c:pt idx="1129" formatCode="0">
                  <c:v>116742</c:v>
                </c:pt>
                <c:pt idx="1130" formatCode="0">
                  <c:v>116742</c:v>
                </c:pt>
                <c:pt idx="1131" formatCode="0">
                  <c:v>116742</c:v>
                </c:pt>
                <c:pt idx="1132" formatCode="0">
                  <c:v>116726</c:v>
                </c:pt>
                <c:pt idx="1133" formatCode="0">
                  <c:v>116276</c:v>
                </c:pt>
                <c:pt idx="1134" formatCode="0">
                  <c:v>116266</c:v>
                </c:pt>
                <c:pt idx="1135" formatCode="0">
                  <c:v>116266</c:v>
                </c:pt>
                <c:pt idx="1136" formatCode="0">
                  <c:v>116156</c:v>
                </c:pt>
                <c:pt idx="1137" formatCode="0">
                  <c:v>115292</c:v>
                </c:pt>
                <c:pt idx="1138" formatCode="0">
                  <c:v>114453</c:v>
                </c:pt>
                <c:pt idx="1139" formatCode="0">
                  <c:v>114453</c:v>
                </c:pt>
                <c:pt idx="1140" formatCode="0">
                  <c:v>114453</c:v>
                </c:pt>
                <c:pt idx="1141" formatCode="0">
                  <c:v>114439</c:v>
                </c:pt>
                <c:pt idx="1142" formatCode="0">
                  <c:v>114429</c:v>
                </c:pt>
                <c:pt idx="1143" formatCode="0">
                  <c:v>114429</c:v>
                </c:pt>
                <c:pt idx="1144" formatCode="0">
                  <c:v>114429</c:v>
                </c:pt>
                <c:pt idx="1145" formatCode="0">
                  <c:v>112864</c:v>
                </c:pt>
                <c:pt idx="1146" formatCode="0">
                  <c:v>112731</c:v>
                </c:pt>
                <c:pt idx="1147" formatCode="0">
                  <c:v>112690</c:v>
                </c:pt>
                <c:pt idx="1148" formatCode="0">
                  <c:v>112690</c:v>
                </c:pt>
                <c:pt idx="1149" formatCode="0">
                  <c:v>110175</c:v>
                </c:pt>
                <c:pt idx="1150" formatCode="0">
                  <c:v>110164</c:v>
                </c:pt>
                <c:pt idx="1151" formatCode="0">
                  <c:v>108164</c:v>
                </c:pt>
                <c:pt idx="1152" formatCode="0">
                  <c:v>108164</c:v>
                </c:pt>
                <c:pt idx="1153" formatCode="0">
                  <c:v>107954</c:v>
                </c:pt>
                <c:pt idx="1154" formatCode="0">
                  <c:v>107924</c:v>
                </c:pt>
                <c:pt idx="1155" formatCode="0">
                  <c:v>107704</c:v>
                </c:pt>
                <c:pt idx="1156" formatCode="0">
                  <c:v>107659</c:v>
                </c:pt>
                <c:pt idx="1157" formatCode="0">
                  <c:v>107659</c:v>
                </c:pt>
                <c:pt idx="1158" formatCode="0">
                  <c:v>107649</c:v>
                </c:pt>
                <c:pt idx="1159" formatCode="0">
                  <c:v>107249</c:v>
                </c:pt>
                <c:pt idx="1160" formatCode="0">
                  <c:v>107189</c:v>
                </c:pt>
                <c:pt idx="1161" formatCode="0">
                  <c:v>107189</c:v>
                </c:pt>
                <c:pt idx="1162" formatCode="0">
                  <c:v>107189</c:v>
                </c:pt>
                <c:pt idx="1163" formatCode="0">
                  <c:v>107189</c:v>
                </c:pt>
                <c:pt idx="1164" formatCode="0">
                  <c:v>107189</c:v>
                </c:pt>
                <c:pt idx="1165" formatCode="0">
                  <c:v>107189</c:v>
                </c:pt>
                <c:pt idx="1166" formatCode="0">
                  <c:v>107189</c:v>
                </c:pt>
                <c:pt idx="1167" formatCode="0">
                  <c:v>107189</c:v>
                </c:pt>
                <c:pt idx="1168" formatCode="0">
                  <c:v>107174</c:v>
                </c:pt>
                <c:pt idx="1169" formatCode="0">
                  <c:v>107174</c:v>
                </c:pt>
                <c:pt idx="1170" formatCode="0">
                  <c:v>107174</c:v>
                </c:pt>
                <c:pt idx="1171" formatCode="0">
                  <c:v>107129</c:v>
                </c:pt>
                <c:pt idx="1172" formatCode="0">
                  <c:v>107099</c:v>
                </c:pt>
                <c:pt idx="1173" formatCode="0">
                  <c:v>106571</c:v>
                </c:pt>
                <c:pt idx="1174" formatCode="0">
                  <c:v>105651</c:v>
                </c:pt>
                <c:pt idx="1175" formatCode="0">
                  <c:v>99751</c:v>
                </c:pt>
                <c:pt idx="1176" formatCode="0">
                  <c:v>93336</c:v>
                </c:pt>
                <c:pt idx="1177" formatCode="0">
                  <c:v>93096</c:v>
                </c:pt>
                <c:pt idx="1178" formatCode="0">
                  <c:v>93096</c:v>
                </c:pt>
                <c:pt idx="1179" formatCode="0">
                  <c:v>93096</c:v>
                </c:pt>
                <c:pt idx="1180" formatCode="0">
                  <c:v>88085</c:v>
                </c:pt>
                <c:pt idx="1181" formatCode="0">
                  <c:v>87855</c:v>
                </c:pt>
                <c:pt idx="1182" formatCode="0">
                  <c:v>87829</c:v>
                </c:pt>
                <c:pt idx="1183" formatCode="0">
                  <c:v>87338</c:v>
                </c:pt>
                <c:pt idx="1184" formatCode="0">
                  <c:v>81911</c:v>
                </c:pt>
                <c:pt idx="1185" formatCode="0">
                  <c:v>80945</c:v>
                </c:pt>
                <c:pt idx="1186" formatCode="0">
                  <c:v>80935</c:v>
                </c:pt>
                <c:pt idx="1187" formatCode="0">
                  <c:v>80935</c:v>
                </c:pt>
                <c:pt idx="1188" formatCode="0">
                  <c:v>75935</c:v>
                </c:pt>
                <c:pt idx="1189" formatCode="0">
                  <c:v>75585</c:v>
                </c:pt>
                <c:pt idx="1190" formatCode="0">
                  <c:v>72485</c:v>
                </c:pt>
                <c:pt idx="1191" formatCode="0">
                  <c:v>72485</c:v>
                </c:pt>
                <c:pt idx="1192" formatCode="0">
                  <c:v>71235</c:v>
                </c:pt>
                <c:pt idx="1193" formatCode="0">
                  <c:v>70835</c:v>
                </c:pt>
                <c:pt idx="1194" formatCode="0">
                  <c:v>70691</c:v>
                </c:pt>
                <c:pt idx="1195" formatCode="0">
                  <c:v>70566</c:v>
                </c:pt>
                <c:pt idx="1196" formatCode="0">
                  <c:v>70256</c:v>
                </c:pt>
                <c:pt idx="1197" formatCode="0">
                  <c:v>69756</c:v>
                </c:pt>
                <c:pt idx="1198" formatCode="0">
                  <c:v>67312</c:v>
                </c:pt>
                <c:pt idx="1199" formatCode="0">
                  <c:v>60389</c:v>
                </c:pt>
                <c:pt idx="1200" formatCode="0">
                  <c:v>57520</c:v>
                </c:pt>
                <c:pt idx="1201" formatCode="0">
                  <c:v>51197</c:v>
                </c:pt>
                <c:pt idx="1202" formatCode="0">
                  <c:v>50405</c:v>
                </c:pt>
                <c:pt idx="1203" formatCode="0">
                  <c:v>50110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8E-9645-926E-3830DABCE972}"/>
            </c:ext>
          </c:extLst>
        </c:ser>
        <c:ser>
          <c:idx val="3"/>
          <c:order val="3"/>
          <c:tx>
            <c:strRef>
              <c:f>balance_sheet!$H$5</c:f>
              <c:strCache>
                <c:ptCount val="1"/>
                <c:pt idx="0">
                  <c:v>Aggregate drawings from the Term Funding Scheme with additional incentives for SMEs (TFSME)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balance_sheet!$H$6:$H$1209</c:f>
              <c:numCache>
                <c:formatCode>General</c:formatCode>
                <c:ptCount val="1204"/>
                <c:pt idx="1166" formatCode="0">
                  <c:v>0</c:v>
                </c:pt>
                <c:pt idx="1167" formatCode="0">
                  <c:v>6000</c:v>
                </c:pt>
                <c:pt idx="1168" formatCode="0">
                  <c:v>8200</c:v>
                </c:pt>
                <c:pt idx="1169" formatCode="0">
                  <c:v>10970</c:v>
                </c:pt>
                <c:pt idx="1170" formatCode="0">
                  <c:v>11320</c:v>
                </c:pt>
                <c:pt idx="1171" formatCode="0">
                  <c:v>11920</c:v>
                </c:pt>
                <c:pt idx="1172" formatCode="0">
                  <c:v>11920</c:v>
                </c:pt>
                <c:pt idx="1173" formatCode="0">
                  <c:v>11980</c:v>
                </c:pt>
                <c:pt idx="1174" formatCode="0">
                  <c:v>11980</c:v>
                </c:pt>
                <c:pt idx="1175" formatCode="0">
                  <c:v>12435</c:v>
                </c:pt>
                <c:pt idx="1176" formatCode="0">
                  <c:v>14195</c:v>
                </c:pt>
                <c:pt idx="1177" formatCode="0">
                  <c:v>17838</c:v>
                </c:pt>
                <c:pt idx="1178" formatCode="0">
                  <c:v>18344</c:v>
                </c:pt>
                <c:pt idx="1179" formatCode="0">
                  <c:v>18396</c:v>
                </c:pt>
                <c:pt idx="1180" formatCode="0">
                  <c:v>18738</c:v>
                </c:pt>
                <c:pt idx="1181" formatCode="0">
                  <c:v>19438</c:v>
                </c:pt>
                <c:pt idx="1182" formatCode="0">
                  <c:v>21885</c:v>
                </c:pt>
                <c:pt idx="1183" formatCode="0">
                  <c:v>22217</c:v>
                </c:pt>
                <c:pt idx="1184" formatCode="0">
                  <c:v>28216</c:v>
                </c:pt>
                <c:pt idx="1185" formatCode="0">
                  <c:v>29823</c:v>
                </c:pt>
                <c:pt idx="1186" formatCode="0">
                  <c:v>33606</c:v>
                </c:pt>
                <c:pt idx="1187" formatCode="0">
                  <c:v>34326</c:v>
                </c:pt>
                <c:pt idx="1188" formatCode="0">
                  <c:v>34724</c:v>
                </c:pt>
                <c:pt idx="1189" formatCode="0">
                  <c:v>35223</c:v>
                </c:pt>
                <c:pt idx="1190" formatCode="0">
                  <c:v>45148</c:v>
                </c:pt>
                <c:pt idx="1191" formatCode="0">
                  <c:v>45159</c:v>
                </c:pt>
                <c:pt idx="1192" formatCode="0">
                  <c:v>45716</c:v>
                </c:pt>
                <c:pt idx="1193" formatCode="0">
                  <c:v>46006</c:v>
                </c:pt>
                <c:pt idx="1194" formatCode="0">
                  <c:v>48528</c:v>
                </c:pt>
                <c:pt idx="1195" formatCode="0">
                  <c:v>49645</c:v>
                </c:pt>
                <c:pt idx="1196" formatCode="0">
                  <c:v>49654</c:v>
                </c:pt>
                <c:pt idx="1197" formatCode="0">
                  <c:v>50251</c:v>
                </c:pt>
                <c:pt idx="1198" formatCode="0">
                  <c:v>50812</c:v>
                </c:pt>
                <c:pt idx="1199" formatCode="0">
                  <c:v>56166</c:v>
                </c:pt>
                <c:pt idx="1200" formatCode="0">
                  <c:v>57597</c:v>
                </c:pt>
                <c:pt idx="1201" formatCode="0">
                  <c:v>67277</c:v>
                </c:pt>
                <c:pt idx="1202" formatCode="0">
                  <c:v>68222</c:v>
                </c:pt>
                <c:pt idx="1203" formatCode="0">
                  <c:v>68243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8E-9645-926E-3830DABCE972}"/>
            </c:ext>
          </c:extLst>
        </c:ser>
        <c:ser>
          <c:idx val="4"/>
          <c:order val="4"/>
          <c:tx>
            <c:strRef>
              <c:f>balance_sheet!$I$5</c:f>
              <c:strCache>
                <c:ptCount val="1"/>
                <c:pt idx="0">
                  <c:v>Bond holdings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balance_sheet!$I$6:$I$1209</c:f>
              <c:numCache>
                <c:formatCode>General</c:formatCode>
                <c:ptCount val="1204"/>
                <c:pt idx="824" formatCode="0">
                  <c:v>10641</c:v>
                </c:pt>
                <c:pt idx="825" formatCode="0">
                  <c:v>10061</c:v>
                </c:pt>
                <c:pt idx="826" formatCode="0">
                  <c:v>10064</c:v>
                </c:pt>
                <c:pt idx="827" formatCode="0">
                  <c:v>10019</c:v>
                </c:pt>
                <c:pt idx="828" formatCode="0">
                  <c:v>10086</c:v>
                </c:pt>
                <c:pt idx="829" formatCode="0">
                  <c:v>10121</c:v>
                </c:pt>
                <c:pt idx="830" formatCode="0">
                  <c:v>10089</c:v>
                </c:pt>
                <c:pt idx="831" formatCode="0">
                  <c:v>10072</c:v>
                </c:pt>
                <c:pt idx="832" formatCode="0">
                  <c:v>10091</c:v>
                </c:pt>
                <c:pt idx="833" formatCode="0">
                  <c:v>10087</c:v>
                </c:pt>
                <c:pt idx="834" formatCode="0">
                  <c:v>10052</c:v>
                </c:pt>
                <c:pt idx="835" formatCode="0">
                  <c:v>10025</c:v>
                </c:pt>
                <c:pt idx="836" formatCode="0">
                  <c:v>10013</c:v>
                </c:pt>
                <c:pt idx="837" formatCode="0">
                  <c:v>9988</c:v>
                </c:pt>
                <c:pt idx="838" formatCode="0">
                  <c:v>9979</c:v>
                </c:pt>
                <c:pt idx="839" formatCode="0">
                  <c:v>9990</c:v>
                </c:pt>
                <c:pt idx="840" formatCode="0">
                  <c:v>10006</c:v>
                </c:pt>
                <c:pt idx="841" formatCode="0">
                  <c:v>10025</c:v>
                </c:pt>
                <c:pt idx="842" formatCode="0">
                  <c:v>10086</c:v>
                </c:pt>
                <c:pt idx="843" formatCode="0">
                  <c:v>10137</c:v>
                </c:pt>
                <c:pt idx="844" formatCode="0">
                  <c:v>10098</c:v>
                </c:pt>
                <c:pt idx="845" formatCode="0">
                  <c:v>10152</c:v>
                </c:pt>
                <c:pt idx="846" formatCode="0">
                  <c:v>10161</c:v>
                </c:pt>
                <c:pt idx="847" formatCode="0">
                  <c:v>10168</c:v>
                </c:pt>
                <c:pt idx="848" formatCode="0">
                  <c:v>10099</c:v>
                </c:pt>
                <c:pt idx="849" formatCode="0">
                  <c:v>10140</c:v>
                </c:pt>
                <c:pt idx="850" formatCode="0">
                  <c:v>10161</c:v>
                </c:pt>
                <c:pt idx="851" formatCode="0">
                  <c:v>10167</c:v>
                </c:pt>
                <c:pt idx="852" formatCode="0">
                  <c:v>10192</c:v>
                </c:pt>
                <c:pt idx="853" formatCode="0">
                  <c:v>10182</c:v>
                </c:pt>
                <c:pt idx="854" formatCode="0">
                  <c:v>10171</c:v>
                </c:pt>
                <c:pt idx="855" formatCode="0">
                  <c:v>10197</c:v>
                </c:pt>
                <c:pt idx="856" formatCode="0">
                  <c:v>10195</c:v>
                </c:pt>
                <c:pt idx="857" formatCode="0">
                  <c:v>10223</c:v>
                </c:pt>
                <c:pt idx="858" formatCode="0">
                  <c:v>10207</c:v>
                </c:pt>
                <c:pt idx="859" formatCode="0">
                  <c:v>10264</c:v>
                </c:pt>
                <c:pt idx="860" formatCode="0">
                  <c:v>10243</c:v>
                </c:pt>
                <c:pt idx="861" formatCode="0">
                  <c:v>10209</c:v>
                </c:pt>
                <c:pt idx="862" formatCode="0">
                  <c:v>10197</c:v>
                </c:pt>
                <c:pt idx="863" formatCode="0">
                  <c:v>10247</c:v>
                </c:pt>
                <c:pt idx="864" formatCode="0">
                  <c:v>10242</c:v>
                </c:pt>
                <c:pt idx="865" formatCode="0">
                  <c:v>10308</c:v>
                </c:pt>
                <c:pt idx="866" formatCode="0">
                  <c:v>10313</c:v>
                </c:pt>
                <c:pt idx="867" formatCode="0">
                  <c:v>10385</c:v>
                </c:pt>
                <c:pt idx="868" formatCode="0">
                  <c:v>10416</c:v>
                </c:pt>
                <c:pt idx="869" formatCode="0">
                  <c:v>10439</c:v>
                </c:pt>
                <c:pt idx="870" formatCode="0">
                  <c:v>10465</c:v>
                </c:pt>
                <c:pt idx="871" formatCode="0">
                  <c:v>10516</c:v>
                </c:pt>
                <c:pt idx="872" formatCode="0">
                  <c:v>10579</c:v>
                </c:pt>
                <c:pt idx="873" formatCode="0">
                  <c:v>10608</c:v>
                </c:pt>
                <c:pt idx="874" formatCode="0">
                  <c:v>10105</c:v>
                </c:pt>
                <c:pt idx="875" formatCode="0">
                  <c:v>10135</c:v>
                </c:pt>
                <c:pt idx="876" formatCode="0">
                  <c:v>10186</c:v>
                </c:pt>
                <c:pt idx="877" formatCode="0">
                  <c:v>10263</c:v>
                </c:pt>
                <c:pt idx="878" formatCode="0">
                  <c:v>10305</c:v>
                </c:pt>
                <c:pt idx="879" formatCode="0">
                  <c:v>10383</c:v>
                </c:pt>
                <c:pt idx="880" formatCode="0">
                  <c:v>10352</c:v>
                </c:pt>
                <c:pt idx="881" formatCode="0">
                  <c:v>10379</c:v>
                </c:pt>
                <c:pt idx="882" formatCode="0">
                  <c:v>10416</c:v>
                </c:pt>
                <c:pt idx="883" formatCode="0">
                  <c:v>10441</c:v>
                </c:pt>
                <c:pt idx="884" formatCode="0">
                  <c:v>10501</c:v>
                </c:pt>
                <c:pt idx="885" formatCode="0">
                  <c:v>10600</c:v>
                </c:pt>
                <c:pt idx="886" formatCode="0">
                  <c:v>10684</c:v>
                </c:pt>
                <c:pt idx="887" formatCode="0">
                  <c:v>10674</c:v>
                </c:pt>
                <c:pt idx="888" formatCode="0">
                  <c:v>10701</c:v>
                </c:pt>
                <c:pt idx="889" formatCode="0">
                  <c:v>10662</c:v>
                </c:pt>
                <c:pt idx="890" formatCode="0">
                  <c:v>10710</c:v>
                </c:pt>
                <c:pt idx="891" formatCode="0">
                  <c:v>10763</c:v>
                </c:pt>
                <c:pt idx="892" formatCode="0">
                  <c:v>10795</c:v>
                </c:pt>
                <c:pt idx="893" formatCode="0">
                  <c:v>10856</c:v>
                </c:pt>
                <c:pt idx="894" formatCode="0">
                  <c:v>10863</c:v>
                </c:pt>
                <c:pt idx="895" formatCode="0">
                  <c:v>10839</c:v>
                </c:pt>
                <c:pt idx="896" formatCode="0">
                  <c:v>10791</c:v>
                </c:pt>
                <c:pt idx="897" formatCode="0">
                  <c:v>10784</c:v>
                </c:pt>
                <c:pt idx="898" formatCode="0">
                  <c:v>10810</c:v>
                </c:pt>
                <c:pt idx="899" formatCode="0">
                  <c:v>10747</c:v>
                </c:pt>
                <c:pt idx="900" formatCode="0">
                  <c:v>10701</c:v>
                </c:pt>
                <c:pt idx="901" formatCode="0">
                  <c:v>10826</c:v>
                </c:pt>
                <c:pt idx="902" formatCode="0">
                  <c:v>10869</c:v>
                </c:pt>
                <c:pt idx="903" formatCode="0">
                  <c:v>10852</c:v>
                </c:pt>
                <c:pt idx="904" formatCode="0">
                  <c:v>10838</c:v>
                </c:pt>
                <c:pt idx="905" formatCode="0">
                  <c:v>10848</c:v>
                </c:pt>
                <c:pt idx="906" formatCode="0">
                  <c:v>10818</c:v>
                </c:pt>
                <c:pt idx="907" formatCode="0">
                  <c:v>10780</c:v>
                </c:pt>
                <c:pt idx="908" formatCode="0">
                  <c:v>10739</c:v>
                </c:pt>
                <c:pt idx="909" formatCode="0">
                  <c:v>10738</c:v>
                </c:pt>
                <c:pt idx="910" formatCode="0">
                  <c:v>10727</c:v>
                </c:pt>
                <c:pt idx="911" formatCode="0">
                  <c:v>10752</c:v>
                </c:pt>
                <c:pt idx="912" formatCode="0">
                  <c:v>10663</c:v>
                </c:pt>
                <c:pt idx="913" formatCode="0">
                  <c:v>10608</c:v>
                </c:pt>
                <c:pt idx="914" formatCode="0">
                  <c:v>10629</c:v>
                </c:pt>
                <c:pt idx="915" formatCode="0">
                  <c:v>10607</c:v>
                </c:pt>
                <c:pt idx="916" formatCode="0">
                  <c:v>10641</c:v>
                </c:pt>
                <c:pt idx="917" formatCode="0">
                  <c:v>10698</c:v>
                </c:pt>
                <c:pt idx="918" formatCode="0">
                  <c:v>10625</c:v>
                </c:pt>
                <c:pt idx="919" formatCode="0">
                  <c:v>10684</c:v>
                </c:pt>
                <c:pt idx="920" formatCode="0">
                  <c:v>10713</c:v>
                </c:pt>
                <c:pt idx="921" formatCode="0">
                  <c:v>10717</c:v>
                </c:pt>
                <c:pt idx="922" formatCode="0">
                  <c:v>10778</c:v>
                </c:pt>
                <c:pt idx="923" formatCode="0">
                  <c:v>10786</c:v>
                </c:pt>
                <c:pt idx="924" formatCode="0">
                  <c:v>10768</c:v>
                </c:pt>
                <c:pt idx="925" formatCode="0">
                  <c:v>10732</c:v>
                </c:pt>
                <c:pt idx="926" formatCode="0">
                  <c:v>10077</c:v>
                </c:pt>
                <c:pt idx="927" formatCode="0">
                  <c:v>10055</c:v>
                </c:pt>
                <c:pt idx="928" formatCode="0">
                  <c:v>10131</c:v>
                </c:pt>
                <c:pt idx="929" formatCode="0">
                  <c:v>10144</c:v>
                </c:pt>
                <c:pt idx="930" formatCode="0">
                  <c:v>10130</c:v>
                </c:pt>
                <c:pt idx="931" formatCode="0">
                  <c:v>10156</c:v>
                </c:pt>
                <c:pt idx="932" formatCode="0">
                  <c:v>10188</c:v>
                </c:pt>
                <c:pt idx="933" formatCode="0">
                  <c:v>10228</c:v>
                </c:pt>
                <c:pt idx="934" formatCode="0">
                  <c:v>10200</c:v>
                </c:pt>
                <c:pt idx="935" formatCode="0">
                  <c:v>10188</c:v>
                </c:pt>
                <c:pt idx="936" formatCode="0">
                  <c:v>10265</c:v>
                </c:pt>
                <c:pt idx="937" formatCode="0">
                  <c:v>10324</c:v>
                </c:pt>
                <c:pt idx="938" formatCode="0">
                  <c:v>10401</c:v>
                </c:pt>
                <c:pt idx="939" formatCode="0">
                  <c:v>9732</c:v>
                </c:pt>
                <c:pt idx="940" formatCode="0">
                  <c:v>9712</c:v>
                </c:pt>
                <c:pt idx="941" formatCode="0">
                  <c:v>9713</c:v>
                </c:pt>
                <c:pt idx="942" formatCode="0">
                  <c:v>9697</c:v>
                </c:pt>
                <c:pt idx="943" formatCode="0">
                  <c:v>9767</c:v>
                </c:pt>
                <c:pt idx="944" formatCode="0">
                  <c:v>9812</c:v>
                </c:pt>
                <c:pt idx="945" formatCode="0">
                  <c:v>9851</c:v>
                </c:pt>
                <c:pt idx="946" formatCode="0">
                  <c:v>9833</c:v>
                </c:pt>
                <c:pt idx="947" formatCode="0">
                  <c:v>9923</c:v>
                </c:pt>
                <c:pt idx="948" formatCode="0">
                  <c:v>9953</c:v>
                </c:pt>
                <c:pt idx="949" formatCode="0">
                  <c:v>9960</c:v>
                </c:pt>
                <c:pt idx="950" formatCode="0">
                  <c:v>10007</c:v>
                </c:pt>
                <c:pt idx="951" formatCode="0">
                  <c:v>10024</c:v>
                </c:pt>
                <c:pt idx="952" formatCode="0">
                  <c:v>9952</c:v>
                </c:pt>
                <c:pt idx="953" formatCode="0">
                  <c:v>9962</c:v>
                </c:pt>
                <c:pt idx="954" formatCode="0">
                  <c:v>9987</c:v>
                </c:pt>
                <c:pt idx="955" formatCode="0">
                  <c:v>10009</c:v>
                </c:pt>
                <c:pt idx="956" formatCode="0">
                  <c:v>10039</c:v>
                </c:pt>
                <c:pt idx="957" formatCode="0">
                  <c:v>10033</c:v>
                </c:pt>
                <c:pt idx="958" formatCode="0">
                  <c:v>10024</c:v>
                </c:pt>
                <c:pt idx="959" formatCode="0">
                  <c:v>9974</c:v>
                </c:pt>
                <c:pt idx="960" formatCode="0">
                  <c:v>10008</c:v>
                </c:pt>
                <c:pt idx="961" formatCode="0">
                  <c:v>10063</c:v>
                </c:pt>
                <c:pt idx="962" formatCode="0">
                  <c:v>10045</c:v>
                </c:pt>
                <c:pt idx="963" formatCode="0">
                  <c:v>10038</c:v>
                </c:pt>
                <c:pt idx="964" formatCode="0">
                  <c:v>10031</c:v>
                </c:pt>
                <c:pt idx="965" formatCode="0">
                  <c:v>10044</c:v>
                </c:pt>
                <c:pt idx="966" formatCode="0">
                  <c:v>10089</c:v>
                </c:pt>
                <c:pt idx="967" formatCode="0">
                  <c:v>10017</c:v>
                </c:pt>
                <c:pt idx="968" formatCode="0">
                  <c:v>10158</c:v>
                </c:pt>
                <c:pt idx="969" formatCode="0">
                  <c:v>10215</c:v>
                </c:pt>
                <c:pt idx="970" formatCode="0">
                  <c:v>10257</c:v>
                </c:pt>
                <c:pt idx="971" formatCode="0">
                  <c:v>10226</c:v>
                </c:pt>
                <c:pt idx="972" formatCode="0">
                  <c:v>10301</c:v>
                </c:pt>
                <c:pt idx="973" formatCode="0">
                  <c:v>10316</c:v>
                </c:pt>
                <c:pt idx="974" formatCode="0">
                  <c:v>10414</c:v>
                </c:pt>
                <c:pt idx="975" formatCode="0">
                  <c:v>10428</c:v>
                </c:pt>
                <c:pt idx="976" formatCode="0">
                  <c:v>10465</c:v>
                </c:pt>
                <c:pt idx="977" formatCode="0">
                  <c:v>10591</c:v>
                </c:pt>
                <c:pt idx="978" formatCode="0">
                  <c:v>9694</c:v>
                </c:pt>
                <c:pt idx="979" formatCode="0">
                  <c:v>9650</c:v>
                </c:pt>
                <c:pt idx="980" formatCode="0">
                  <c:v>9678</c:v>
                </c:pt>
                <c:pt idx="981" formatCode="0">
                  <c:v>9763</c:v>
                </c:pt>
                <c:pt idx="982" formatCode="0">
                  <c:v>9746</c:v>
                </c:pt>
                <c:pt idx="983" formatCode="0">
                  <c:v>9668</c:v>
                </c:pt>
                <c:pt idx="984" formatCode="0">
                  <c:v>9687</c:v>
                </c:pt>
                <c:pt idx="985" formatCode="0">
                  <c:v>9718</c:v>
                </c:pt>
                <c:pt idx="986" formatCode="0">
                  <c:v>9744</c:v>
                </c:pt>
                <c:pt idx="987" formatCode="0">
                  <c:v>9758</c:v>
                </c:pt>
                <c:pt idx="988" formatCode="0">
                  <c:v>9765</c:v>
                </c:pt>
                <c:pt idx="989" formatCode="0">
                  <c:v>9781</c:v>
                </c:pt>
                <c:pt idx="990" formatCode="0">
                  <c:v>9732</c:v>
                </c:pt>
                <c:pt idx="991" formatCode="0">
                  <c:v>9706</c:v>
                </c:pt>
                <c:pt idx="992" formatCode="0">
                  <c:v>9702</c:v>
                </c:pt>
                <c:pt idx="993" formatCode="0">
                  <c:v>9710</c:v>
                </c:pt>
                <c:pt idx="994" formatCode="0">
                  <c:v>9739</c:v>
                </c:pt>
                <c:pt idx="995" formatCode="0">
                  <c:v>9724</c:v>
                </c:pt>
                <c:pt idx="996" formatCode="0">
                  <c:v>9713</c:v>
                </c:pt>
                <c:pt idx="997" formatCode="0">
                  <c:v>9756</c:v>
                </c:pt>
                <c:pt idx="998" formatCode="0">
                  <c:v>9710</c:v>
                </c:pt>
                <c:pt idx="999" formatCode="0">
                  <c:v>9739</c:v>
                </c:pt>
                <c:pt idx="1000" formatCode="0">
                  <c:v>9821</c:v>
                </c:pt>
                <c:pt idx="1001" formatCode="0">
                  <c:v>9824</c:v>
                </c:pt>
                <c:pt idx="1002" formatCode="0">
                  <c:v>9895</c:v>
                </c:pt>
                <c:pt idx="1003" formatCode="0">
                  <c:v>9963</c:v>
                </c:pt>
                <c:pt idx="1004" formatCode="0">
                  <c:v>9923</c:v>
                </c:pt>
                <c:pt idx="1005" formatCode="0">
                  <c:v>9960</c:v>
                </c:pt>
                <c:pt idx="1006" formatCode="0">
                  <c:v>9972</c:v>
                </c:pt>
                <c:pt idx="1007" formatCode="0">
                  <c:v>10004</c:v>
                </c:pt>
                <c:pt idx="1008" formatCode="0">
                  <c:v>10028</c:v>
                </c:pt>
                <c:pt idx="1009" formatCode="0">
                  <c:v>10065</c:v>
                </c:pt>
                <c:pt idx="1010" formatCode="0">
                  <c:v>10059</c:v>
                </c:pt>
                <c:pt idx="1011" formatCode="0">
                  <c:v>10072</c:v>
                </c:pt>
                <c:pt idx="1012" formatCode="0">
                  <c:v>10076</c:v>
                </c:pt>
                <c:pt idx="1013" formatCode="0">
                  <c:v>10043</c:v>
                </c:pt>
                <c:pt idx="1014" formatCode="0">
                  <c:v>10100</c:v>
                </c:pt>
                <c:pt idx="1015" formatCode="0">
                  <c:v>10103</c:v>
                </c:pt>
                <c:pt idx="1016" formatCode="0">
                  <c:v>10126</c:v>
                </c:pt>
                <c:pt idx="1017" formatCode="0">
                  <c:v>10094</c:v>
                </c:pt>
                <c:pt idx="1018" formatCode="0">
                  <c:v>10135</c:v>
                </c:pt>
                <c:pt idx="1019" formatCode="0">
                  <c:v>10101</c:v>
                </c:pt>
                <c:pt idx="1020" formatCode="0">
                  <c:v>10071</c:v>
                </c:pt>
                <c:pt idx="1021" formatCode="0">
                  <c:v>10074</c:v>
                </c:pt>
                <c:pt idx="1022" formatCode="0">
                  <c:v>10106</c:v>
                </c:pt>
                <c:pt idx="1023" formatCode="0">
                  <c:v>10209</c:v>
                </c:pt>
                <c:pt idx="1024" formatCode="0">
                  <c:v>10231</c:v>
                </c:pt>
                <c:pt idx="1025" formatCode="0">
                  <c:v>10264</c:v>
                </c:pt>
                <c:pt idx="1026" formatCode="0">
                  <c:v>10378</c:v>
                </c:pt>
                <c:pt idx="1027" formatCode="0">
                  <c:v>10403</c:v>
                </c:pt>
                <c:pt idx="1028" formatCode="0">
                  <c:v>10488</c:v>
                </c:pt>
                <c:pt idx="1029" formatCode="0">
                  <c:v>9768</c:v>
                </c:pt>
                <c:pt idx="1030" formatCode="0">
                  <c:v>9820</c:v>
                </c:pt>
                <c:pt idx="1031" formatCode="0">
                  <c:v>9671</c:v>
                </c:pt>
                <c:pt idx="1032" formatCode="0">
                  <c:v>9593</c:v>
                </c:pt>
                <c:pt idx="1033" formatCode="0">
                  <c:v>9610</c:v>
                </c:pt>
                <c:pt idx="1034" formatCode="0">
                  <c:v>9688</c:v>
                </c:pt>
                <c:pt idx="1035" formatCode="0">
                  <c:v>9709</c:v>
                </c:pt>
                <c:pt idx="1036" formatCode="0">
                  <c:v>9762</c:v>
                </c:pt>
                <c:pt idx="1037" formatCode="0">
                  <c:v>9768</c:v>
                </c:pt>
                <c:pt idx="1038" formatCode="0">
                  <c:v>9820</c:v>
                </c:pt>
                <c:pt idx="1039" formatCode="0">
                  <c:v>9908</c:v>
                </c:pt>
                <c:pt idx="1040" formatCode="0">
                  <c:v>9925</c:v>
                </c:pt>
                <c:pt idx="1041" formatCode="0">
                  <c:v>9960</c:v>
                </c:pt>
                <c:pt idx="1042" formatCode="0">
                  <c:v>9950</c:v>
                </c:pt>
                <c:pt idx="1043" formatCode="0">
                  <c:v>9956</c:v>
                </c:pt>
                <c:pt idx="1044" formatCode="0">
                  <c:v>9939</c:v>
                </c:pt>
                <c:pt idx="1045" formatCode="0">
                  <c:v>9920</c:v>
                </c:pt>
                <c:pt idx="1046" formatCode="0">
                  <c:v>9961</c:v>
                </c:pt>
                <c:pt idx="1047" formatCode="0">
                  <c:v>9944</c:v>
                </c:pt>
                <c:pt idx="1048" formatCode="0">
                  <c:v>9912</c:v>
                </c:pt>
                <c:pt idx="1049" formatCode="0">
                  <c:v>9939</c:v>
                </c:pt>
                <c:pt idx="1050" formatCode="0">
                  <c:v>9890</c:v>
                </c:pt>
                <c:pt idx="1051" formatCode="0">
                  <c:v>9863</c:v>
                </c:pt>
                <c:pt idx="1052" formatCode="0">
                  <c:v>9878</c:v>
                </c:pt>
                <c:pt idx="1053" formatCode="0">
                  <c:v>9840</c:v>
                </c:pt>
                <c:pt idx="1054" formatCode="0">
                  <c:v>9876</c:v>
                </c:pt>
                <c:pt idx="1055" formatCode="0">
                  <c:v>9841</c:v>
                </c:pt>
                <c:pt idx="1056" formatCode="0">
                  <c:v>9352</c:v>
                </c:pt>
                <c:pt idx="1057" formatCode="0">
                  <c:v>9356</c:v>
                </c:pt>
                <c:pt idx="1058" formatCode="0">
                  <c:v>9359</c:v>
                </c:pt>
                <c:pt idx="1059" formatCode="0">
                  <c:v>9362</c:v>
                </c:pt>
                <c:pt idx="1060" formatCode="0">
                  <c:v>9365</c:v>
                </c:pt>
                <c:pt idx="1061" formatCode="0">
                  <c:v>9373</c:v>
                </c:pt>
                <c:pt idx="1062" formatCode="0">
                  <c:v>9376</c:v>
                </c:pt>
                <c:pt idx="1063" formatCode="0">
                  <c:v>9380</c:v>
                </c:pt>
                <c:pt idx="1064" formatCode="0">
                  <c:v>9383</c:v>
                </c:pt>
                <c:pt idx="1065" formatCode="0">
                  <c:v>9391</c:v>
                </c:pt>
                <c:pt idx="1066" formatCode="0">
                  <c:v>9394</c:v>
                </c:pt>
                <c:pt idx="1067" formatCode="0">
                  <c:v>9397</c:v>
                </c:pt>
                <c:pt idx="1068" formatCode="0">
                  <c:v>9400</c:v>
                </c:pt>
                <c:pt idx="1069" formatCode="0">
                  <c:v>9527</c:v>
                </c:pt>
                <c:pt idx="1070" formatCode="0">
                  <c:v>9657</c:v>
                </c:pt>
                <c:pt idx="1071" formatCode="0">
                  <c:v>9724</c:v>
                </c:pt>
                <c:pt idx="1072" formatCode="0">
                  <c:v>9847</c:v>
                </c:pt>
                <c:pt idx="1073" formatCode="0">
                  <c:v>9995</c:v>
                </c:pt>
                <c:pt idx="1074" formatCode="0">
                  <c:v>10150</c:v>
                </c:pt>
                <c:pt idx="1075" formatCode="0">
                  <c:v>10346</c:v>
                </c:pt>
                <c:pt idx="1076" formatCode="0">
                  <c:v>10262</c:v>
                </c:pt>
                <c:pt idx="1077" formatCode="0">
                  <c:v>10307</c:v>
                </c:pt>
                <c:pt idx="1078" formatCode="0">
                  <c:v>10416</c:v>
                </c:pt>
                <c:pt idx="1079" formatCode="0">
                  <c:v>10569</c:v>
                </c:pt>
                <c:pt idx="1080" formatCode="0">
                  <c:v>10703</c:v>
                </c:pt>
                <c:pt idx="1081" formatCode="0">
                  <c:v>10786</c:v>
                </c:pt>
                <c:pt idx="1082" formatCode="0">
                  <c:v>10902</c:v>
                </c:pt>
                <c:pt idx="1083" formatCode="0">
                  <c:v>10921</c:v>
                </c:pt>
                <c:pt idx="1084" formatCode="0">
                  <c:v>11082</c:v>
                </c:pt>
                <c:pt idx="1085" formatCode="0">
                  <c:v>11235</c:v>
                </c:pt>
                <c:pt idx="1086" formatCode="0">
                  <c:v>11406</c:v>
                </c:pt>
                <c:pt idx="1087" formatCode="0">
                  <c:v>11553</c:v>
                </c:pt>
                <c:pt idx="1088" formatCode="0">
                  <c:v>11672</c:v>
                </c:pt>
                <c:pt idx="1089" formatCode="0">
                  <c:v>11791</c:v>
                </c:pt>
                <c:pt idx="1090" formatCode="0">
                  <c:v>11878</c:v>
                </c:pt>
                <c:pt idx="1091" formatCode="0">
                  <c:v>11926</c:v>
                </c:pt>
                <c:pt idx="1092" formatCode="0">
                  <c:v>12085</c:v>
                </c:pt>
                <c:pt idx="1093" formatCode="0">
                  <c:v>12179</c:v>
                </c:pt>
                <c:pt idx="1094" formatCode="0">
                  <c:v>12316</c:v>
                </c:pt>
                <c:pt idx="1095" formatCode="0">
                  <c:v>12449</c:v>
                </c:pt>
                <c:pt idx="1096" formatCode="0">
                  <c:v>12445</c:v>
                </c:pt>
                <c:pt idx="1097" formatCode="0">
                  <c:v>12471</c:v>
                </c:pt>
                <c:pt idx="1098" formatCode="0">
                  <c:v>12475</c:v>
                </c:pt>
                <c:pt idx="1099" formatCode="0">
                  <c:v>12479</c:v>
                </c:pt>
                <c:pt idx="1100" formatCode="0">
                  <c:v>12483</c:v>
                </c:pt>
                <c:pt idx="1101" formatCode="0">
                  <c:v>12496</c:v>
                </c:pt>
                <c:pt idx="1102" formatCode="0">
                  <c:v>12508</c:v>
                </c:pt>
                <c:pt idx="1103" formatCode="0">
                  <c:v>12553</c:v>
                </c:pt>
                <c:pt idx="1104" formatCode="0">
                  <c:v>12590</c:v>
                </c:pt>
                <c:pt idx="1105" formatCode="0">
                  <c:v>12607</c:v>
                </c:pt>
                <c:pt idx="1106" formatCode="0">
                  <c:v>12640</c:v>
                </c:pt>
                <c:pt idx="1107" formatCode="0">
                  <c:v>12654</c:v>
                </c:pt>
                <c:pt idx="1108" formatCode="0">
                  <c:v>12713</c:v>
                </c:pt>
                <c:pt idx="1109" formatCode="0">
                  <c:v>12383</c:v>
                </c:pt>
                <c:pt idx="1110" formatCode="0">
                  <c:v>12387</c:v>
                </c:pt>
                <c:pt idx="1111" formatCode="0">
                  <c:v>12391</c:v>
                </c:pt>
                <c:pt idx="1112" formatCode="0">
                  <c:v>12394</c:v>
                </c:pt>
                <c:pt idx="1113" formatCode="0">
                  <c:v>12428</c:v>
                </c:pt>
                <c:pt idx="1114" formatCode="0">
                  <c:v>12445</c:v>
                </c:pt>
                <c:pt idx="1115" formatCode="0">
                  <c:v>12446</c:v>
                </c:pt>
                <c:pt idx="1116" formatCode="0">
                  <c:v>12477</c:v>
                </c:pt>
                <c:pt idx="1117" formatCode="0">
                  <c:v>12501</c:v>
                </c:pt>
                <c:pt idx="1118" formatCode="0">
                  <c:v>12551</c:v>
                </c:pt>
                <c:pt idx="1119" formatCode="0">
                  <c:v>12694</c:v>
                </c:pt>
                <c:pt idx="1120" formatCode="0">
                  <c:v>12832</c:v>
                </c:pt>
                <c:pt idx="1121" formatCode="0">
                  <c:v>13025</c:v>
                </c:pt>
                <c:pt idx="1122" formatCode="0">
                  <c:v>13147</c:v>
                </c:pt>
                <c:pt idx="1123" formatCode="0">
                  <c:v>13217</c:v>
                </c:pt>
                <c:pt idx="1124" formatCode="0">
                  <c:v>13298</c:v>
                </c:pt>
                <c:pt idx="1125" formatCode="0">
                  <c:v>13520</c:v>
                </c:pt>
                <c:pt idx="1126" formatCode="0">
                  <c:v>13698</c:v>
                </c:pt>
                <c:pt idx="1127" formatCode="0">
                  <c:v>13858</c:v>
                </c:pt>
                <c:pt idx="1128" formatCode="0">
                  <c:v>13877</c:v>
                </c:pt>
                <c:pt idx="1129" formatCode="0">
                  <c:v>13905</c:v>
                </c:pt>
                <c:pt idx="1130" formatCode="0">
                  <c:v>13933</c:v>
                </c:pt>
                <c:pt idx="1131" formatCode="0">
                  <c:v>13967</c:v>
                </c:pt>
                <c:pt idx="1132" formatCode="0">
                  <c:v>13986</c:v>
                </c:pt>
                <c:pt idx="1133" formatCode="0">
                  <c:v>14001</c:v>
                </c:pt>
                <c:pt idx="1134" formatCode="0">
                  <c:v>14053</c:v>
                </c:pt>
                <c:pt idx="1135" formatCode="0">
                  <c:v>13768</c:v>
                </c:pt>
                <c:pt idx="1136" formatCode="0">
                  <c:v>13794</c:v>
                </c:pt>
                <c:pt idx="1137" formatCode="0">
                  <c:v>13822</c:v>
                </c:pt>
                <c:pt idx="1138" formatCode="0">
                  <c:v>13856</c:v>
                </c:pt>
                <c:pt idx="1139" formatCode="0">
                  <c:v>13882</c:v>
                </c:pt>
                <c:pt idx="1140" formatCode="0">
                  <c:v>13920</c:v>
                </c:pt>
                <c:pt idx="1141" formatCode="0">
                  <c:v>13935</c:v>
                </c:pt>
                <c:pt idx="1142" formatCode="0">
                  <c:v>13961</c:v>
                </c:pt>
                <c:pt idx="1143" formatCode="0">
                  <c:v>13980</c:v>
                </c:pt>
                <c:pt idx="1144" formatCode="0">
                  <c:v>14015</c:v>
                </c:pt>
                <c:pt idx="1145" formatCode="0">
                  <c:v>14043</c:v>
                </c:pt>
                <c:pt idx="1146" formatCode="0">
                  <c:v>14057</c:v>
                </c:pt>
                <c:pt idx="1147" formatCode="0">
                  <c:v>14026</c:v>
                </c:pt>
                <c:pt idx="1148" formatCode="0">
                  <c:v>14092</c:v>
                </c:pt>
                <c:pt idx="1149" formatCode="0">
                  <c:v>14096</c:v>
                </c:pt>
                <c:pt idx="1150" formatCode="0">
                  <c:v>14100</c:v>
                </c:pt>
                <c:pt idx="1151" formatCode="0">
                  <c:v>14104</c:v>
                </c:pt>
                <c:pt idx="1152" formatCode="0">
                  <c:v>14108</c:v>
                </c:pt>
                <c:pt idx="1153" formatCode="0">
                  <c:v>14170</c:v>
                </c:pt>
                <c:pt idx="1154" formatCode="0">
                  <c:v>14222</c:v>
                </c:pt>
                <c:pt idx="1155" formatCode="0">
                  <c:v>14260</c:v>
                </c:pt>
                <c:pt idx="1156" formatCode="0">
                  <c:v>14264</c:v>
                </c:pt>
                <c:pt idx="1157" formatCode="0">
                  <c:v>14332</c:v>
                </c:pt>
                <c:pt idx="1158" formatCode="0">
                  <c:v>14366</c:v>
                </c:pt>
                <c:pt idx="1159" formatCode="0">
                  <c:v>14394</c:v>
                </c:pt>
                <c:pt idx="1160" formatCode="0">
                  <c:v>14425</c:v>
                </c:pt>
                <c:pt idx="1161" formatCode="0">
                  <c:v>13465</c:v>
                </c:pt>
                <c:pt idx="1162" formatCode="0">
                  <c:v>13461</c:v>
                </c:pt>
                <c:pt idx="1163" formatCode="0">
                  <c:v>13464</c:v>
                </c:pt>
                <c:pt idx="1164" formatCode="0">
                  <c:v>13554</c:v>
                </c:pt>
                <c:pt idx="1165" formatCode="0">
                  <c:v>13558</c:v>
                </c:pt>
                <c:pt idx="1166" formatCode="0">
                  <c:v>13562</c:v>
                </c:pt>
                <c:pt idx="1167" formatCode="0">
                  <c:v>13598</c:v>
                </c:pt>
                <c:pt idx="1168" formatCode="0">
                  <c:v>13682</c:v>
                </c:pt>
                <c:pt idx="1169" formatCode="0">
                  <c:v>13714</c:v>
                </c:pt>
                <c:pt idx="1170" formatCode="0">
                  <c:v>13718</c:v>
                </c:pt>
                <c:pt idx="1171" formatCode="0">
                  <c:v>13744</c:v>
                </c:pt>
                <c:pt idx="1172" formatCode="0">
                  <c:v>13747</c:v>
                </c:pt>
                <c:pt idx="1173" formatCode="0">
                  <c:v>13814</c:v>
                </c:pt>
                <c:pt idx="1174" formatCode="0">
                  <c:v>13851</c:v>
                </c:pt>
                <c:pt idx="1175" formatCode="0">
                  <c:v>13877</c:v>
                </c:pt>
                <c:pt idx="1176" formatCode="0">
                  <c:v>13880</c:v>
                </c:pt>
                <c:pt idx="1177" formatCode="0">
                  <c:v>13916</c:v>
                </c:pt>
                <c:pt idx="1178" formatCode="0">
                  <c:v>13920</c:v>
                </c:pt>
                <c:pt idx="1179" formatCode="0">
                  <c:v>13924</c:v>
                </c:pt>
                <c:pt idx="1180" formatCode="0">
                  <c:v>13916</c:v>
                </c:pt>
                <c:pt idx="1181" formatCode="0">
                  <c:v>13937</c:v>
                </c:pt>
                <c:pt idx="1182" formatCode="0">
                  <c:v>13949</c:v>
                </c:pt>
                <c:pt idx="1183" formatCode="0">
                  <c:v>13952</c:v>
                </c:pt>
                <c:pt idx="1184" formatCode="0">
                  <c:v>13970</c:v>
                </c:pt>
                <c:pt idx="1185" formatCode="0">
                  <c:v>13974</c:v>
                </c:pt>
                <c:pt idx="1186" formatCode="0">
                  <c:v>13956</c:v>
                </c:pt>
                <c:pt idx="1187" formatCode="0">
                  <c:v>13643</c:v>
                </c:pt>
                <c:pt idx="1188" formatCode="0">
                  <c:v>13646</c:v>
                </c:pt>
                <c:pt idx="1189" formatCode="0">
                  <c:v>13667</c:v>
                </c:pt>
                <c:pt idx="1190" formatCode="0">
                  <c:v>13680</c:v>
                </c:pt>
                <c:pt idx="1191" formatCode="0">
                  <c:v>13736</c:v>
                </c:pt>
                <c:pt idx="1192" formatCode="0">
                  <c:v>13804</c:v>
                </c:pt>
                <c:pt idx="1193" formatCode="0">
                  <c:v>13862</c:v>
                </c:pt>
                <c:pt idx="1194" formatCode="0">
                  <c:v>13879</c:v>
                </c:pt>
                <c:pt idx="1195" formatCode="0">
                  <c:v>13915</c:v>
                </c:pt>
                <c:pt idx="1196" formatCode="0">
                  <c:v>13947</c:v>
                </c:pt>
                <c:pt idx="1197" formatCode="0">
                  <c:v>14040</c:v>
                </c:pt>
                <c:pt idx="1198" formatCode="0">
                  <c:v>14076</c:v>
                </c:pt>
                <c:pt idx="1199" formatCode="0">
                  <c:v>14097</c:v>
                </c:pt>
                <c:pt idx="1200" formatCode="0">
                  <c:v>14079</c:v>
                </c:pt>
                <c:pt idx="1201" formatCode="0">
                  <c:v>14153</c:v>
                </c:pt>
                <c:pt idx="1202" formatCode="0">
                  <c:v>14175</c:v>
                </c:pt>
                <c:pt idx="1203" formatCode="0">
                  <c:v>14179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8E-9645-926E-3830DABCE972}"/>
            </c:ext>
          </c:extLst>
        </c:ser>
        <c:ser>
          <c:idx val="5"/>
          <c:order val="5"/>
          <c:tx>
            <c:strRef>
              <c:f>balance_sheet!$J$5</c:f>
              <c:strCache>
                <c:ptCount val="1"/>
                <c:pt idx="0">
                  <c:v>Loan to Covid Corporate Financing Facility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balance_sheet!$J$6:$J$1209</c:f>
              <c:numCache>
                <c:formatCode>General</c:formatCode>
                <c:ptCount val="1204"/>
                <c:pt idx="1164" formatCode="0">
                  <c:v>1908</c:v>
                </c:pt>
                <c:pt idx="1165" formatCode="0">
                  <c:v>5873</c:v>
                </c:pt>
                <c:pt idx="1166" formatCode="0">
                  <c:v>8244</c:v>
                </c:pt>
                <c:pt idx="1167" formatCode="0">
                  <c:v>11218</c:v>
                </c:pt>
                <c:pt idx="1168" formatCode="0">
                  <c:v>15910</c:v>
                </c:pt>
                <c:pt idx="1169" formatCode="0">
                  <c:v>17684</c:v>
                </c:pt>
                <c:pt idx="1170" formatCode="0">
                  <c:v>18767</c:v>
                </c:pt>
                <c:pt idx="1171" formatCode="0">
                  <c:v>20498</c:v>
                </c:pt>
                <c:pt idx="1172" formatCode="0">
                  <c:v>18979</c:v>
                </c:pt>
                <c:pt idx="1173" formatCode="0">
                  <c:v>16186</c:v>
                </c:pt>
                <c:pt idx="1174" formatCode="0">
                  <c:v>16310</c:v>
                </c:pt>
                <c:pt idx="1175" formatCode="0">
                  <c:v>17759</c:v>
                </c:pt>
                <c:pt idx="1176" formatCode="0">
                  <c:v>18596</c:v>
                </c:pt>
                <c:pt idx="1177" formatCode="0">
                  <c:v>17616</c:v>
                </c:pt>
                <c:pt idx="1178" formatCode="0">
                  <c:v>18254</c:v>
                </c:pt>
                <c:pt idx="1179" formatCode="0">
                  <c:v>18498</c:v>
                </c:pt>
                <c:pt idx="1180" formatCode="0">
                  <c:v>18718</c:v>
                </c:pt>
                <c:pt idx="1181" formatCode="0">
                  <c:v>17393</c:v>
                </c:pt>
                <c:pt idx="1182" formatCode="0">
                  <c:v>17393</c:v>
                </c:pt>
                <c:pt idx="1183" formatCode="0">
                  <c:v>17483</c:v>
                </c:pt>
                <c:pt idx="1184" formatCode="0">
                  <c:v>17533</c:v>
                </c:pt>
                <c:pt idx="1185" formatCode="0">
                  <c:v>17532</c:v>
                </c:pt>
                <c:pt idx="1186" formatCode="0">
                  <c:v>17433</c:v>
                </c:pt>
                <c:pt idx="1187" formatCode="0">
                  <c:v>17678</c:v>
                </c:pt>
                <c:pt idx="1188" formatCode="0">
                  <c:v>16991</c:v>
                </c:pt>
                <c:pt idx="1189" formatCode="0">
                  <c:v>16423</c:v>
                </c:pt>
                <c:pt idx="1190" formatCode="0">
                  <c:v>15724</c:v>
                </c:pt>
                <c:pt idx="1191" formatCode="0">
                  <c:v>15849</c:v>
                </c:pt>
                <c:pt idx="1192" formatCode="0">
                  <c:v>15849</c:v>
                </c:pt>
                <c:pt idx="1193" formatCode="0">
                  <c:v>15236</c:v>
                </c:pt>
                <c:pt idx="1194" formatCode="0">
                  <c:v>15291</c:v>
                </c:pt>
                <c:pt idx="1195" formatCode="0">
                  <c:v>15321</c:v>
                </c:pt>
                <c:pt idx="1196" formatCode="0">
                  <c:v>15236</c:v>
                </c:pt>
                <c:pt idx="1197" formatCode="0">
                  <c:v>15360</c:v>
                </c:pt>
                <c:pt idx="1198" formatCode="0">
                  <c:v>15131</c:v>
                </c:pt>
                <c:pt idx="1199" formatCode="0">
                  <c:v>15142</c:v>
                </c:pt>
                <c:pt idx="1200" formatCode="0">
                  <c:v>14887</c:v>
                </c:pt>
                <c:pt idx="1201" formatCode="0">
                  <c:v>13408</c:v>
                </c:pt>
                <c:pt idx="1202" formatCode="0">
                  <c:v>12237</c:v>
                </c:pt>
                <c:pt idx="1203" formatCode="0">
                  <c:v>12162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8E-9645-926E-3830DABCE972}"/>
            </c:ext>
          </c:extLst>
        </c:ser>
        <c:ser>
          <c:idx val="6"/>
          <c:order val="6"/>
          <c:tx>
            <c:strRef>
              <c:f>balance_sheet!$K$5</c:f>
              <c:strCache>
                <c:ptCount val="1"/>
                <c:pt idx="0">
                  <c:v>Loan to Asset Purchase Facility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balance_sheet!$K$6:$K$1209</c:f>
              <c:numCache>
                <c:formatCode>General</c:formatCode>
                <c:ptCount val="1204"/>
                <c:pt idx="824" formatCode="0">
                  <c:v>375000</c:v>
                </c:pt>
                <c:pt idx="825" formatCode="0">
                  <c:v>375000</c:v>
                </c:pt>
                <c:pt idx="826" formatCode="0">
                  <c:v>375000</c:v>
                </c:pt>
                <c:pt idx="827" formatCode="0">
                  <c:v>375000</c:v>
                </c:pt>
                <c:pt idx="828" formatCode="0">
                  <c:v>375000</c:v>
                </c:pt>
                <c:pt idx="829" formatCode="0">
                  <c:v>375000</c:v>
                </c:pt>
                <c:pt idx="830" formatCode="0">
                  <c:v>375000</c:v>
                </c:pt>
                <c:pt idx="831" formatCode="0">
                  <c:v>375000</c:v>
                </c:pt>
                <c:pt idx="832" formatCode="0">
                  <c:v>375000</c:v>
                </c:pt>
                <c:pt idx="833" formatCode="0">
                  <c:v>375000</c:v>
                </c:pt>
                <c:pt idx="834" formatCode="0">
                  <c:v>375000</c:v>
                </c:pt>
                <c:pt idx="835" formatCode="0">
                  <c:v>375000</c:v>
                </c:pt>
                <c:pt idx="836" formatCode="0">
                  <c:v>375000</c:v>
                </c:pt>
                <c:pt idx="837" formatCode="0">
                  <c:v>375000</c:v>
                </c:pt>
                <c:pt idx="838" formatCode="0">
                  <c:v>375000</c:v>
                </c:pt>
                <c:pt idx="839" formatCode="0">
                  <c:v>375000</c:v>
                </c:pt>
                <c:pt idx="840" formatCode="0">
                  <c:v>375000</c:v>
                </c:pt>
                <c:pt idx="841" formatCode="0">
                  <c:v>375000</c:v>
                </c:pt>
                <c:pt idx="842" formatCode="0">
                  <c:v>375000</c:v>
                </c:pt>
                <c:pt idx="843" formatCode="0">
                  <c:v>375000</c:v>
                </c:pt>
                <c:pt idx="844" formatCode="0">
                  <c:v>375000</c:v>
                </c:pt>
                <c:pt idx="845" formatCode="0">
                  <c:v>375000</c:v>
                </c:pt>
                <c:pt idx="846" formatCode="0">
                  <c:v>375000</c:v>
                </c:pt>
                <c:pt idx="847" formatCode="0">
                  <c:v>375000</c:v>
                </c:pt>
                <c:pt idx="848" formatCode="0">
                  <c:v>375000</c:v>
                </c:pt>
                <c:pt idx="849" formatCode="0">
                  <c:v>375000</c:v>
                </c:pt>
                <c:pt idx="850" formatCode="0">
                  <c:v>375000</c:v>
                </c:pt>
                <c:pt idx="851" formatCode="0">
                  <c:v>375000</c:v>
                </c:pt>
                <c:pt idx="852" formatCode="0">
                  <c:v>375000</c:v>
                </c:pt>
                <c:pt idx="853" formatCode="0">
                  <c:v>375000</c:v>
                </c:pt>
                <c:pt idx="854" formatCode="0">
                  <c:v>375000</c:v>
                </c:pt>
                <c:pt idx="855" formatCode="0">
                  <c:v>375000</c:v>
                </c:pt>
                <c:pt idx="856" formatCode="0">
                  <c:v>375000</c:v>
                </c:pt>
                <c:pt idx="857" formatCode="0">
                  <c:v>375000</c:v>
                </c:pt>
                <c:pt idx="858" formatCode="0">
                  <c:v>375000</c:v>
                </c:pt>
                <c:pt idx="859" formatCode="0">
                  <c:v>375000</c:v>
                </c:pt>
                <c:pt idx="860" formatCode="0">
                  <c:v>375000</c:v>
                </c:pt>
                <c:pt idx="861" formatCode="0">
                  <c:v>375000</c:v>
                </c:pt>
                <c:pt idx="862" formatCode="0">
                  <c:v>375000</c:v>
                </c:pt>
                <c:pt idx="863" formatCode="0">
                  <c:v>375000</c:v>
                </c:pt>
                <c:pt idx="864" formatCode="0">
                  <c:v>375000</c:v>
                </c:pt>
                <c:pt idx="865" formatCode="0">
                  <c:v>375000</c:v>
                </c:pt>
                <c:pt idx="866" formatCode="0">
                  <c:v>375000</c:v>
                </c:pt>
                <c:pt idx="867" formatCode="0">
                  <c:v>375000</c:v>
                </c:pt>
                <c:pt idx="868" formatCode="0">
                  <c:v>375000</c:v>
                </c:pt>
                <c:pt idx="869" formatCode="0">
                  <c:v>375000</c:v>
                </c:pt>
                <c:pt idx="870" formatCode="0">
                  <c:v>375000</c:v>
                </c:pt>
                <c:pt idx="871" formatCode="0">
                  <c:v>375000</c:v>
                </c:pt>
                <c:pt idx="872" formatCode="0">
                  <c:v>375000</c:v>
                </c:pt>
                <c:pt idx="873" formatCode="0">
                  <c:v>375000</c:v>
                </c:pt>
                <c:pt idx="874" formatCode="0">
                  <c:v>375000</c:v>
                </c:pt>
                <c:pt idx="875" formatCode="0">
                  <c:v>375000</c:v>
                </c:pt>
                <c:pt idx="876" formatCode="0">
                  <c:v>375000</c:v>
                </c:pt>
                <c:pt idx="877" formatCode="0">
                  <c:v>375000</c:v>
                </c:pt>
                <c:pt idx="878" formatCode="0">
                  <c:v>375000</c:v>
                </c:pt>
                <c:pt idx="879" formatCode="0">
                  <c:v>375000</c:v>
                </c:pt>
                <c:pt idx="880" formatCode="0">
                  <c:v>375000</c:v>
                </c:pt>
                <c:pt idx="881" formatCode="0">
                  <c:v>375000</c:v>
                </c:pt>
                <c:pt idx="882" formatCode="0">
                  <c:v>375000</c:v>
                </c:pt>
                <c:pt idx="883" formatCode="0">
                  <c:v>375000</c:v>
                </c:pt>
                <c:pt idx="884" formatCode="0">
                  <c:v>375000</c:v>
                </c:pt>
                <c:pt idx="885" formatCode="0">
                  <c:v>375000</c:v>
                </c:pt>
                <c:pt idx="886" formatCode="0">
                  <c:v>375000</c:v>
                </c:pt>
                <c:pt idx="887" formatCode="0">
                  <c:v>375000</c:v>
                </c:pt>
                <c:pt idx="888" formatCode="0">
                  <c:v>375000</c:v>
                </c:pt>
                <c:pt idx="889" formatCode="0">
                  <c:v>375000</c:v>
                </c:pt>
                <c:pt idx="890" formatCode="0">
                  <c:v>375000</c:v>
                </c:pt>
                <c:pt idx="891" formatCode="0">
                  <c:v>375000</c:v>
                </c:pt>
                <c:pt idx="892" formatCode="0">
                  <c:v>375000</c:v>
                </c:pt>
                <c:pt idx="893" formatCode="0">
                  <c:v>375000</c:v>
                </c:pt>
                <c:pt idx="894" formatCode="0">
                  <c:v>375000</c:v>
                </c:pt>
                <c:pt idx="895" formatCode="0">
                  <c:v>375000</c:v>
                </c:pt>
                <c:pt idx="896" formatCode="0">
                  <c:v>375000</c:v>
                </c:pt>
                <c:pt idx="897" formatCode="0">
                  <c:v>375000</c:v>
                </c:pt>
                <c:pt idx="898" formatCode="0">
                  <c:v>375000</c:v>
                </c:pt>
                <c:pt idx="899" formatCode="0">
                  <c:v>375000</c:v>
                </c:pt>
                <c:pt idx="900" formatCode="0">
                  <c:v>375000</c:v>
                </c:pt>
                <c:pt idx="901" formatCode="0">
                  <c:v>375000</c:v>
                </c:pt>
                <c:pt idx="902" formatCode="0">
                  <c:v>375000</c:v>
                </c:pt>
                <c:pt idx="903" formatCode="0">
                  <c:v>375000</c:v>
                </c:pt>
                <c:pt idx="904" formatCode="0">
                  <c:v>375000</c:v>
                </c:pt>
                <c:pt idx="905" formatCode="0">
                  <c:v>375000</c:v>
                </c:pt>
                <c:pt idx="906" formatCode="0">
                  <c:v>375000</c:v>
                </c:pt>
                <c:pt idx="907" formatCode="0">
                  <c:v>375000</c:v>
                </c:pt>
                <c:pt idx="908" formatCode="0">
                  <c:v>375000</c:v>
                </c:pt>
                <c:pt idx="909" formatCode="0">
                  <c:v>375000</c:v>
                </c:pt>
                <c:pt idx="910" formatCode="0">
                  <c:v>375000</c:v>
                </c:pt>
                <c:pt idx="911" formatCode="0">
                  <c:v>375000</c:v>
                </c:pt>
                <c:pt idx="912" formatCode="0">
                  <c:v>375000</c:v>
                </c:pt>
                <c:pt idx="913" formatCode="0">
                  <c:v>375000</c:v>
                </c:pt>
                <c:pt idx="914" formatCode="0">
                  <c:v>375000</c:v>
                </c:pt>
                <c:pt idx="915" formatCode="0">
                  <c:v>375000</c:v>
                </c:pt>
                <c:pt idx="916" formatCode="0">
                  <c:v>375000</c:v>
                </c:pt>
                <c:pt idx="917" formatCode="0">
                  <c:v>375000</c:v>
                </c:pt>
                <c:pt idx="918" formatCode="0">
                  <c:v>375000</c:v>
                </c:pt>
                <c:pt idx="919" formatCode="0">
                  <c:v>375000</c:v>
                </c:pt>
                <c:pt idx="920" formatCode="0">
                  <c:v>375000</c:v>
                </c:pt>
                <c:pt idx="921" formatCode="0">
                  <c:v>375000</c:v>
                </c:pt>
                <c:pt idx="922" formatCode="0">
                  <c:v>375000</c:v>
                </c:pt>
                <c:pt idx="923" formatCode="0">
                  <c:v>375000</c:v>
                </c:pt>
                <c:pt idx="924" formatCode="0">
                  <c:v>375000</c:v>
                </c:pt>
                <c:pt idx="925" formatCode="0">
                  <c:v>375000</c:v>
                </c:pt>
                <c:pt idx="926" formatCode="0">
                  <c:v>375000</c:v>
                </c:pt>
                <c:pt idx="927" formatCode="0">
                  <c:v>375000</c:v>
                </c:pt>
                <c:pt idx="928" formatCode="0">
                  <c:v>375000</c:v>
                </c:pt>
                <c:pt idx="929" formatCode="0">
                  <c:v>375000</c:v>
                </c:pt>
                <c:pt idx="930" formatCode="0">
                  <c:v>375000</c:v>
                </c:pt>
                <c:pt idx="931" formatCode="0">
                  <c:v>375000</c:v>
                </c:pt>
                <c:pt idx="932" formatCode="0">
                  <c:v>375000</c:v>
                </c:pt>
                <c:pt idx="933" formatCode="0">
                  <c:v>375000</c:v>
                </c:pt>
                <c:pt idx="934" formatCode="0">
                  <c:v>375000</c:v>
                </c:pt>
                <c:pt idx="935" formatCode="0">
                  <c:v>375000</c:v>
                </c:pt>
                <c:pt idx="936" formatCode="0">
                  <c:v>375000</c:v>
                </c:pt>
                <c:pt idx="937" formatCode="0">
                  <c:v>375000</c:v>
                </c:pt>
                <c:pt idx="938" formatCode="0">
                  <c:v>375000</c:v>
                </c:pt>
                <c:pt idx="939" formatCode="0">
                  <c:v>375000</c:v>
                </c:pt>
                <c:pt idx="940" formatCode="0">
                  <c:v>375000</c:v>
                </c:pt>
                <c:pt idx="941" formatCode="0">
                  <c:v>375000</c:v>
                </c:pt>
                <c:pt idx="942" formatCode="0">
                  <c:v>375000</c:v>
                </c:pt>
                <c:pt idx="943" formatCode="0">
                  <c:v>375000</c:v>
                </c:pt>
                <c:pt idx="944" formatCode="0">
                  <c:v>375000</c:v>
                </c:pt>
                <c:pt idx="945" formatCode="0">
                  <c:v>375000</c:v>
                </c:pt>
                <c:pt idx="946" formatCode="0">
                  <c:v>375000</c:v>
                </c:pt>
                <c:pt idx="947" formatCode="0">
                  <c:v>375000</c:v>
                </c:pt>
                <c:pt idx="948" formatCode="0">
                  <c:v>375000</c:v>
                </c:pt>
                <c:pt idx="949" formatCode="0">
                  <c:v>375000</c:v>
                </c:pt>
                <c:pt idx="950" formatCode="0">
                  <c:v>375000</c:v>
                </c:pt>
                <c:pt idx="951" formatCode="0">
                  <c:v>375000</c:v>
                </c:pt>
                <c:pt idx="952" formatCode="0">
                  <c:v>375000</c:v>
                </c:pt>
                <c:pt idx="953" formatCode="0">
                  <c:v>375000</c:v>
                </c:pt>
                <c:pt idx="954" formatCode="0">
                  <c:v>375000</c:v>
                </c:pt>
                <c:pt idx="955" formatCode="0">
                  <c:v>375000</c:v>
                </c:pt>
                <c:pt idx="956" formatCode="0">
                  <c:v>375000</c:v>
                </c:pt>
                <c:pt idx="957" formatCode="0">
                  <c:v>375000</c:v>
                </c:pt>
                <c:pt idx="958" formatCode="0">
                  <c:v>375000</c:v>
                </c:pt>
                <c:pt idx="959" formatCode="0">
                  <c:v>375000</c:v>
                </c:pt>
                <c:pt idx="960" formatCode="0">
                  <c:v>375000</c:v>
                </c:pt>
                <c:pt idx="961" formatCode="0">
                  <c:v>375000</c:v>
                </c:pt>
                <c:pt idx="962" formatCode="0">
                  <c:v>375000</c:v>
                </c:pt>
                <c:pt idx="963" formatCode="0">
                  <c:v>375000</c:v>
                </c:pt>
                <c:pt idx="964" formatCode="0">
                  <c:v>375000</c:v>
                </c:pt>
                <c:pt idx="965" formatCode="0">
                  <c:v>375000</c:v>
                </c:pt>
                <c:pt idx="966" formatCode="0">
                  <c:v>375000</c:v>
                </c:pt>
                <c:pt idx="967" formatCode="0">
                  <c:v>375000</c:v>
                </c:pt>
                <c:pt idx="968" formatCode="0">
                  <c:v>375000</c:v>
                </c:pt>
                <c:pt idx="969" formatCode="0">
                  <c:v>375000</c:v>
                </c:pt>
                <c:pt idx="970" formatCode="0">
                  <c:v>375000</c:v>
                </c:pt>
                <c:pt idx="971" formatCode="0">
                  <c:v>375000</c:v>
                </c:pt>
                <c:pt idx="972" formatCode="0">
                  <c:v>375000</c:v>
                </c:pt>
                <c:pt idx="973" formatCode="0">
                  <c:v>375000</c:v>
                </c:pt>
                <c:pt idx="974" formatCode="0">
                  <c:v>377288</c:v>
                </c:pt>
                <c:pt idx="975" formatCode="0">
                  <c:v>380798</c:v>
                </c:pt>
                <c:pt idx="976" formatCode="0">
                  <c:v>384307</c:v>
                </c:pt>
                <c:pt idx="977" formatCode="0">
                  <c:v>386647</c:v>
                </c:pt>
                <c:pt idx="978" formatCode="0">
                  <c:v>390157</c:v>
                </c:pt>
                <c:pt idx="979" formatCode="0">
                  <c:v>392566</c:v>
                </c:pt>
                <c:pt idx="980" formatCode="0">
                  <c:v>394426</c:v>
                </c:pt>
                <c:pt idx="981" formatCode="0">
                  <c:v>396336</c:v>
                </c:pt>
                <c:pt idx="982" formatCode="0">
                  <c:v>398723</c:v>
                </c:pt>
                <c:pt idx="983" formatCode="0">
                  <c:v>402126</c:v>
                </c:pt>
                <c:pt idx="984" formatCode="0">
                  <c:v>404703</c:v>
                </c:pt>
                <c:pt idx="985" formatCode="0">
                  <c:v>406998</c:v>
                </c:pt>
                <c:pt idx="986" formatCode="0">
                  <c:v>408690</c:v>
                </c:pt>
                <c:pt idx="987" formatCode="0">
                  <c:v>411488</c:v>
                </c:pt>
                <c:pt idx="988" formatCode="0">
                  <c:v>415204</c:v>
                </c:pt>
                <c:pt idx="989" formatCode="0">
                  <c:v>418783</c:v>
                </c:pt>
                <c:pt idx="990" formatCode="0">
                  <c:v>425741</c:v>
                </c:pt>
                <c:pt idx="991" formatCode="0">
                  <c:v>431134</c:v>
                </c:pt>
                <c:pt idx="992" formatCode="0">
                  <c:v>436505</c:v>
                </c:pt>
                <c:pt idx="993" formatCode="0">
                  <c:v>448425</c:v>
                </c:pt>
                <c:pt idx="994" formatCode="0">
                  <c:v>448575</c:v>
                </c:pt>
                <c:pt idx="995" formatCode="0">
                  <c:v>449082</c:v>
                </c:pt>
                <c:pt idx="996" formatCode="0">
                  <c:v>455451</c:v>
                </c:pt>
                <c:pt idx="997" formatCode="0">
                  <c:v>464152</c:v>
                </c:pt>
                <c:pt idx="998" formatCode="0">
                  <c:v>468037</c:v>
                </c:pt>
                <c:pt idx="999" formatCode="0">
                  <c:v>474013</c:v>
                </c:pt>
                <c:pt idx="1000" formatCode="0">
                  <c:v>479615</c:v>
                </c:pt>
                <c:pt idx="1001" formatCode="0">
                  <c:v>480541</c:v>
                </c:pt>
                <c:pt idx="1002" formatCode="0">
                  <c:v>484362</c:v>
                </c:pt>
                <c:pt idx="1003" formatCode="0">
                  <c:v>485633</c:v>
                </c:pt>
                <c:pt idx="1004" formatCode="0">
                  <c:v>486891</c:v>
                </c:pt>
                <c:pt idx="1005" formatCode="0">
                  <c:v>488354</c:v>
                </c:pt>
                <c:pt idx="1006" formatCode="0">
                  <c:v>490774</c:v>
                </c:pt>
                <c:pt idx="1007" formatCode="0">
                  <c:v>497306</c:v>
                </c:pt>
                <c:pt idx="1008" formatCode="0">
                  <c:v>499252</c:v>
                </c:pt>
                <c:pt idx="1009" formatCode="0">
                  <c:v>500009</c:v>
                </c:pt>
                <c:pt idx="1010" formatCode="0">
                  <c:v>500319</c:v>
                </c:pt>
                <c:pt idx="1011" formatCode="0">
                  <c:v>502500</c:v>
                </c:pt>
                <c:pt idx="1012" formatCode="0">
                  <c:v>502891</c:v>
                </c:pt>
                <c:pt idx="1013" formatCode="0">
                  <c:v>503704</c:v>
                </c:pt>
                <c:pt idx="1014" formatCode="0">
                  <c:v>505174</c:v>
                </c:pt>
                <c:pt idx="1015" formatCode="0">
                  <c:v>508034</c:v>
                </c:pt>
                <c:pt idx="1016" formatCode="0">
                  <c:v>508298</c:v>
                </c:pt>
                <c:pt idx="1017" formatCode="0">
                  <c:v>510023</c:v>
                </c:pt>
                <c:pt idx="1018" formatCode="0">
                  <c:v>510195</c:v>
                </c:pt>
                <c:pt idx="1019" formatCode="0">
                  <c:v>513661</c:v>
                </c:pt>
                <c:pt idx="1020" formatCode="0">
                  <c:v>514256</c:v>
                </c:pt>
                <c:pt idx="1021" formatCode="0">
                  <c:v>520461</c:v>
                </c:pt>
                <c:pt idx="1022" formatCode="0">
                  <c:v>520486</c:v>
                </c:pt>
                <c:pt idx="1023" formatCode="0">
                  <c:v>520661</c:v>
                </c:pt>
                <c:pt idx="1024" formatCode="0">
                  <c:v>523315</c:v>
                </c:pt>
                <c:pt idx="1025" formatCode="0">
                  <c:v>524589</c:v>
                </c:pt>
                <c:pt idx="1026" formatCode="0">
                  <c:v>524636</c:v>
                </c:pt>
                <c:pt idx="1027" formatCode="0">
                  <c:v>525375</c:v>
                </c:pt>
                <c:pt idx="1028" formatCode="0">
                  <c:v>527740</c:v>
                </c:pt>
                <c:pt idx="1029" formatCode="0">
                  <c:v>527852</c:v>
                </c:pt>
                <c:pt idx="1030" formatCode="0">
                  <c:v>527444</c:v>
                </c:pt>
                <c:pt idx="1031" formatCode="0">
                  <c:v>527624</c:v>
                </c:pt>
                <c:pt idx="1032" formatCode="0">
                  <c:v>529324</c:v>
                </c:pt>
                <c:pt idx="1033" formatCode="0">
                  <c:v>529542</c:v>
                </c:pt>
                <c:pt idx="1034" formatCode="0">
                  <c:v>530041</c:v>
                </c:pt>
                <c:pt idx="1035" formatCode="0">
                  <c:v>532292</c:v>
                </c:pt>
                <c:pt idx="1036" formatCode="0">
                  <c:v>532537</c:v>
                </c:pt>
                <c:pt idx="1037" formatCode="0">
                  <c:v>534353</c:v>
                </c:pt>
                <c:pt idx="1038" formatCode="0">
                  <c:v>534915</c:v>
                </c:pt>
                <c:pt idx="1039" formatCode="0">
                  <c:v>535115</c:v>
                </c:pt>
                <c:pt idx="1040" formatCode="0">
                  <c:v>535560</c:v>
                </c:pt>
                <c:pt idx="1041" formatCode="0">
                  <c:v>536398</c:v>
                </c:pt>
                <c:pt idx="1042" formatCode="0">
                  <c:v>537583</c:v>
                </c:pt>
                <c:pt idx="1043" formatCode="0">
                  <c:v>538399</c:v>
                </c:pt>
                <c:pt idx="1044" formatCode="0">
                  <c:v>545251</c:v>
                </c:pt>
                <c:pt idx="1045" formatCode="0">
                  <c:v>547539</c:v>
                </c:pt>
                <c:pt idx="1046" formatCode="0">
                  <c:v>547819</c:v>
                </c:pt>
                <c:pt idx="1047" formatCode="0">
                  <c:v>547944</c:v>
                </c:pt>
                <c:pt idx="1048" formatCode="0">
                  <c:v>548066</c:v>
                </c:pt>
                <c:pt idx="1049" formatCode="0">
                  <c:v>548276</c:v>
                </c:pt>
                <c:pt idx="1050" formatCode="0">
                  <c:v>551009</c:v>
                </c:pt>
                <c:pt idx="1051" formatCode="0">
                  <c:v>551864</c:v>
                </c:pt>
                <c:pt idx="1052" formatCode="0">
                  <c:v>552966</c:v>
                </c:pt>
                <c:pt idx="1053" formatCode="0">
                  <c:v>557402</c:v>
                </c:pt>
                <c:pt idx="1054" formatCode="0">
                  <c:v>560417</c:v>
                </c:pt>
                <c:pt idx="1055" formatCode="0">
                  <c:v>572012</c:v>
                </c:pt>
                <c:pt idx="1056" formatCode="0">
                  <c:v>572012</c:v>
                </c:pt>
                <c:pt idx="1057" formatCode="0">
                  <c:v>572012</c:v>
                </c:pt>
                <c:pt idx="1058" formatCode="0">
                  <c:v>572012</c:v>
                </c:pt>
                <c:pt idx="1059" formatCode="0">
                  <c:v>572012</c:v>
                </c:pt>
                <c:pt idx="1060" formatCode="0">
                  <c:v>572012</c:v>
                </c:pt>
                <c:pt idx="1061" formatCode="0">
                  <c:v>572012</c:v>
                </c:pt>
                <c:pt idx="1062" formatCode="0">
                  <c:v>572007</c:v>
                </c:pt>
                <c:pt idx="1063" formatCode="0">
                  <c:v>572007</c:v>
                </c:pt>
                <c:pt idx="1064" formatCode="0">
                  <c:v>571607</c:v>
                </c:pt>
                <c:pt idx="1065" formatCode="0">
                  <c:v>571607</c:v>
                </c:pt>
                <c:pt idx="1066" formatCode="0">
                  <c:v>571607</c:v>
                </c:pt>
                <c:pt idx="1067" formatCode="0">
                  <c:v>571607</c:v>
                </c:pt>
                <c:pt idx="1068" formatCode="0">
                  <c:v>571607</c:v>
                </c:pt>
                <c:pt idx="1069" formatCode="0">
                  <c:v>571607</c:v>
                </c:pt>
                <c:pt idx="1070" formatCode="0">
                  <c:v>571607</c:v>
                </c:pt>
                <c:pt idx="1071" formatCode="0">
                  <c:v>571607</c:v>
                </c:pt>
                <c:pt idx="1072" formatCode="0">
                  <c:v>571457</c:v>
                </c:pt>
                <c:pt idx="1073" formatCode="0">
                  <c:v>571457</c:v>
                </c:pt>
                <c:pt idx="1074" formatCode="0">
                  <c:v>571457</c:v>
                </c:pt>
                <c:pt idx="1075" formatCode="0">
                  <c:v>571457</c:v>
                </c:pt>
                <c:pt idx="1076" formatCode="0">
                  <c:v>571457</c:v>
                </c:pt>
                <c:pt idx="1077" formatCode="0">
                  <c:v>571457</c:v>
                </c:pt>
                <c:pt idx="1078" formatCode="0">
                  <c:v>571457</c:v>
                </c:pt>
                <c:pt idx="1079" formatCode="0">
                  <c:v>571457</c:v>
                </c:pt>
                <c:pt idx="1080" formatCode="0">
                  <c:v>571454</c:v>
                </c:pt>
                <c:pt idx="1081" formatCode="0">
                  <c:v>571454</c:v>
                </c:pt>
                <c:pt idx="1082" formatCode="0">
                  <c:v>571454</c:v>
                </c:pt>
                <c:pt idx="1083" formatCode="0">
                  <c:v>571454</c:v>
                </c:pt>
                <c:pt idx="1084" formatCode="0">
                  <c:v>571444</c:v>
                </c:pt>
                <c:pt idx="1085" formatCode="0">
                  <c:v>571444</c:v>
                </c:pt>
                <c:pt idx="1086" formatCode="0">
                  <c:v>571444</c:v>
                </c:pt>
                <c:pt idx="1087" formatCode="0">
                  <c:v>571444</c:v>
                </c:pt>
                <c:pt idx="1088" formatCode="0">
                  <c:v>571444</c:v>
                </c:pt>
                <c:pt idx="1089" formatCode="0">
                  <c:v>571444</c:v>
                </c:pt>
                <c:pt idx="1090" formatCode="0">
                  <c:v>571444</c:v>
                </c:pt>
                <c:pt idx="1091" formatCode="0">
                  <c:v>571444</c:v>
                </c:pt>
                <c:pt idx="1092" formatCode="0">
                  <c:v>566444</c:v>
                </c:pt>
                <c:pt idx="1093" formatCode="0">
                  <c:v>566444</c:v>
                </c:pt>
                <c:pt idx="1094" formatCode="0">
                  <c:v>566444</c:v>
                </c:pt>
                <c:pt idx="1095" formatCode="0">
                  <c:v>566439</c:v>
                </c:pt>
                <c:pt idx="1096" formatCode="0">
                  <c:v>566439</c:v>
                </c:pt>
                <c:pt idx="1097" formatCode="0">
                  <c:v>566439</c:v>
                </c:pt>
                <c:pt idx="1098" formatCode="0">
                  <c:v>566439</c:v>
                </c:pt>
                <c:pt idx="1099" formatCode="0">
                  <c:v>566439</c:v>
                </c:pt>
                <c:pt idx="1100" formatCode="0">
                  <c:v>566439</c:v>
                </c:pt>
                <c:pt idx="1101" formatCode="0">
                  <c:v>566438</c:v>
                </c:pt>
                <c:pt idx="1102" formatCode="0">
                  <c:v>444997</c:v>
                </c:pt>
                <c:pt idx="1103" formatCode="0">
                  <c:v>444997</c:v>
                </c:pt>
                <c:pt idx="1104" formatCode="0">
                  <c:v>444997</c:v>
                </c:pt>
                <c:pt idx="1105" formatCode="0">
                  <c:v>444997</c:v>
                </c:pt>
                <c:pt idx="1106" formatCode="0">
                  <c:v>444997</c:v>
                </c:pt>
                <c:pt idx="1107" formatCode="0">
                  <c:v>444997</c:v>
                </c:pt>
                <c:pt idx="1108" formatCode="0">
                  <c:v>444997</c:v>
                </c:pt>
                <c:pt idx="1109" formatCode="0">
                  <c:v>444997</c:v>
                </c:pt>
                <c:pt idx="1110" formatCode="0">
                  <c:v>444997</c:v>
                </c:pt>
                <c:pt idx="1111" formatCode="0">
                  <c:v>444997</c:v>
                </c:pt>
                <c:pt idx="1112" formatCode="0">
                  <c:v>444997</c:v>
                </c:pt>
                <c:pt idx="1113" formatCode="0">
                  <c:v>444997</c:v>
                </c:pt>
                <c:pt idx="1114" formatCode="0">
                  <c:v>444997</c:v>
                </c:pt>
                <c:pt idx="1115" formatCode="0">
                  <c:v>444997</c:v>
                </c:pt>
                <c:pt idx="1116" formatCode="0">
                  <c:v>444997</c:v>
                </c:pt>
                <c:pt idx="1117" formatCode="0">
                  <c:v>444997</c:v>
                </c:pt>
                <c:pt idx="1118" formatCode="0">
                  <c:v>444997</c:v>
                </c:pt>
                <c:pt idx="1119" formatCode="0">
                  <c:v>444997</c:v>
                </c:pt>
                <c:pt idx="1120" formatCode="0">
                  <c:v>444997</c:v>
                </c:pt>
                <c:pt idx="1121" formatCode="0">
                  <c:v>444997</c:v>
                </c:pt>
                <c:pt idx="1122" formatCode="0">
                  <c:v>444997</c:v>
                </c:pt>
                <c:pt idx="1123" formatCode="0">
                  <c:v>444997</c:v>
                </c:pt>
                <c:pt idx="1124" formatCode="0">
                  <c:v>444997</c:v>
                </c:pt>
                <c:pt idx="1125" formatCode="0">
                  <c:v>444997</c:v>
                </c:pt>
                <c:pt idx="1126" formatCode="0">
                  <c:v>444997</c:v>
                </c:pt>
                <c:pt idx="1127" formatCode="0">
                  <c:v>444997</c:v>
                </c:pt>
                <c:pt idx="1128" formatCode="0">
                  <c:v>444997</c:v>
                </c:pt>
                <c:pt idx="1129" formatCode="0">
                  <c:v>444997</c:v>
                </c:pt>
                <c:pt idx="1130" formatCode="0">
                  <c:v>444997</c:v>
                </c:pt>
                <c:pt idx="1131" formatCode="0">
                  <c:v>444997</c:v>
                </c:pt>
                <c:pt idx="1132" formatCode="0">
                  <c:v>444997</c:v>
                </c:pt>
                <c:pt idx="1133" formatCode="0">
                  <c:v>444997</c:v>
                </c:pt>
                <c:pt idx="1134" formatCode="0">
                  <c:v>444997</c:v>
                </c:pt>
                <c:pt idx="1135" formatCode="0">
                  <c:v>444997</c:v>
                </c:pt>
                <c:pt idx="1136" formatCode="0">
                  <c:v>444997</c:v>
                </c:pt>
                <c:pt idx="1137" formatCode="0">
                  <c:v>444997</c:v>
                </c:pt>
                <c:pt idx="1138" formatCode="0">
                  <c:v>444997</c:v>
                </c:pt>
                <c:pt idx="1139" formatCode="0">
                  <c:v>444997</c:v>
                </c:pt>
                <c:pt idx="1140" formatCode="0">
                  <c:v>444997</c:v>
                </c:pt>
                <c:pt idx="1141" formatCode="0">
                  <c:v>444997</c:v>
                </c:pt>
                <c:pt idx="1142" formatCode="0">
                  <c:v>444997</c:v>
                </c:pt>
                <c:pt idx="1143" formatCode="0">
                  <c:v>444997</c:v>
                </c:pt>
                <c:pt idx="1144" formatCode="0">
                  <c:v>444997</c:v>
                </c:pt>
                <c:pt idx="1145" formatCode="0">
                  <c:v>444997</c:v>
                </c:pt>
                <c:pt idx="1146" formatCode="0">
                  <c:v>444997</c:v>
                </c:pt>
                <c:pt idx="1147" formatCode="0">
                  <c:v>444997</c:v>
                </c:pt>
                <c:pt idx="1148" formatCode="0">
                  <c:v>444997</c:v>
                </c:pt>
                <c:pt idx="1149" formatCode="0">
                  <c:v>444997</c:v>
                </c:pt>
                <c:pt idx="1150" formatCode="0">
                  <c:v>444997</c:v>
                </c:pt>
                <c:pt idx="1151" formatCode="0">
                  <c:v>444997</c:v>
                </c:pt>
                <c:pt idx="1152" formatCode="0">
                  <c:v>444997</c:v>
                </c:pt>
                <c:pt idx="1153" formatCode="0">
                  <c:v>444997</c:v>
                </c:pt>
                <c:pt idx="1154" formatCode="0">
                  <c:v>444997</c:v>
                </c:pt>
                <c:pt idx="1155" formatCode="0">
                  <c:v>444997</c:v>
                </c:pt>
                <c:pt idx="1156" formatCode="0">
                  <c:v>444997</c:v>
                </c:pt>
                <c:pt idx="1157" formatCode="0">
                  <c:v>444997</c:v>
                </c:pt>
                <c:pt idx="1158" formatCode="0">
                  <c:v>444997</c:v>
                </c:pt>
                <c:pt idx="1159" formatCode="0">
                  <c:v>444997</c:v>
                </c:pt>
                <c:pt idx="1160" formatCode="0">
                  <c:v>444997</c:v>
                </c:pt>
                <c:pt idx="1161" formatCode="0">
                  <c:v>444997</c:v>
                </c:pt>
                <c:pt idx="1162" formatCode="0">
                  <c:v>444997</c:v>
                </c:pt>
                <c:pt idx="1163" formatCode="0">
                  <c:v>447996</c:v>
                </c:pt>
                <c:pt idx="1164" formatCode="0">
                  <c:v>458496</c:v>
                </c:pt>
                <c:pt idx="1165" formatCode="0">
                  <c:v>471995</c:v>
                </c:pt>
                <c:pt idx="1166" formatCode="0">
                  <c:v>486190</c:v>
                </c:pt>
                <c:pt idx="1167" formatCode="0">
                  <c:v>500169</c:v>
                </c:pt>
                <c:pt idx="1168" formatCode="0">
                  <c:v>514491</c:v>
                </c:pt>
                <c:pt idx="1169" formatCode="0">
                  <c:v>528507</c:v>
                </c:pt>
                <c:pt idx="1170" formatCode="0">
                  <c:v>542664</c:v>
                </c:pt>
                <c:pt idx="1171" formatCode="0">
                  <c:v>557018</c:v>
                </c:pt>
                <c:pt idx="1172" formatCode="0">
                  <c:v>571035</c:v>
                </c:pt>
                <c:pt idx="1173" formatCode="0">
                  <c:v>584745</c:v>
                </c:pt>
                <c:pt idx="1174" formatCode="0">
                  <c:v>598707</c:v>
                </c:pt>
                <c:pt idx="1175" formatCode="0">
                  <c:v>612756</c:v>
                </c:pt>
                <c:pt idx="1176" formatCode="0">
                  <c:v>625607</c:v>
                </c:pt>
                <c:pt idx="1177" formatCode="0">
                  <c:v>632994</c:v>
                </c:pt>
                <c:pt idx="1178" formatCode="0">
                  <c:v>640115</c:v>
                </c:pt>
                <c:pt idx="1179" formatCode="0">
                  <c:v>647292</c:v>
                </c:pt>
                <c:pt idx="1180" formatCode="0">
                  <c:v>654606</c:v>
                </c:pt>
                <c:pt idx="1181" formatCode="0">
                  <c:v>661637</c:v>
                </c:pt>
                <c:pt idx="1182" formatCode="0">
                  <c:v>668762</c:v>
                </c:pt>
                <c:pt idx="1183" formatCode="0">
                  <c:v>675311</c:v>
                </c:pt>
                <c:pt idx="1184" formatCode="0">
                  <c:v>679890</c:v>
                </c:pt>
                <c:pt idx="1185" formatCode="0">
                  <c:v>684467</c:v>
                </c:pt>
                <c:pt idx="1186" formatCode="0">
                  <c:v>687555</c:v>
                </c:pt>
                <c:pt idx="1187" formatCode="0">
                  <c:v>693581</c:v>
                </c:pt>
                <c:pt idx="1188" formatCode="0">
                  <c:v>697143</c:v>
                </c:pt>
                <c:pt idx="1189" formatCode="0">
                  <c:v>703269</c:v>
                </c:pt>
                <c:pt idx="1190" formatCode="0">
                  <c:v>708247</c:v>
                </c:pt>
                <c:pt idx="1191" formatCode="0">
                  <c:v>710002</c:v>
                </c:pt>
                <c:pt idx="1192" formatCode="0">
                  <c:v>712948</c:v>
                </c:pt>
                <c:pt idx="1193" formatCode="0">
                  <c:v>714421</c:v>
                </c:pt>
                <c:pt idx="1194" formatCode="0">
                  <c:v>717367</c:v>
                </c:pt>
                <c:pt idx="1195" formatCode="0">
                  <c:v>718840</c:v>
                </c:pt>
                <c:pt idx="1196" formatCode="0">
                  <c:v>721786</c:v>
                </c:pt>
                <c:pt idx="1197" formatCode="0">
                  <c:v>726205</c:v>
                </c:pt>
                <c:pt idx="1198" formatCode="0">
                  <c:v>730624</c:v>
                </c:pt>
                <c:pt idx="1199" formatCode="0">
                  <c:v>735042</c:v>
                </c:pt>
                <c:pt idx="1200" formatCode="0">
                  <c:v>739461</c:v>
                </c:pt>
                <c:pt idx="1201" formatCode="0">
                  <c:v>743880</c:v>
                </c:pt>
                <c:pt idx="1202" formatCode="0">
                  <c:v>744937</c:v>
                </c:pt>
                <c:pt idx="1203" formatCode="0">
                  <c:v>744937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8E-9645-926E-3830DABCE972}"/>
            </c:ext>
          </c:extLst>
        </c:ser>
        <c:ser>
          <c:idx val="7"/>
          <c:order val="7"/>
          <c:tx>
            <c:strRef>
              <c:f>balance_sheet!$L$5</c:f>
              <c:strCache>
                <c:ptCount val="1"/>
                <c:pt idx="0">
                  <c:v>Foreign currency reserve assets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balance_sheet!$L$6:$L$1209</c:f>
              <c:numCache>
                <c:formatCode>General</c:formatCode>
                <c:ptCount val="1204"/>
                <c:pt idx="824" formatCode="0">
                  <c:v>3747</c:v>
                </c:pt>
                <c:pt idx="825" formatCode="0">
                  <c:v>3712</c:v>
                </c:pt>
                <c:pt idx="826" formatCode="0">
                  <c:v>3794</c:v>
                </c:pt>
                <c:pt idx="827" formatCode="0">
                  <c:v>3780</c:v>
                </c:pt>
                <c:pt idx="828" formatCode="0">
                  <c:v>3729</c:v>
                </c:pt>
                <c:pt idx="829" formatCode="0">
                  <c:v>3751</c:v>
                </c:pt>
                <c:pt idx="830" formatCode="0">
                  <c:v>3751</c:v>
                </c:pt>
                <c:pt idx="831" formatCode="0">
                  <c:v>3787</c:v>
                </c:pt>
                <c:pt idx="832" formatCode="0">
                  <c:v>3731</c:v>
                </c:pt>
                <c:pt idx="833" formatCode="0">
                  <c:v>3729</c:v>
                </c:pt>
                <c:pt idx="834" formatCode="0">
                  <c:v>3691</c:v>
                </c:pt>
                <c:pt idx="835" formatCode="0">
                  <c:v>3701</c:v>
                </c:pt>
                <c:pt idx="836" formatCode="0">
                  <c:v>3680</c:v>
                </c:pt>
                <c:pt idx="837" formatCode="0">
                  <c:v>3687</c:v>
                </c:pt>
                <c:pt idx="838" formatCode="0">
                  <c:v>3648</c:v>
                </c:pt>
                <c:pt idx="839" formatCode="0">
                  <c:v>3648</c:v>
                </c:pt>
                <c:pt idx="840" formatCode="0">
                  <c:v>3675</c:v>
                </c:pt>
                <c:pt idx="841" formatCode="0">
                  <c:v>3628</c:v>
                </c:pt>
                <c:pt idx="842" formatCode="0">
                  <c:v>3624</c:v>
                </c:pt>
                <c:pt idx="843" formatCode="0">
                  <c:v>3689</c:v>
                </c:pt>
                <c:pt idx="844" formatCode="0">
                  <c:v>3626</c:v>
                </c:pt>
                <c:pt idx="845" formatCode="0">
                  <c:v>3599</c:v>
                </c:pt>
                <c:pt idx="846" formatCode="0">
                  <c:v>3615</c:v>
                </c:pt>
                <c:pt idx="847" formatCode="0">
                  <c:v>3034</c:v>
                </c:pt>
                <c:pt idx="848" formatCode="0">
                  <c:v>3831</c:v>
                </c:pt>
                <c:pt idx="849" formatCode="0">
                  <c:v>3958</c:v>
                </c:pt>
                <c:pt idx="850" formatCode="0">
                  <c:v>3612</c:v>
                </c:pt>
                <c:pt idx="851" formatCode="0">
                  <c:v>3596</c:v>
                </c:pt>
                <c:pt idx="852" formatCode="0">
                  <c:v>3574</c:v>
                </c:pt>
                <c:pt idx="853" formatCode="0">
                  <c:v>3568</c:v>
                </c:pt>
                <c:pt idx="854" formatCode="0">
                  <c:v>3570</c:v>
                </c:pt>
                <c:pt idx="855" formatCode="0">
                  <c:v>3548</c:v>
                </c:pt>
                <c:pt idx="856" formatCode="0">
                  <c:v>3533</c:v>
                </c:pt>
                <c:pt idx="857" formatCode="0">
                  <c:v>3577</c:v>
                </c:pt>
                <c:pt idx="858" formatCode="0">
                  <c:v>3555</c:v>
                </c:pt>
                <c:pt idx="859" formatCode="0">
                  <c:v>3594</c:v>
                </c:pt>
                <c:pt idx="860" formatCode="0">
                  <c:v>3579</c:v>
                </c:pt>
                <c:pt idx="861" formatCode="0">
                  <c:v>3572</c:v>
                </c:pt>
                <c:pt idx="862" formatCode="0">
                  <c:v>3537</c:v>
                </c:pt>
                <c:pt idx="863" formatCode="0">
                  <c:v>3531</c:v>
                </c:pt>
                <c:pt idx="864" formatCode="0">
                  <c:v>3500</c:v>
                </c:pt>
                <c:pt idx="865" formatCode="0">
                  <c:v>3496</c:v>
                </c:pt>
                <c:pt idx="866" formatCode="0">
                  <c:v>3496</c:v>
                </c:pt>
                <c:pt idx="867" formatCode="0">
                  <c:v>3519</c:v>
                </c:pt>
                <c:pt idx="868" formatCode="0">
                  <c:v>3544</c:v>
                </c:pt>
                <c:pt idx="869" formatCode="0">
                  <c:v>3564</c:v>
                </c:pt>
                <c:pt idx="870" formatCode="0">
                  <c:v>3596</c:v>
                </c:pt>
                <c:pt idx="871" formatCode="0">
                  <c:v>3622</c:v>
                </c:pt>
                <c:pt idx="872" formatCode="0">
                  <c:v>3627</c:v>
                </c:pt>
                <c:pt idx="873" formatCode="0">
                  <c:v>3655</c:v>
                </c:pt>
                <c:pt idx="874" formatCode="0">
                  <c:v>3718</c:v>
                </c:pt>
                <c:pt idx="875" formatCode="0">
                  <c:v>3674</c:v>
                </c:pt>
                <c:pt idx="876" formatCode="0">
                  <c:v>3655</c:v>
                </c:pt>
                <c:pt idx="877" formatCode="0">
                  <c:v>3690</c:v>
                </c:pt>
                <c:pt idx="878" formatCode="0">
                  <c:v>3721</c:v>
                </c:pt>
                <c:pt idx="879" formatCode="0">
                  <c:v>3773</c:v>
                </c:pt>
                <c:pt idx="880" formatCode="0">
                  <c:v>3735</c:v>
                </c:pt>
                <c:pt idx="881" formatCode="0">
                  <c:v>3711</c:v>
                </c:pt>
                <c:pt idx="882" formatCode="0">
                  <c:v>3748</c:v>
                </c:pt>
                <c:pt idx="883" formatCode="0">
                  <c:v>3783</c:v>
                </c:pt>
                <c:pt idx="884" formatCode="0">
                  <c:v>3822</c:v>
                </c:pt>
                <c:pt idx="885" formatCode="0">
                  <c:v>3793</c:v>
                </c:pt>
                <c:pt idx="886" formatCode="0">
                  <c:v>3813</c:v>
                </c:pt>
                <c:pt idx="887" formatCode="0">
                  <c:v>3816</c:v>
                </c:pt>
                <c:pt idx="888" formatCode="0">
                  <c:v>3830</c:v>
                </c:pt>
                <c:pt idx="889" formatCode="0">
                  <c:v>3854</c:v>
                </c:pt>
                <c:pt idx="890" formatCode="0">
                  <c:v>3844</c:v>
                </c:pt>
                <c:pt idx="891" formatCode="0">
                  <c:v>3971</c:v>
                </c:pt>
                <c:pt idx="892" formatCode="0">
                  <c:v>3945</c:v>
                </c:pt>
                <c:pt idx="893" formatCode="0">
                  <c:v>3973</c:v>
                </c:pt>
                <c:pt idx="894" formatCode="0">
                  <c:v>3954</c:v>
                </c:pt>
                <c:pt idx="895" formatCode="0">
                  <c:v>3945</c:v>
                </c:pt>
                <c:pt idx="896" formatCode="0">
                  <c:v>3927</c:v>
                </c:pt>
                <c:pt idx="897" formatCode="0">
                  <c:v>3886</c:v>
                </c:pt>
                <c:pt idx="898" formatCode="0">
                  <c:v>3869</c:v>
                </c:pt>
                <c:pt idx="899" formatCode="0">
                  <c:v>3931</c:v>
                </c:pt>
                <c:pt idx="900" formatCode="0">
                  <c:v>3991</c:v>
                </c:pt>
                <c:pt idx="901" formatCode="0">
                  <c:v>4011</c:v>
                </c:pt>
                <c:pt idx="902" formatCode="0">
                  <c:v>4007</c:v>
                </c:pt>
                <c:pt idx="903" formatCode="0">
                  <c:v>4057</c:v>
                </c:pt>
                <c:pt idx="904" formatCode="0">
                  <c:v>4025</c:v>
                </c:pt>
                <c:pt idx="905" formatCode="0">
                  <c:v>4053</c:v>
                </c:pt>
                <c:pt idx="906" formatCode="0">
                  <c:v>3994</c:v>
                </c:pt>
                <c:pt idx="907" formatCode="0">
                  <c:v>3883</c:v>
                </c:pt>
                <c:pt idx="908" formatCode="0">
                  <c:v>3934</c:v>
                </c:pt>
                <c:pt idx="909" formatCode="0">
                  <c:v>3820</c:v>
                </c:pt>
                <c:pt idx="910" formatCode="0">
                  <c:v>3869</c:v>
                </c:pt>
                <c:pt idx="911" formatCode="0">
                  <c:v>3918</c:v>
                </c:pt>
                <c:pt idx="912" formatCode="0">
                  <c:v>3916</c:v>
                </c:pt>
                <c:pt idx="913" formatCode="0">
                  <c:v>3862</c:v>
                </c:pt>
                <c:pt idx="914" formatCode="0">
                  <c:v>3820</c:v>
                </c:pt>
                <c:pt idx="915" formatCode="0">
                  <c:v>3824</c:v>
                </c:pt>
                <c:pt idx="916" formatCode="0">
                  <c:v>3846</c:v>
                </c:pt>
                <c:pt idx="917" formatCode="0">
                  <c:v>3924</c:v>
                </c:pt>
                <c:pt idx="918" formatCode="0">
                  <c:v>3850</c:v>
                </c:pt>
                <c:pt idx="919" formatCode="0">
                  <c:v>3848</c:v>
                </c:pt>
                <c:pt idx="920" formatCode="0">
                  <c:v>3846</c:v>
                </c:pt>
                <c:pt idx="921" formatCode="0">
                  <c:v>3855</c:v>
                </c:pt>
                <c:pt idx="922" formatCode="0">
                  <c:v>3854</c:v>
                </c:pt>
                <c:pt idx="923" formatCode="0">
                  <c:v>3850</c:v>
                </c:pt>
                <c:pt idx="924" formatCode="0">
                  <c:v>3881</c:v>
                </c:pt>
                <c:pt idx="925" formatCode="0">
                  <c:v>3940</c:v>
                </c:pt>
                <c:pt idx="926" formatCode="0">
                  <c:v>3921</c:v>
                </c:pt>
                <c:pt idx="927" formatCode="0">
                  <c:v>3873</c:v>
                </c:pt>
                <c:pt idx="928" formatCode="0">
                  <c:v>3944</c:v>
                </c:pt>
                <c:pt idx="929" formatCode="0">
                  <c:v>3969</c:v>
                </c:pt>
                <c:pt idx="930" formatCode="0">
                  <c:v>3927</c:v>
                </c:pt>
                <c:pt idx="931" formatCode="0">
                  <c:v>3901</c:v>
                </c:pt>
                <c:pt idx="932" formatCode="0">
                  <c:v>3892</c:v>
                </c:pt>
                <c:pt idx="933" formatCode="0">
                  <c:v>3940</c:v>
                </c:pt>
                <c:pt idx="934" formatCode="0">
                  <c:v>3903</c:v>
                </c:pt>
                <c:pt idx="935" formatCode="0">
                  <c:v>3946</c:v>
                </c:pt>
                <c:pt idx="936" formatCode="0">
                  <c:v>3943</c:v>
                </c:pt>
                <c:pt idx="937" formatCode="0">
                  <c:v>3966</c:v>
                </c:pt>
                <c:pt idx="938" formatCode="0">
                  <c:v>4012</c:v>
                </c:pt>
                <c:pt idx="939" formatCode="0">
                  <c:v>3952</c:v>
                </c:pt>
                <c:pt idx="940" formatCode="0">
                  <c:v>3996</c:v>
                </c:pt>
                <c:pt idx="941" formatCode="0">
                  <c:v>4035</c:v>
                </c:pt>
                <c:pt idx="942" formatCode="0">
                  <c:v>4043</c:v>
                </c:pt>
                <c:pt idx="943" formatCode="0">
                  <c:v>4108</c:v>
                </c:pt>
                <c:pt idx="944" formatCode="0">
                  <c:v>4160</c:v>
                </c:pt>
                <c:pt idx="945" formatCode="0">
                  <c:v>4238</c:v>
                </c:pt>
                <c:pt idx="946" formatCode="0">
                  <c:v>4218</c:v>
                </c:pt>
                <c:pt idx="947" formatCode="0">
                  <c:v>4131</c:v>
                </c:pt>
                <c:pt idx="948" formatCode="0">
                  <c:v>4164</c:v>
                </c:pt>
                <c:pt idx="949" formatCode="0">
                  <c:v>4208</c:v>
                </c:pt>
                <c:pt idx="950" formatCode="0">
                  <c:v>4328</c:v>
                </c:pt>
                <c:pt idx="951" formatCode="0">
                  <c:v>4122</c:v>
                </c:pt>
                <c:pt idx="952" formatCode="0">
                  <c:v>5645</c:v>
                </c:pt>
                <c:pt idx="953" formatCode="0">
                  <c:v>5595</c:v>
                </c:pt>
                <c:pt idx="954" formatCode="0">
                  <c:v>4427</c:v>
                </c:pt>
                <c:pt idx="955" formatCode="0">
                  <c:v>4333</c:v>
                </c:pt>
                <c:pt idx="956" formatCode="0">
                  <c:v>4593</c:v>
                </c:pt>
                <c:pt idx="957" formatCode="0">
                  <c:v>4551</c:v>
                </c:pt>
                <c:pt idx="958" formatCode="0">
                  <c:v>4172</c:v>
                </c:pt>
                <c:pt idx="959" formatCode="0">
                  <c:v>4127</c:v>
                </c:pt>
                <c:pt idx="960" formatCode="0">
                  <c:v>4152</c:v>
                </c:pt>
                <c:pt idx="961" formatCode="0">
                  <c:v>4173</c:v>
                </c:pt>
                <c:pt idx="962" formatCode="0">
                  <c:v>4122</c:v>
                </c:pt>
                <c:pt idx="963" formatCode="0">
                  <c:v>4091</c:v>
                </c:pt>
                <c:pt idx="964" formatCode="0">
                  <c:v>4178</c:v>
                </c:pt>
                <c:pt idx="965" formatCode="0">
                  <c:v>4147</c:v>
                </c:pt>
                <c:pt idx="966" formatCode="0">
                  <c:v>4259</c:v>
                </c:pt>
                <c:pt idx="967" formatCode="0">
                  <c:v>4112</c:v>
                </c:pt>
                <c:pt idx="968" formatCode="0">
                  <c:v>4482</c:v>
                </c:pt>
                <c:pt idx="969" formatCode="0">
                  <c:v>4705</c:v>
                </c:pt>
                <c:pt idx="970" formatCode="0">
                  <c:v>4582</c:v>
                </c:pt>
                <c:pt idx="971" formatCode="0">
                  <c:v>4588</c:v>
                </c:pt>
                <c:pt idx="972" formatCode="0">
                  <c:v>4609</c:v>
                </c:pt>
                <c:pt idx="973" formatCode="0">
                  <c:v>4539</c:v>
                </c:pt>
                <c:pt idx="974" formatCode="0">
                  <c:v>4648</c:v>
                </c:pt>
                <c:pt idx="975" formatCode="0">
                  <c:v>4645</c:v>
                </c:pt>
                <c:pt idx="976" formatCode="0">
                  <c:v>4565</c:v>
                </c:pt>
                <c:pt idx="977" formatCode="0">
                  <c:v>4614</c:v>
                </c:pt>
                <c:pt idx="978" formatCode="0">
                  <c:v>4532</c:v>
                </c:pt>
                <c:pt idx="979" formatCode="0">
                  <c:v>4582</c:v>
                </c:pt>
                <c:pt idx="980" formatCode="0">
                  <c:v>4641</c:v>
                </c:pt>
                <c:pt idx="981" formatCode="0">
                  <c:v>4635</c:v>
                </c:pt>
                <c:pt idx="982" formatCode="0">
                  <c:v>4724</c:v>
                </c:pt>
                <c:pt idx="983" formatCode="0">
                  <c:v>4938</c:v>
                </c:pt>
                <c:pt idx="984" formatCode="0">
                  <c:v>4903</c:v>
                </c:pt>
                <c:pt idx="985" formatCode="0">
                  <c:v>4921</c:v>
                </c:pt>
                <c:pt idx="986" formatCode="0">
                  <c:v>4894</c:v>
                </c:pt>
                <c:pt idx="987" formatCode="0">
                  <c:v>4842</c:v>
                </c:pt>
                <c:pt idx="988" formatCode="0">
                  <c:v>4840</c:v>
                </c:pt>
                <c:pt idx="989" formatCode="0">
                  <c:v>4849</c:v>
                </c:pt>
                <c:pt idx="990" formatCode="0">
                  <c:v>4818</c:v>
                </c:pt>
                <c:pt idx="991" formatCode="0">
                  <c:v>4769</c:v>
                </c:pt>
                <c:pt idx="992" formatCode="0">
                  <c:v>4735</c:v>
                </c:pt>
                <c:pt idx="993" formatCode="0">
                  <c:v>4857</c:v>
                </c:pt>
                <c:pt idx="994" formatCode="0">
                  <c:v>4914</c:v>
                </c:pt>
                <c:pt idx="995" formatCode="0">
                  <c:v>4893</c:v>
                </c:pt>
                <c:pt idx="996" formatCode="0">
                  <c:v>4912</c:v>
                </c:pt>
                <c:pt idx="997" formatCode="0">
                  <c:v>4895</c:v>
                </c:pt>
                <c:pt idx="998" formatCode="0">
                  <c:v>4771</c:v>
                </c:pt>
                <c:pt idx="999" formatCode="0">
                  <c:v>4761</c:v>
                </c:pt>
                <c:pt idx="1000" formatCode="0">
                  <c:v>4443</c:v>
                </c:pt>
                <c:pt idx="1001" formatCode="0">
                  <c:v>4838</c:v>
                </c:pt>
                <c:pt idx="1002" formatCode="0">
                  <c:v>4839</c:v>
                </c:pt>
                <c:pt idx="1003" formatCode="0">
                  <c:v>6075</c:v>
                </c:pt>
                <c:pt idx="1004" formatCode="0">
                  <c:v>6751</c:v>
                </c:pt>
                <c:pt idx="1005" formatCode="0">
                  <c:v>5989</c:v>
                </c:pt>
                <c:pt idx="1006" formatCode="0">
                  <c:v>4968</c:v>
                </c:pt>
                <c:pt idx="1007" formatCode="0">
                  <c:v>4992</c:v>
                </c:pt>
                <c:pt idx="1008" formatCode="0">
                  <c:v>4814</c:v>
                </c:pt>
                <c:pt idx="1009" formatCode="0">
                  <c:v>4806</c:v>
                </c:pt>
                <c:pt idx="1010" formatCode="0">
                  <c:v>4695</c:v>
                </c:pt>
                <c:pt idx="1011" formatCode="0">
                  <c:v>4674</c:v>
                </c:pt>
                <c:pt idx="1012" formatCode="0">
                  <c:v>4661</c:v>
                </c:pt>
                <c:pt idx="1013" formatCode="0">
                  <c:v>4645</c:v>
                </c:pt>
                <c:pt idx="1014" formatCode="0">
                  <c:v>4647</c:v>
                </c:pt>
                <c:pt idx="1015" formatCode="0">
                  <c:v>4644</c:v>
                </c:pt>
                <c:pt idx="1016" formatCode="0">
                  <c:v>4666</c:v>
                </c:pt>
                <c:pt idx="1017" formatCode="0">
                  <c:v>4648</c:v>
                </c:pt>
                <c:pt idx="1018" formatCode="0">
                  <c:v>4713</c:v>
                </c:pt>
                <c:pt idx="1019" formatCode="0">
                  <c:v>4755</c:v>
                </c:pt>
                <c:pt idx="1020" formatCode="0">
                  <c:v>4658</c:v>
                </c:pt>
                <c:pt idx="1021" formatCode="0">
                  <c:v>4657</c:v>
                </c:pt>
                <c:pt idx="1022" formatCode="0">
                  <c:v>4675</c:v>
                </c:pt>
                <c:pt idx="1023" formatCode="0">
                  <c:v>4624</c:v>
                </c:pt>
                <c:pt idx="1024" formatCode="0">
                  <c:v>4618</c:v>
                </c:pt>
                <c:pt idx="1025" formatCode="0">
                  <c:v>4564</c:v>
                </c:pt>
                <c:pt idx="1026" formatCode="0">
                  <c:v>4647</c:v>
                </c:pt>
                <c:pt idx="1027" formatCode="0">
                  <c:v>4690</c:v>
                </c:pt>
                <c:pt idx="1028" formatCode="0">
                  <c:v>4722</c:v>
                </c:pt>
                <c:pt idx="1029" formatCode="0">
                  <c:v>4677</c:v>
                </c:pt>
                <c:pt idx="1030" formatCode="0">
                  <c:v>4615</c:v>
                </c:pt>
                <c:pt idx="1031" formatCode="0">
                  <c:v>4555</c:v>
                </c:pt>
                <c:pt idx="1032" formatCode="0">
                  <c:v>4421</c:v>
                </c:pt>
                <c:pt idx="1033" formatCode="0">
                  <c:v>4480</c:v>
                </c:pt>
                <c:pt idx="1034" formatCode="0">
                  <c:v>4515</c:v>
                </c:pt>
                <c:pt idx="1035" formatCode="0">
                  <c:v>4547</c:v>
                </c:pt>
                <c:pt idx="1036" formatCode="0">
                  <c:v>4553</c:v>
                </c:pt>
                <c:pt idx="1037" formatCode="0">
                  <c:v>4523</c:v>
                </c:pt>
                <c:pt idx="1038" formatCode="0">
                  <c:v>4525</c:v>
                </c:pt>
                <c:pt idx="1039" formatCode="0">
                  <c:v>4580</c:v>
                </c:pt>
                <c:pt idx="1040" formatCode="0">
                  <c:v>4556</c:v>
                </c:pt>
                <c:pt idx="1041" formatCode="0">
                  <c:v>4514</c:v>
                </c:pt>
                <c:pt idx="1042" formatCode="0">
                  <c:v>4473</c:v>
                </c:pt>
                <c:pt idx="1043" formatCode="0">
                  <c:v>4480</c:v>
                </c:pt>
                <c:pt idx="1044" formatCode="0">
                  <c:v>4487</c:v>
                </c:pt>
                <c:pt idx="1045" formatCode="0">
                  <c:v>4471</c:v>
                </c:pt>
                <c:pt idx="1046" formatCode="0">
                  <c:v>4472</c:v>
                </c:pt>
                <c:pt idx="1047" formatCode="0">
                  <c:v>4438</c:v>
                </c:pt>
                <c:pt idx="1048" formatCode="0">
                  <c:v>4430</c:v>
                </c:pt>
                <c:pt idx="1049" formatCode="0">
                  <c:v>4333</c:v>
                </c:pt>
                <c:pt idx="1050" formatCode="0">
                  <c:v>4214</c:v>
                </c:pt>
                <c:pt idx="1051" formatCode="0">
                  <c:v>4214</c:v>
                </c:pt>
                <c:pt idx="1052" formatCode="0">
                  <c:v>4316</c:v>
                </c:pt>
                <c:pt idx="1053" formatCode="0">
                  <c:v>4288</c:v>
                </c:pt>
                <c:pt idx="1054" formatCode="0">
                  <c:v>4287</c:v>
                </c:pt>
                <c:pt idx="1055" formatCode="0">
                  <c:v>5316</c:v>
                </c:pt>
                <c:pt idx="1056" formatCode="0">
                  <c:v>5732</c:v>
                </c:pt>
                <c:pt idx="1057" formatCode="0">
                  <c:v>5707</c:v>
                </c:pt>
                <c:pt idx="1058" formatCode="0">
                  <c:v>4223</c:v>
                </c:pt>
                <c:pt idx="1059" formatCode="0">
                  <c:v>4223</c:v>
                </c:pt>
                <c:pt idx="1060" formatCode="0">
                  <c:v>4227</c:v>
                </c:pt>
                <c:pt idx="1061" formatCode="0">
                  <c:v>4193</c:v>
                </c:pt>
                <c:pt idx="1062" formatCode="0">
                  <c:v>4186</c:v>
                </c:pt>
                <c:pt idx="1063" formatCode="0">
                  <c:v>4269</c:v>
                </c:pt>
                <c:pt idx="1064" formatCode="0">
                  <c:v>4375</c:v>
                </c:pt>
                <c:pt idx="1065" formatCode="0">
                  <c:v>4392</c:v>
                </c:pt>
                <c:pt idx="1066" formatCode="0">
                  <c:v>4416</c:v>
                </c:pt>
                <c:pt idx="1067" formatCode="0">
                  <c:v>4466</c:v>
                </c:pt>
                <c:pt idx="1068" formatCode="0">
                  <c:v>4500</c:v>
                </c:pt>
                <c:pt idx="1069" formatCode="0">
                  <c:v>4443</c:v>
                </c:pt>
                <c:pt idx="1070" formatCode="0">
                  <c:v>4465</c:v>
                </c:pt>
                <c:pt idx="1071" formatCode="0">
                  <c:v>4534</c:v>
                </c:pt>
                <c:pt idx="1072" formatCode="0">
                  <c:v>4551</c:v>
                </c:pt>
                <c:pt idx="1073" formatCode="0">
                  <c:v>4532</c:v>
                </c:pt>
                <c:pt idx="1074" formatCode="0">
                  <c:v>4518</c:v>
                </c:pt>
                <c:pt idx="1075" formatCode="0">
                  <c:v>4589</c:v>
                </c:pt>
                <c:pt idx="1076" formatCode="0">
                  <c:v>4555</c:v>
                </c:pt>
                <c:pt idx="1077" formatCode="0">
                  <c:v>4562</c:v>
                </c:pt>
                <c:pt idx="1078" formatCode="0">
                  <c:v>4651</c:v>
                </c:pt>
                <c:pt idx="1079" formatCode="0">
                  <c:v>4737</c:v>
                </c:pt>
                <c:pt idx="1080" formatCode="0">
                  <c:v>4650</c:v>
                </c:pt>
                <c:pt idx="1081" formatCode="0">
                  <c:v>4614</c:v>
                </c:pt>
                <c:pt idx="1082" formatCode="0">
                  <c:v>4612</c:v>
                </c:pt>
                <c:pt idx="1083" formatCode="0">
                  <c:v>4573</c:v>
                </c:pt>
                <c:pt idx="1084" formatCode="0">
                  <c:v>4516</c:v>
                </c:pt>
                <c:pt idx="1085" formatCode="0">
                  <c:v>4506</c:v>
                </c:pt>
                <c:pt idx="1086" formatCode="0">
                  <c:v>4570</c:v>
                </c:pt>
                <c:pt idx="1087" formatCode="0">
                  <c:v>4503</c:v>
                </c:pt>
                <c:pt idx="1088" formatCode="0">
                  <c:v>4709</c:v>
                </c:pt>
                <c:pt idx="1089" formatCode="0">
                  <c:v>4791</c:v>
                </c:pt>
                <c:pt idx="1090" formatCode="0">
                  <c:v>4840</c:v>
                </c:pt>
                <c:pt idx="1091" formatCode="0">
                  <c:v>4530</c:v>
                </c:pt>
                <c:pt idx="1092" formatCode="0">
                  <c:v>4583</c:v>
                </c:pt>
                <c:pt idx="1093" formatCode="0">
                  <c:v>4853</c:v>
                </c:pt>
                <c:pt idx="1094" formatCode="0">
                  <c:v>4684</c:v>
                </c:pt>
                <c:pt idx="1095" formatCode="0">
                  <c:v>4690</c:v>
                </c:pt>
                <c:pt idx="1096" formatCode="0">
                  <c:v>4726</c:v>
                </c:pt>
                <c:pt idx="1097" formatCode="0">
                  <c:v>4742</c:v>
                </c:pt>
                <c:pt idx="1098" formatCode="0">
                  <c:v>4743</c:v>
                </c:pt>
                <c:pt idx="1099" formatCode="0">
                  <c:v>4768</c:v>
                </c:pt>
                <c:pt idx="1100" formatCode="0">
                  <c:v>4716</c:v>
                </c:pt>
                <c:pt idx="1101" formatCode="0">
                  <c:v>5312</c:v>
                </c:pt>
                <c:pt idx="1102" formatCode="0">
                  <c:v>5232</c:v>
                </c:pt>
                <c:pt idx="1103" formatCode="0">
                  <c:v>5230</c:v>
                </c:pt>
                <c:pt idx="1104" formatCode="0">
                  <c:v>5279</c:v>
                </c:pt>
                <c:pt idx="1105" formatCode="0">
                  <c:v>6858</c:v>
                </c:pt>
                <c:pt idx="1106" formatCode="0">
                  <c:v>6933</c:v>
                </c:pt>
                <c:pt idx="1107" formatCode="0">
                  <c:v>6767</c:v>
                </c:pt>
                <c:pt idx="1108" formatCode="0">
                  <c:v>6830</c:v>
                </c:pt>
                <c:pt idx="1109" formatCode="0">
                  <c:v>7011</c:v>
                </c:pt>
                <c:pt idx="1110" formatCode="0">
                  <c:v>4886</c:v>
                </c:pt>
                <c:pt idx="1111" formatCode="0">
                  <c:v>4886</c:v>
                </c:pt>
                <c:pt idx="1112" formatCode="0">
                  <c:v>5470</c:v>
                </c:pt>
                <c:pt idx="1113" formatCode="0">
                  <c:v>5198</c:v>
                </c:pt>
                <c:pt idx="1114" formatCode="0">
                  <c:v>4631</c:v>
                </c:pt>
                <c:pt idx="1115" formatCode="0">
                  <c:v>4672</c:v>
                </c:pt>
                <c:pt idx="1116" formatCode="0">
                  <c:v>4633</c:v>
                </c:pt>
                <c:pt idx="1117" formatCode="0">
                  <c:v>4664</c:v>
                </c:pt>
                <c:pt idx="1118" formatCode="0">
                  <c:v>4877</c:v>
                </c:pt>
                <c:pt idx="1119" formatCode="0">
                  <c:v>4954</c:v>
                </c:pt>
                <c:pt idx="1120" formatCode="0">
                  <c:v>4977</c:v>
                </c:pt>
                <c:pt idx="1121" formatCode="0">
                  <c:v>4961</c:v>
                </c:pt>
                <c:pt idx="1122" formatCode="0">
                  <c:v>4807</c:v>
                </c:pt>
                <c:pt idx="1123" formatCode="0">
                  <c:v>4842</c:v>
                </c:pt>
                <c:pt idx="1124" formatCode="0">
                  <c:v>4836</c:v>
                </c:pt>
                <c:pt idx="1125" formatCode="0">
                  <c:v>4875</c:v>
                </c:pt>
                <c:pt idx="1126" formatCode="0">
                  <c:v>4902</c:v>
                </c:pt>
                <c:pt idx="1127" formatCode="0">
                  <c:v>4900</c:v>
                </c:pt>
                <c:pt idx="1128" formatCode="0">
                  <c:v>4876</c:v>
                </c:pt>
                <c:pt idx="1129" formatCode="0">
                  <c:v>5141</c:v>
                </c:pt>
                <c:pt idx="1130" formatCode="0">
                  <c:v>5206</c:v>
                </c:pt>
                <c:pt idx="1131" formatCode="0">
                  <c:v>5244</c:v>
                </c:pt>
                <c:pt idx="1132" formatCode="0">
                  <c:v>5221</c:v>
                </c:pt>
                <c:pt idx="1133" formatCode="0">
                  <c:v>5164</c:v>
                </c:pt>
                <c:pt idx="1134" formatCode="0">
                  <c:v>5180</c:v>
                </c:pt>
                <c:pt idx="1135" formatCode="0">
                  <c:v>5076</c:v>
                </c:pt>
                <c:pt idx="1136" formatCode="0">
                  <c:v>5013</c:v>
                </c:pt>
                <c:pt idx="1137" formatCode="0">
                  <c:v>5061</c:v>
                </c:pt>
                <c:pt idx="1138" formatCode="0">
                  <c:v>5101</c:v>
                </c:pt>
                <c:pt idx="1139" formatCode="0">
                  <c:v>5143</c:v>
                </c:pt>
                <c:pt idx="1140" formatCode="0">
                  <c:v>4902</c:v>
                </c:pt>
                <c:pt idx="1141" formatCode="0">
                  <c:v>4960</c:v>
                </c:pt>
                <c:pt idx="1142" formatCode="0">
                  <c:v>5106</c:v>
                </c:pt>
                <c:pt idx="1143" formatCode="0">
                  <c:v>4966</c:v>
                </c:pt>
                <c:pt idx="1144" formatCode="0">
                  <c:v>4978</c:v>
                </c:pt>
                <c:pt idx="1145" formatCode="0">
                  <c:v>4958</c:v>
                </c:pt>
                <c:pt idx="1146" formatCode="0">
                  <c:v>4885</c:v>
                </c:pt>
                <c:pt idx="1147" formatCode="0">
                  <c:v>4647</c:v>
                </c:pt>
                <c:pt idx="1148" formatCode="0">
                  <c:v>4920</c:v>
                </c:pt>
                <c:pt idx="1149" formatCode="0">
                  <c:v>4959</c:v>
                </c:pt>
                <c:pt idx="1150" formatCode="0">
                  <c:v>5015</c:v>
                </c:pt>
                <c:pt idx="1151" formatCode="0">
                  <c:v>4927</c:v>
                </c:pt>
                <c:pt idx="1152" formatCode="0">
                  <c:v>4961</c:v>
                </c:pt>
                <c:pt idx="1153" formatCode="0">
                  <c:v>4618</c:v>
                </c:pt>
                <c:pt idx="1154" formatCode="0">
                  <c:v>4649</c:v>
                </c:pt>
                <c:pt idx="1155" formatCode="0">
                  <c:v>4700</c:v>
                </c:pt>
                <c:pt idx="1156" formatCode="0">
                  <c:v>4704</c:v>
                </c:pt>
                <c:pt idx="1157" formatCode="0">
                  <c:v>4716</c:v>
                </c:pt>
                <c:pt idx="1158" formatCode="0">
                  <c:v>4727</c:v>
                </c:pt>
                <c:pt idx="1159" formatCode="0">
                  <c:v>4729</c:v>
                </c:pt>
                <c:pt idx="1160" formatCode="0">
                  <c:v>4251</c:v>
                </c:pt>
                <c:pt idx="1161" formatCode="0">
                  <c:v>3314</c:v>
                </c:pt>
                <c:pt idx="1162" formatCode="0">
                  <c:v>3628</c:v>
                </c:pt>
                <c:pt idx="1163" formatCode="0">
                  <c:v>3620</c:v>
                </c:pt>
                <c:pt idx="1164" formatCode="0">
                  <c:v>3450</c:v>
                </c:pt>
                <c:pt idx="1165" formatCode="0">
                  <c:v>3444</c:v>
                </c:pt>
                <c:pt idx="1166" formatCode="0">
                  <c:v>3420</c:v>
                </c:pt>
                <c:pt idx="1167" formatCode="0">
                  <c:v>3475</c:v>
                </c:pt>
                <c:pt idx="1168" formatCode="0">
                  <c:v>5130</c:v>
                </c:pt>
                <c:pt idx="1169" formatCode="0">
                  <c:v>5201</c:v>
                </c:pt>
                <c:pt idx="1170" formatCode="0">
                  <c:v>5265</c:v>
                </c:pt>
                <c:pt idx="1171" formatCode="0">
                  <c:v>5249</c:v>
                </c:pt>
                <c:pt idx="1172" formatCode="0">
                  <c:v>5274</c:v>
                </c:pt>
                <c:pt idx="1173" formatCode="0">
                  <c:v>5052</c:v>
                </c:pt>
                <c:pt idx="1174" formatCode="0">
                  <c:v>4809</c:v>
                </c:pt>
                <c:pt idx="1175" formatCode="0">
                  <c:v>4893</c:v>
                </c:pt>
                <c:pt idx="1176" formatCode="0">
                  <c:v>4930</c:v>
                </c:pt>
                <c:pt idx="1177" formatCode="0">
                  <c:v>4930</c:v>
                </c:pt>
                <c:pt idx="1178" formatCode="0">
                  <c:v>4877</c:v>
                </c:pt>
                <c:pt idx="1179" formatCode="0">
                  <c:v>4876</c:v>
                </c:pt>
                <c:pt idx="1180" formatCode="0">
                  <c:v>4828</c:v>
                </c:pt>
                <c:pt idx="1181" formatCode="0">
                  <c:v>4742</c:v>
                </c:pt>
                <c:pt idx="1182" formatCode="0">
                  <c:v>4683</c:v>
                </c:pt>
                <c:pt idx="1183" formatCode="0">
                  <c:v>4709</c:v>
                </c:pt>
                <c:pt idx="1184" formatCode="0">
                  <c:v>4665</c:v>
                </c:pt>
                <c:pt idx="1185" formatCode="0">
                  <c:v>4645</c:v>
                </c:pt>
                <c:pt idx="1186" formatCode="0">
                  <c:v>4609</c:v>
                </c:pt>
                <c:pt idx="1187" formatCode="0">
                  <c:v>4694</c:v>
                </c:pt>
                <c:pt idx="1188" formatCode="0">
                  <c:v>4692</c:v>
                </c:pt>
                <c:pt idx="1189" formatCode="0">
                  <c:v>4782</c:v>
                </c:pt>
                <c:pt idx="1190" formatCode="0">
                  <c:v>4720</c:v>
                </c:pt>
                <c:pt idx="1191" formatCode="0">
                  <c:v>4732</c:v>
                </c:pt>
                <c:pt idx="1192" formatCode="0">
                  <c:v>4681</c:v>
                </c:pt>
                <c:pt idx="1193" formatCode="0">
                  <c:v>4639</c:v>
                </c:pt>
                <c:pt idx="1194" formatCode="0">
                  <c:v>4693</c:v>
                </c:pt>
                <c:pt idx="1195" formatCode="0">
                  <c:v>4700</c:v>
                </c:pt>
                <c:pt idx="1196" formatCode="0">
                  <c:v>4620</c:v>
                </c:pt>
                <c:pt idx="1197" formatCode="0">
                  <c:v>4589</c:v>
                </c:pt>
                <c:pt idx="1198" formatCode="0">
                  <c:v>4561</c:v>
                </c:pt>
                <c:pt idx="1199" formatCode="0">
                  <c:v>4578</c:v>
                </c:pt>
                <c:pt idx="1200" formatCode="0">
                  <c:v>4555</c:v>
                </c:pt>
                <c:pt idx="1201" formatCode="0">
                  <c:v>4524</c:v>
                </c:pt>
                <c:pt idx="1202" formatCode="0">
                  <c:v>4513</c:v>
                </c:pt>
                <c:pt idx="1203" formatCode="0">
                  <c:v>4487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8E-9645-926E-3830DABCE972}"/>
            </c:ext>
          </c:extLst>
        </c:ser>
        <c:ser>
          <c:idx val="8"/>
          <c:order val="8"/>
          <c:tx>
            <c:strRef>
              <c:f>balance_sheet!$M$5</c:f>
              <c:strCache>
                <c:ptCount val="1"/>
                <c:pt idx="0">
                  <c:v>Ways and means advances to HM government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balance_sheet!$M$6:$M$1209</c:f>
              <c:numCache>
                <c:formatCode>General</c:formatCode>
                <c:ptCount val="1204"/>
                <c:pt idx="440" formatCode="0">
                  <c:v>13370</c:v>
                </c:pt>
                <c:pt idx="441" formatCode="0">
                  <c:v>13370</c:v>
                </c:pt>
                <c:pt idx="442" formatCode="0">
                  <c:v>13370</c:v>
                </c:pt>
                <c:pt idx="443" formatCode="0">
                  <c:v>13370</c:v>
                </c:pt>
                <c:pt idx="444" formatCode="0">
                  <c:v>13370</c:v>
                </c:pt>
                <c:pt idx="445" formatCode="0">
                  <c:v>13370</c:v>
                </c:pt>
                <c:pt idx="446" formatCode="0">
                  <c:v>13370</c:v>
                </c:pt>
                <c:pt idx="447" formatCode="0">
                  <c:v>13370</c:v>
                </c:pt>
                <c:pt idx="448" formatCode="0">
                  <c:v>13370</c:v>
                </c:pt>
                <c:pt idx="449" formatCode="0">
                  <c:v>13370</c:v>
                </c:pt>
                <c:pt idx="450" formatCode="0">
                  <c:v>13370</c:v>
                </c:pt>
                <c:pt idx="451" formatCode="0">
                  <c:v>13370</c:v>
                </c:pt>
                <c:pt idx="452" formatCode="0">
                  <c:v>13370</c:v>
                </c:pt>
                <c:pt idx="453" formatCode="0">
                  <c:v>13370</c:v>
                </c:pt>
                <c:pt idx="454" formatCode="0">
                  <c:v>13370</c:v>
                </c:pt>
                <c:pt idx="455" formatCode="0">
                  <c:v>13370</c:v>
                </c:pt>
                <c:pt idx="456" formatCode="0">
                  <c:v>13370</c:v>
                </c:pt>
                <c:pt idx="457" formatCode="0">
                  <c:v>13370</c:v>
                </c:pt>
                <c:pt idx="458" formatCode="0">
                  <c:v>13370</c:v>
                </c:pt>
                <c:pt idx="459" formatCode="0">
                  <c:v>13370</c:v>
                </c:pt>
                <c:pt idx="460" formatCode="0">
                  <c:v>13370</c:v>
                </c:pt>
                <c:pt idx="461" formatCode="0">
                  <c:v>13370</c:v>
                </c:pt>
                <c:pt idx="462" formatCode="0">
                  <c:v>13370</c:v>
                </c:pt>
                <c:pt idx="463" formatCode="0">
                  <c:v>13370</c:v>
                </c:pt>
                <c:pt idx="464" formatCode="0">
                  <c:v>13370</c:v>
                </c:pt>
                <c:pt idx="465" formatCode="0">
                  <c:v>13370</c:v>
                </c:pt>
                <c:pt idx="466" formatCode="0">
                  <c:v>13370</c:v>
                </c:pt>
                <c:pt idx="467" formatCode="0">
                  <c:v>13370</c:v>
                </c:pt>
                <c:pt idx="468" formatCode="0">
                  <c:v>13370</c:v>
                </c:pt>
                <c:pt idx="469" formatCode="0">
                  <c:v>13370</c:v>
                </c:pt>
                <c:pt idx="470" formatCode="0">
                  <c:v>13370</c:v>
                </c:pt>
                <c:pt idx="471" formatCode="0">
                  <c:v>13370</c:v>
                </c:pt>
                <c:pt idx="472" formatCode="0">
                  <c:v>13370</c:v>
                </c:pt>
                <c:pt idx="473" formatCode="0">
                  <c:v>13370</c:v>
                </c:pt>
                <c:pt idx="474" formatCode="0">
                  <c:v>13370</c:v>
                </c:pt>
                <c:pt idx="475" formatCode="0">
                  <c:v>13370</c:v>
                </c:pt>
                <c:pt idx="476" formatCode="0">
                  <c:v>13370</c:v>
                </c:pt>
                <c:pt idx="477" formatCode="0">
                  <c:v>13370</c:v>
                </c:pt>
                <c:pt idx="478" formatCode="0">
                  <c:v>13370</c:v>
                </c:pt>
                <c:pt idx="479" formatCode="0">
                  <c:v>13370</c:v>
                </c:pt>
                <c:pt idx="480" formatCode="0">
                  <c:v>13370</c:v>
                </c:pt>
                <c:pt idx="481" formatCode="0">
                  <c:v>13370</c:v>
                </c:pt>
                <c:pt idx="482" formatCode="0">
                  <c:v>13370</c:v>
                </c:pt>
                <c:pt idx="483" formatCode="0">
                  <c:v>13370</c:v>
                </c:pt>
                <c:pt idx="484" formatCode="0">
                  <c:v>13370</c:v>
                </c:pt>
                <c:pt idx="485" formatCode="0">
                  <c:v>13370</c:v>
                </c:pt>
                <c:pt idx="486" formatCode="0">
                  <c:v>13370</c:v>
                </c:pt>
                <c:pt idx="487" formatCode="0">
                  <c:v>13370</c:v>
                </c:pt>
                <c:pt idx="488" formatCode="0">
                  <c:v>13370</c:v>
                </c:pt>
                <c:pt idx="489" formatCode="0">
                  <c:v>13370</c:v>
                </c:pt>
                <c:pt idx="490" formatCode="0">
                  <c:v>13370</c:v>
                </c:pt>
                <c:pt idx="491" formatCode="0">
                  <c:v>13370</c:v>
                </c:pt>
                <c:pt idx="492" formatCode="0">
                  <c:v>13370</c:v>
                </c:pt>
                <c:pt idx="493" formatCode="0">
                  <c:v>13370</c:v>
                </c:pt>
                <c:pt idx="494" formatCode="0">
                  <c:v>13370</c:v>
                </c:pt>
                <c:pt idx="495" formatCode="0">
                  <c:v>13370</c:v>
                </c:pt>
                <c:pt idx="496" formatCode="0">
                  <c:v>13370</c:v>
                </c:pt>
                <c:pt idx="497" formatCode="0">
                  <c:v>13370</c:v>
                </c:pt>
                <c:pt idx="498" formatCode="0">
                  <c:v>13370</c:v>
                </c:pt>
                <c:pt idx="499" formatCode="0">
                  <c:v>13370</c:v>
                </c:pt>
                <c:pt idx="500" formatCode="0">
                  <c:v>13370</c:v>
                </c:pt>
                <c:pt idx="501" formatCode="0">
                  <c:v>13370</c:v>
                </c:pt>
                <c:pt idx="502" formatCode="0">
                  <c:v>13370</c:v>
                </c:pt>
                <c:pt idx="503" formatCode="0">
                  <c:v>13370</c:v>
                </c:pt>
                <c:pt idx="504" formatCode="0">
                  <c:v>13370</c:v>
                </c:pt>
                <c:pt idx="505" formatCode="0">
                  <c:v>13370</c:v>
                </c:pt>
                <c:pt idx="506" formatCode="0">
                  <c:v>13370</c:v>
                </c:pt>
                <c:pt idx="507" formatCode="0">
                  <c:v>13370</c:v>
                </c:pt>
                <c:pt idx="508" formatCode="0">
                  <c:v>13370</c:v>
                </c:pt>
                <c:pt idx="509" formatCode="0">
                  <c:v>13370</c:v>
                </c:pt>
                <c:pt idx="510" formatCode="0">
                  <c:v>13370</c:v>
                </c:pt>
                <c:pt idx="511" formatCode="0">
                  <c:v>13370</c:v>
                </c:pt>
                <c:pt idx="512" formatCode="0">
                  <c:v>13370</c:v>
                </c:pt>
                <c:pt idx="513" formatCode="0">
                  <c:v>13370</c:v>
                </c:pt>
                <c:pt idx="514" formatCode="0">
                  <c:v>13370</c:v>
                </c:pt>
                <c:pt idx="515" formatCode="0">
                  <c:v>13370</c:v>
                </c:pt>
                <c:pt idx="516" formatCode="0">
                  <c:v>13370</c:v>
                </c:pt>
                <c:pt idx="517" formatCode="0">
                  <c:v>13370</c:v>
                </c:pt>
                <c:pt idx="518" formatCode="0">
                  <c:v>13370</c:v>
                </c:pt>
                <c:pt idx="519" formatCode="0">
                  <c:v>13370</c:v>
                </c:pt>
                <c:pt idx="520" formatCode="0">
                  <c:v>13370</c:v>
                </c:pt>
                <c:pt idx="521" formatCode="0">
                  <c:v>13370</c:v>
                </c:pt>
                <c:pt idx="522" formatCode="0">
                  <c:v>13370</c:v>
                </c:pt>
                <c:pt idx="523" formatCode="0">
                  <c:v>13370</c:v>
                </c:pt>
                <c:pt idx="524" formatCode="0">
                  <c:v>13370</c:v>
                </c:pt>
                <c:pt idx="525" formatCode="0">
                  <c:v>13370</c:v>
                </c:pt>
                <c:pt idx="526" formatCode="0">
                  <c:v>13370</c:v>
                </c:pt>
                <c:pt idx="527" formatCode="0">
                  <c:v>13370</c:v>
                </c:pt>
                <c:pt idx="528" formatCode="0">
                  <c:v>13370</c:v>
                </c:pt>
                <c:pt idx="529" formatCode="0">
                  <c:v>9370</c:v>
                </c:pt>
                <c:pt idx="530" formatCode="0">
                  <c:v>7370</c:v>
                </c:pt>
                <c:pt idx="531" formatCode="0">
                  <c:v>7370</c:v>
                </c:pt>
                <c:pt idx="532" formatCode="0">
                  <c:v>7370</c:v>
                </c:pt>
                <c:pt idx="533" formatCode="0">
                  <c:v>7370</c:v>
                </c:pt>
                <c:pt idx="534" formatCode="0">
                  <c:v>7370</c:v>
                </c:pt>
                <c:pt idx="535" formatCode="0">
                  <c:v>7370</c:v>
                </c:pt>
                <c:pt idx="536" formatCode="0">
                  <c:v>7370</c:v>
                </c:pt>
                <c:pt idx="537" formatCode="0">
                  <c:v>7370</c:v>
                </c:pt>
                <c:pt idx="538" formatCode="0">
                  <c:v>7370</c:v>
                </c:pt>
                <c:pt idx="539" formatCode="0">
                  <c:v>7370</c:v>
                </c:pt>
                <c:pt idx="540" formatCode="0">
                  <c:v>7370</c:v>
                </c:pt>
                <c:pt idx="541" formatCode="0">
                  <c:v>370</c:v>
                </c:pt>
                <c:pt idx="542" formatCode="0">
                  <c:v>370</c:v>
                </c:pt>
                <c:pt idx="543" formatCode="0">
                  <c:v>370</c:v>
                </c:pt>
                <c:pt idx="544" formatCode="0">
                  <c:v>370</c:v>
                </c:pt>
                <c:pt idx="545" formatCode="0">
                  <c:v>370</c:v>
                </c:pt>
                <c:pt idx="546" formatCode="0">
                  <c:v>370</c:v>
                </c:pt>
                <c:pt idx="547" formatCode="0">
                  <c:v>370</c:v>
                </c:pt>
                <c:pt idx="548" formatCode="0">
                  <c:v>370</c:v>
                </c:pt>
                <c:pt idx="549" formatCode="0">
                  <c:v>370</c:v>
                </c:pt>
                <c:pt idx="550" formatCode="0">
                  <c:v>370</c:v>
                </c:pt>
                <c:pt idx="551" formatCode="0">
                  <c:v>370</c:v>
                </c:pt>
                <c:pt idx="552" formatCode="0">
                  <c:v>370</c:v>
                </c:pt>
                <c:pt idx="553" formatCode="0">
                  <c:v>370</c:v>
                </c:pt>
                <c:pt idx="554" formatCode="0">
                  <c:v>370</c:v>
                </c:pt>
                <c:pt idx="555" formatCode="0">
                  <c:v>370</c:v>
                </c:pt>
                <c:pt idx="556" formatCode="0">
                  <c:v>370</c:v>
                </c:pt>
                <c:pt idx="557" formatCode="0">
                  <c:v>370</c:v>
                </c:pt>
                <c:pt idx="558" formatCode="0">
                  <c:v>370</c:v>
                </c:pt>
                <c:pt idx="559" formatCode="0">
                  <c:v>370</c:v>
                </c:pt>
                <c:pt idx="560" formatCode="0">
                  <c:v>370</c:v>
                </c:pt>
                <c:pt idx="561" formatCode="0">
                  <c:v>370</c:v>
                </c:pt>
                <c:pt idx="562" formatCode="0">
                  <c:v>370</c:v>
                </c:pt>
                <c:pt idx="563" formatCode="0">
                  <c:v>370</c:v>
                </c:pt>
                <c:pt idx="564" formatCode="0">
                  <c:v>370</c:v>
                </c:pt>
                <c:pt idx="565" formatCode="0">
                  <c:v>370</c:v>
                </c:pt>
                <c:pt idx="566" formatCode="0">
                  <c:v>370</c:v>
                </c:pt>
                <c:pt idx="567" formatCode="0">
                  <c:v>370</c:v>
                </c:pt>
                <c:pt idx="568" formatCode="0">
                  <c:v>370</c:v>
                </c:pt>
                <c:pt idx="569" formatCode="0">
                  <c:v>370</c:v>
                </c:pt>
                <c:pt idx="570" formatCode="0">
                  <c:v>370</c:v>
                </c:pt>
                <c:pt idx="571" formatCode="0">
                  <c:v>370</c:v>
                </c:pt>
                <c:pt idx="572" formatCode="0">
                  <c:v>370</c:v>
                </c:pt>
                <c:pt idx="573" formatCode="0">
                  <c:v>370</c:v>
                </c:pt>
                <c:pt idx="574" formatCode="0">
                  <c:v>370</c:v>
                </c:pt>
                <c:pt idx="575" formatCode="0">
                  <c:v>370</c:v>
                </c:pt>
                <c:pt idx="576" formatCode="0">
                  <c:v>370</c:v>
                </c:pt>
                <c:pt idx="577" formatCode="0">
                  <c:v>19892</c:v>
                </c:pt>
                <c:pt idx="578" formatCode="0">
                  <c:v>19892</c:v>
                </c:pt>
                <c:pt idx="579" formatCode="0">
                  <c:v>19892</c:v>
                </c:pt>
                <c:pt idx="580" formatCode="0">
                  <c:v>19892</c:v>
                </c:pt>
                <c:pt idx="581" formatCode="0">
                  <c:v>19892</c:v>
                </c:pt>
                <c:pt idx="582" formatCode="0">
                  <c:v>19892</c:v>
                </c:pt>
                <c:pt idx="583" formatCode="0">
                  <c:v>14642</c:v>
                </c:pt>
                <c:pt idx="584" formatCode="0">
                  <c:v>9392</c:v>
                </c:pt>
                <c:pt idx="585" formatCode="0">
                  <c:v>4142</c:v>
                </c:pt>
                <c:pt idx="586" formatCode="0">
                  <c:v>4142</c:v>
                </c:pt>
                <c:pt idx="587" formatCode="0">
                  <c:v>4142</c:v>
                </c:pt>
                <c:pt idx="588" formatCode="0">
                  <c:v>4142</c:v>
                </c:pt>
                <c:pt idx="589" formatCode="0">
                  <c:v>4142</c:v>
                </c:pt>
                <c:pt idx="590" formatCode="0">
                  <c:v>4142</c:v>
                </c:pt>
                <c:pt idx="591" formatCode="0">
                  <c:v>370</c:v>
                </c:pt>
                <c:pt idx="592" formatCode="0">
                  <c:v>370</c:v>
                </c:pt>
                <c:pt idx="593" formatCode="0">
                  <c:v>370</c:v>
                </c:pt>
                <c:pt idx="594" formatCode="0">
                  <c:v>370</c:v>
                </c:pt>
                <c:pt idx="595" formatCode="0">
                  <c:v>370</c:v>
                </c:pt>
                <c:pt idx="596" formatCode="0">
                  <c:v>370</c:v>
                </c:pt>
                <c:pt idx="597" formatCode="0">
                  <c:v>370</c:v>
                </c:pt>
                <c:pt idx="598" formatCode="0">
                  <c:v>370</c:v>
                </c:pt>
                <c:pt idx="599" formatCode="0">
                  <c:v>370</c:v>
                </c:pt>
                <c:pt idx="600" formatCode="0">
                  <c:v>370</c:v>
                </c:pt>
                <c:pt idx="601" formatCode="0">
                  <c:v>370</c:v>
                </c:pt>
                <c:pt idx="602" formatCode="0">
                  <c:v>370</c:v>
                </c:pt>
                <c:pt idx="603" formatCode="0">
                  <c:v>370</c:v>
                </c:pt>
                <c:pt idx="604" formatCode="0">
                  <c:v>370</c:v>
                </c:pt>
                <c:pt idx="605" formatCode="0">
                  <c:v>370</c:v>
                </c:pt>
                <c:pt idx="606" formatCode="0">
                  <c:v>370</c:v>
                </c:pt>
                <c:pt idx="607" formatCode="0">
                  <c:v>370</c:v>
                </c:pt>
                <c:pt idx="608" formatCode="0">
                  <c:v>370</c:v>
                </c:pt>
                <c:pt idx="609" formatCode="0">
                  <c:v>370</c:v>
                </c:pt>
                <c:pt idx="610" formatCode="0">
                  <c:v>370</c:v>
                </c:pt>
                <c:pt idx="611" formatCode="0">
                  <c:v>370</c:v>
                </c:pt>
                <c:pt idx="612" formatCode="0">
                  <c:v>370</c:v>
                </c:pt>
                <c:pt idx="613" formatCode="0">
                  <c:v>370</c:v>
                </c:pt>
                <c:pt idx="614" formatCode="0">
                  <c:v>370</c:v>
                </c:pt>
                <c:pt idx="615" formatCode="0">
                  <c:v>370</c:v>
                </c:pt>
                <c:pt idx="616" formatCode="0">
                  <c:v>370</c:v>
                </c:pt>
                <c:pt idx="617" formatCode="0">
                  <c:v>370</c:v>
                </c:pt>
                <c:pt idx="618" formatCode="0">
                  <c:v>370</c:v>
                </c:pt>
                <c:pt idx="619" formatCode="0">
                  <c:v>370</c:v>
                </c:pt>
                <c:pt idx="620" formatCode="0">
                  <c:v>370</c:v>
                </c:pt>
                <c:pt idx="621" formatCode="0">
                  <c:v>370</c:v>
                </c:pt>
                <c:pt idx="622" formatCode="0">
                  <c:v>370</c:v>
                </c:pt>
                <c:pt idx="623" formatCode="0">
                  <c:v>370</c:v>
                </c:pt>
                <c:pt idx="624" formatCode="0">
                  <c:v>370</c:v>
                </c:pt>
                <c:pt idx="625" formatCode="0">
                  <c:v>370</c:v>
                </c:pt>
                <c:pt idx="626" formatCode="0">
                  <c:v>370</c:v>
                </c:pt>
                <c:pt idx="627" formatCode="0">
                  <c:v>370</c:v>
                </c:pt>
                <c:pt idx="628" formatCode="0">
                  <c:v>370</c:v>
                </c:pt>
                <c:pt idx="629" formatCode="0">
                  <c:v>370</c:v>
                </c:pt>
                <c:pt idx="630" formatCode="0">
                  <c:v>370</c:v>
                </c:pt>
                <c:pt idx="631" formatCode="0">
                  <c:v>370</c:v>
                </c:pt>
                <c:pt idx="632" formatCode="0">
                  <c:v>370</c:v>
                </c:pt>
                <c:pt idx="633" formatCode="0">
                  <c:v>370</c:v>
                </c:pt>
                <c:pt idx="634" formatCode="0">
                  <c:v>370</c:v>
                </c:pt>
                <c:pt idx="635" formatCode="0">
                  <c:v>370</c:v>
                </c:pt>
                <c:pt idx="636" formatCode="0">
                  <c:v>370</c:v>
                </c:pt>
                <c:pt idx="637" formatCode="0">
                  <c:v>370</c:v>
                </c:pt>
                <c:pt idx="638" formatCode="0">
                  <c:v>370</c:v>
                </c:pt>
                <c:pt idx="639" formatCode="0">
                  <c:v>370</c:v>
                </c:pt>
                <c:pt idx="640" formatCode="0">
                  <c:v>370</c:v>
                </c:pt>
                <c:pt idx="641" formatCode="0">
                  <c:v>370</c:v>
                </c:pt>
                <c:pt idx="642" formatCode="0">
                  <c:v>370</c:v>
                </c:pt>
                <c:pt idx="643" formatCode="0">
                  <c:v>370</c:v>
                </c:pt>
                <c:pt idx="644" formatCode="0">
                  <c:v>370</c:v>
                </c:pt>
                <c:pt idx="645" formatCode="0">
                  <c:v>370</c:v>
                </c:pt>
                <c:pt idx="646" formatCode="0">
                  <c:v>370</c:v>
                </c:pt>
                <c:pt idx="647" formatCode="0">
                  <c:v>370</c:v>
                </c:pt>
                <c:pt idx="648" formatCode="0">
                  <c:v>370</c:v>
                </c:pt>
                <c:pt idx="649" formatCode="0">
                  <c:v>370</c:v>
                </c:pt>
                <c:pt idx="650" formatCode="0">
                  <c:v>370</c:v>
                </c:pt>
                <c:pt idx="651" formatCode="0">
                  <c:v>370</c:v>
                </c:pt>
                <c:pt idx="652" formatCode="0">
                  <c:v>370</c:v>
                </c:pt>
                <c:pt idx="653" formatCode="0">
                  <c:v>370</c:v>
                </c:pt>
                <c:pt idx="654" formatCode="0">
                  <c:v>370</c:v>
                </c:pt>
                <c:pt idx="655" formatCode="0">
                  <c:v>370</c:v>
                </c:pt>
                <c:pt idx="656" formatCode="0">
                  <c:v>370</c:v>
                </c:pt>
                <c:pt idx="657" formatCode="0">
                  <c:v>370</c:v>
                </c:pt>
                <c:pt idx="658" formatCode="0">
                  <c:v>370</c:v>
                </c:pt>
                <c:pt idx="659" formatCode="0">
                  <c:v>370</c:v>
                </c:pt>
                <c:pt idx="660" formatCode="0">
                  <c:v>370</c:v>
                </c:pt>
                <c:pt idx="661" formatCode="0">
                  <c:v>370</c:v>
                </c:pt>
                <c:pt idx="662" formatCode="0">
                  <c:v>370</c:v>
                </c:pt>
                <c:pt idx="663" formatCode="0">
                  <c:v>370</c:v>
                </c:pt>
                <c:pt idx="664" formatCode="0">
                  <c:v>370</c:v>
                </c:pt>
                <c:pt idx="665" formatCode="0">
                  <c:v>370</c:v>
                </c:pt>
                <c:pt idx="666" formatCode="0">
                  <c:v>370</c:v>
                </c:pt>
                <c:pt idx="667" formatCode="0">
                  <c:v>370</c:v>
                </c:pt>
                <c:pt idx="668" formatCode="0">
                  <c:v>370</c:v>
                </c:pt>
                <c:pt idx="669" formatCode="0">
                  <c:v>370</c:v>
                </c:pt>
                <c:pt idx="670" formatCode="0">
                  <c:v>370</c:v>
                </c:pt>
                <c:pt idx="671" formatCode="0">
                  <c:v>370</c:v>
                </c:pt>
                <c:pt idx="672" formatCode="0">
                  <c:v>370</c:v>
                </c:pt>
                <c:pt idx="673" formatCode="0">
                  <c:v>370</c:v>
                </c:pt>
                <c:pt idx="674" formatCode="0">
                  <c:v>370</c:v>
                </c:pt>
                <c:pt idx="675" formatCode="0">
                  <c:v>370</c:v>
                </c:pt>
                <c:pt idx="676" formatCode="0">
                  <c:v>370</c:v>
                </c:pt>
                <c:pt idx="677" formatCode="0">
                  <c:v>370</c:v>
                </c:pt>
                <c:pt idx="678" formatCode="0">
                  <c:v>370</c:v>
                </c:pt>
                <c:pt idx="679" formatCode="0">
                  <c:v>370</c:v>
                </c:pt>
                <c:pt idx="680" formatCode="0">
                  <c:v>370</c:v>
                </c:pt>
                <c:pt idx="681" formatCode="0">
                  <c:v>370</c:v>
                </c:pt>
                <c:pt idx="682" formatCode="0">
                  <c:v>370</c:v>
                </c:pt>
                <c:pt idx="683" formatCode="0">
                  <c:v>370</c:v>
                </c:pt>
                <c:pt idx="684" formatCode="0">
                  <c:v>370</c:v>
                </c:pt>
                <c:pt idx="685" formatCode="0">
                  <c:v>370</c:v>
                </c:pt>
                <c:pt idx="686" formatCode="0">
                  <c:v>370</c:v>
                </c:pt>
                <c:pt idx="687" formatCode="0">
                  <c:v>370</c:v>
                </c:pt>
                <c:pt idx="688" formatCode="0">
                  <c:v>370</c:v>
                </c:pt>
                <c:pt idx="689" formatCode="0">
                  <c:v>370</c:v>
                </c:pt>
                <c:pt idx="690" formatCode="0">
                  <c:v>370</c:v>
                </c:pt>
                <c:pt idx="691" formatCode="0">
                  <c:v>370</c:v>
                </c:pt>
                <c:pt idx="692" formatCode="0">
                  <c:v>370</c:v>
                </c:pt>
                <c:pt idx="693" formatCode="0">
                  <c:v>370</c:v>
                </c:pt>
                <c:pt idx="694" formatCode="0">
                  <c:v>370</c:v>
                </c:pt>
                <c:pt idx="695" formatCode="0">
                  <c:v>370</c:v>
                </c:pt>
                <c:pt idx="696" formatCode="0">
                  <c:v>370</c:v>
                </c:pt>
                <c:pt idx="697" formatCode="0">
                  <c:v>370</c:v>
                </c:pt>
                <c:pt idx="698" formatCode="0">
                  <c:v>370</c:v>
                </c:pt>
                <c:pt idx="699" formatCode="0">
                  <c:v>370</c:v>
                </c:pt>
                <c:pt idx="700" formatCode="0">
                  <c:v>370</c:v>
                </c:pt>
                <c:pt idx="701" formatCode="0">
                  <c:v>370</c:v>
                </c:pt>
                <c:pt idx="702" formatCode="0">
                  <c:v>370</c:v>
                </c:pt>
                <c:pt idx="703" formatCode="0">
                  <c:v>370</c:v>
                </c:pt>
                <c:pt idx="704" formatCode="0">
                  <c:v>370</c:v>
                </c:pt>
                <c:pt idx="705" formatCode="0">
                  <c:v>370</c:v>
                </c:pt>
                <c:pt idx="706" formatCode="0">
                  <c:v>370</c:v>
                </c:pt>
                <c:pt idx="707" formatCode="0">
                  <c:v>370</c:v>
                </c:pt>
                <c:pt idx="708" formatCode="0">
                  <c:v>370</c:v>
                </c:pt>
                <c:pt idx="709" formatCode="0">
                  <c:v>370</c:v>
                </c:pt>
                <c:pt idx="710" formatCode="0">
                  <c:v>370</c:v>
                </c:pt>
                <c:pt idx="711" formatCode="0">
                  <c:v>370</c:v>
                </c:pt>
                <c:pt idx="712" formatCode="0">
                  <c:v>370</c:v>
                </c:pt>
                <c:pt idx="713" formatCode="0">
                  <c:v>370</c:v>
                </c:pt>
                <c:pt idx="714" formatCode="0">
                  <c:v>370</c:v>
                </c:pt>
                <c:pt idx="715" formatCode="0">
                  <c:v>370</c:v>
                </c:pt>
                <c:pt idx="716" formatCode="0">
                  <c:v>370</c:v>
                </c:pt>
                <c:pt idx="717" formatCode="0">
                  <c:v>370</c:v>
                </c:pt>
                <c:pt idx="718" formatCode="0">
                  <c:v>370</c:v>
                </c:pt>
                <c:pt idx="719" formatCode="0">
                  <c:v>370</c:v>
                </c:pt>
                <c:pt idx="720" formatCode="0">
                  <c:v>370</c:v>
                </c:pt>
                <c:pt idx="721" formatCode="0">
                  <c:v>370</c:v>
                </c:pt>
                <c:pt idx="722" formatCode="0">
                  <c:v>370</c:v>
                </c:pt>
                <c:pt idx="723" formatCode="0">
                  <c:v>370</c:v>
                </c:pt>
                <c:pt idx="724" formatCode="0">
                  <c:v>370</c:v>
                </c:pt>
                <c:pt idx="725" formatCode="0">
                  <c:v>370</c:v>
                </c:pt>
                <c:pt idx="726" formatCode="0">
                  <c:v>370</c:v>
                </c:pt>
                <c:pt idx="727" formatCode="0">
                  <c:v>370</c:v>
                </c:pt>
                <c:pt idx="728" formatCode="0">
                  <c:v>370</c:v>
                </c:pt>
                <c:pt idx="729" formatCode="0">
                  <c:v>370</c:v>
                </c:pt>
                <c:pt idx="730" formatCode="0">
                  <c:v>370</c:v>
                </c:pt>
                <c:pt idx="731" formatCode="0">
                  <c:v>370</c:v>
                </c:pt>
                <c:pt idx="732" formatCode="0">
                  <c:v>370</c:v>
                </c:pt>
                <c:pt idx="733" formatCode="0">
                  <c:v>370</c:v>
                </c:pt>
                <c:pt idx="734" formatCode="0">
                  <c:v>370</c:v>
                </c:pt>
                <c:pt idx="735" formatCode="0">
                  <c:v>370</c:v>
                </c:pt>
                <c:pt idx="736" formatCode="0">
                  <c:v>370</c:v>
                </c:pt>
                <c:pt idx="737" formatCode="0">
                  <c:v>370</c:v>
                </c:pt>
                <c:pt idx="738" formatCode="0">
                  <c:v>370</c:v>
                </c:pt>
                <c:pt idx="739" formatCode="0">
                  <c:v>370</c:v>
                </c:pt>
                <c:pt idx="740" formatCode="0">
                  <c:v>370</c:v>
                </c:pt>
                <c:pt idx="741" formatCode="0">
                  <c:v>370</c:v>
                </c:pt>
                <c:pt idx="742" formatCode="0">
                  <c:v>370</c:v>
                </c:pt>
                <c:pt idx="743" formatCode="0">
                  <c:v>370</c:v>
                </c:pt>
                <c:pt idx="744" formatCode="0">
                  <c:v>370</c:v>
                </c:pt>
                <c:pt idx="745" formatCode="0">
                  <c:v>370</c:v>
                </c:pt>
                <c:pt idx="746" formatCode="0">
                  <c:v>370</c:v>
                </c:pt>
                <c:pt idx="747" formatCode="0">
                  <c:v>370</c:v>
                </c:pt>
                <c:pt idx="748" formatCode="0">
                  <c:v>370</c:v>
                </c:pt>
                <c:pt idx="749" formatCode="0">
                  <c:v>370</c:v>
                </c:pt>
                <c:pt idx="750" formatCode="0">
                  <c:v>370</c:v>
                </c:pt>
                <c:pt idx="751" formatCode="0">
                  <c:v>370</c:v>
                </c:pt>
                <c:pt idx="752" formatCode="0">
                  <c:v>370</c:v>
                </c:pt>
                <c:pt idx="753" formatCode="0">
                  <c:v>370</c:v>
                </c:pt>
                <c:pt idx="754" formatCode="0">
                  <c:v>370</c:v>
                </c:pt>
                <c:pt idx="755" formatCode="0">
                  <c:v>370</c:v>
                </c:pt>
                <c:pt idx="756" formatCode="0">
                  <c:v>370</c:v>
                </c:pt>
                <c:pt idx="757" formatCode="0">
                  <c:v>370</c:v>
                </c:pt>
                <c:pt idx="758" formatCode="0">
                  <c:v>370</c:v>
                </c:pt>
                <c:pt idx="759" formatCode="0">
                  <c:v>370</c:v>
                </c:pt>
                <c:pt idx="760" formatCode="0">
                  <c:v>370</c:v>
                </c:pt>
                <c:pt idx="761" formatCode="0">
                  <c:v>370</c:v>
                </c:pt>
                <c:pt idx="762" formatCode="0">
                  <c:v>370</c:v>
                </c:pt>
                <c:pt idx="763" formatCode="0">
                  <c:v>370</c:v>
                </c:pt>
                <c:pt idx="764" formatCode="0">
                  <c:v>370</c:v>
                </c:pt>
                <c:pt idx="765" formatCode="0">
                  <c:v>370</c:v>
                </c:pt>
                <c:pt idx="766" formatCode="0">
                  <c:v>370</c:v>
                </c:pt>
                <c:pt idx="767" formatCode="0">
                  <c:v>370</c:v>
                </c:pt>
                <c:pt idx="768" formatCode="0">
                  <c:v>370</c:v>
                </c:pt>
                <c:pt idx="769" formatCode="0">
                  <c:v>370</c:v>
                </c:pt>
                <c:pt idx="770" formatCode="0">
                  <c:v>370</c:v>
                </c:pt>
                <c:pt idx="771" formatCode="0">
                  <c:v>370</c:v>
                </c:pt>
                <c:pt idx="772" formatCode="0">
                  <c:v>370</c:v>
                </c:pt>
                <c:pt idx="773" formatCode="0">
                  <c:v>370</c:v>
                </c:pt>
                <c:pt idx="774" formatCode="0">
                  <c:v>370</c:v>
                </c:pt>
                <c:pt idx="775" formatCode="0">
                  <c:v>370</c:v>
                </c:pt>
                <c:pt idx="776" formatCode="0">
                  <c:v>370</c:v>
                </c:pt>
                <c:pt idx="777" formatCode="0">
                  <c:v>370</c:v>
                </c:pt>
                <c:pt idx="778" formatCode="0">
                  <c:v>370</c:v>
                </c:pt>
                <c:pt idx="779" formatCode="0">
                  <c:v>370</c:v>
                </c:pt>
                <c:pt idx="780" formatCode="0">
                  <c:v>370</c:v>
                </c:pt>
                <c:pt idx="781" formatCode="0">
                  <c:v>370</c:v>
                </c:pt>
                <c:pt idx="782" formatCode="0">
                  <c:v>370</c:v>
                </c:pt>
                <c:pt idx="783" formatCode="0">
                  <c:v>370</c:v>
                </c:pt>
                <c:pt idx="784" formatCode="0">
                  <c:v>370</c:v>
                </c:pt>
                <c:pt idx="785" formatCode="0">
                  <c:v>370</c:v>
                </c:pt>
                <c:pt idx="786" formatCode="0">
                  <c:v>370</c:v>
                </c:pt>
                <c:pt idx="787" formatCode="0">
                  <c:v>370</c:v>
                </c:pt>
                <c:pt idx="788" formatCode="0">
                  <c:v>370</c:v>
                </c:pt>
                <c:pt idx="789" formatCode="0">
                  <c:v>370</c:v>
                </c:pt>
                <c:pt idx="790" formatCode="0">
                  <c:v>370</c:v>
                </c:pt>
                <c:pt idx="791" formatCode="0">
                  <c:v>370</c:v>
                </c:pt>
                <c:pt idx="792" formatCode="0">
                  <c:v>370</c:v>
                </c:pt>
                <c:pt idx="793" formatCode="0">
                  <c:v>370</c:v>
                </c:pt>
                <c:pt idx="794" formatCode="0">
                  <c:v>370</c:v>
                </c:pt>
                <c:pt idx="795" formatCode="0">
                  <c:v>370</c:v>
                </c:pt>
                <c:pt idx="796" formatCode="0">
                  <c:v>370</c:v>
                </c:pt>
                <c:pt idx="797" formatCode="0">
                  <c:v>370</c:v>
                </c:pt>
                <c:pt idx="798" formatCode="0">
                  <c:v>370</c:v>
                </c:pt>
                <c:pt idx="799" formatCode="0">
                  <c:v>370</c:v>
                </c:pt>
                <c:pt idx="800" formatCode="0">
                  <c:v>370</c:v>
                </c:pt>
                <c:pt idx="801" formatCode="0">
                  <c:v>370</c:v>
                </c:pt>
                <c:pt idx="802" formatCode="0">
                  <c:v>370</c:v>
                </c:pt>
                <c:pt idx="803" formatCode="0">
                  <c:v>370</c:v>
                </c:pt>
                <c:pt idx="804" formatCode="0">
                  <c:v>370</c:v>
                </c:pt>
                <c:pt idx="805" formatCode="0">
                  <c:v>370</c:v>
                </c:pt>
                <c:pt idx="806" formatCode="0">
                  <c:v>370</c:v>
                </c:pt>
                <c:pt idx="807" formatCode="0">
                  <c:v>370</c:v>
                </c:pt>
                <c:pt idx="808" formatCode="0">
                  <c:v>370</c:v>
                </c:pt>
                <c:pt idx="809" formatCode="0">
                  <c:v>370</c:v>
                </c:pt>
                <c:pt idx="810" formatCode="0">
                  <c:v>370</c:v>
                </c:pt>
                <c:pt idx="811" formatCode="0">
                  <c:v>370</c:v>
                </c:pt>
                <c:pt idx="812" formatCode="0">
                  <c:v>370</c:v>
                </c:pt>
                <c:pt idx="813" formatCode="0">
                  <c:v>370</c:v>
                </c:pt>
                <c:pt idx="814" formatCode="0">
                  <c:v>370</c:v>
                </c:pt>
                <c:pt idx="815" formatCode="0">
                  <c:v>370</c:v>
                </c:pt>
                <c:pt idx="816" formatCode="0">
                  <c:v>370</c:v>
                </c:pt>
                <c:pt idx="817" formatCode="0">
                  <c:v>370</c:v>
                </c:pt>
                <c:pt idx="818" formatCode="0">
                  <c:v>370</c:v>
                </c:pt>
                <c:pt idx="819" formatCode="0">
                  <c:v>370</c:v>
                </c:pt>
                <c:pt idx="820" formatCode="0">
                  <c:v>370</c:v>
                </c:pt>
                <c:pt idx="821" formatCode="0">
                  <c:v>370</c:v>
                </c:pt>
                <c:pt idx="822" formatCode="0">
                  <c:v>370</c:v>
                </c:pt>
                <c:pt idx="823" formatCode="0">
                  <c:v>370</c:v>
                </c:pt>
                <c:pt idx="824" formatCode="0">
                  <c:v>370</c:v>
                </c:pt>
                <c:pt idx="825" formatCode="0">
                  <c:v>370</c:v>
                </c:pt>
                <c:pt idx="826" formatCode="0">
                  <c:v>370</c:v>
                </c:pt>
                <c:pt idx="827" formatCode="0">
                  <c:v>370</c:v>
                </c:pt>
                <c:pt idx="828" formatCode="0">
                  <c:v>370</c:v>
                </c:pt>
                <c:pt idx="829" formatCode="0">
                  <c:v>370</c:v>
                </c:pt>
                <c:pt idx="830" formatCode="0">
                  <c:v>370</c:v>
                </c:pt>
                <c:pt idx="831" formatCode="0">
                  <c:v>370</c:v>
                </c:pt>
                <c:pt idx="832" formatCode="0">
                  <c:v>370</c:v>
                </c:pt>
                <c:pt idx="833" formatCode="0">
                  <c:v>370</c:v>
                </c:pt>
                <c:pt idx="834" formatCode="0">
                  <c:v>370</c:v>
                </c:pt>
                <c:pt idx="835" formatCode="0">
                  <c:v>370</c:v>
                </c:pt>
                <c:pt idx="836" formatCode="0">
                  <c:v>370</c:v>
                </c:pt>
                <c:pt idx="837" formatCode="0">
                  <c:v>370</c:v>
                </c:pt>
                <c:pt idx="838" formatCode="0">
                  <c:v>370</c:v>
                </c:pt>
                <c:pt idx="839" formatCode="0">
                  <c:v>370</c:v>
                </c:pt>
                <c:pt idx="840" formatCode="0">
                  <c:v>370</c:v>
                </c:pt>
                <c:pt idx="841" formatCode="0">
                  <c:v>370</c:v>
                </c:pt>
                <c:pt idx="842" formatCode="0">
                  <c:v>370</c:v>
                </c:pt>
                <c:pt idx="843" formatCode="0">
                  <c:v>370</c:v>
                </c:pt>
                <c:pt idx="844" formatCode="0">
                  <c:v>370</c:v>
                </c:pt>
                <c:pt idx="845" formatCode="0">
                  <c:v>370</c:v>
                </c:pt>
                <c:pt idx="846" formatCode="0">
                  <c:v>370</c:v>
                </c:pt>
                <c:pt idx="847" formatCode="0">
                  <c:v>370</c:v>
                </c:pt>
                <c:pt idx="848" formatCode="0">
                  <c:v>370</c:v>
                </c:pt>
                <c:pt idx="849" formatCode="0">
                  <c:v>370</c:v>
                </c:pt>
                <c:pt idx="850" formatCode="0">
                  <c:v>370</c:v>
                </c:pt>
                <c:pt idx="851" formatCode="0">
                  <c:v>370</c:v>
                </c:pt>
                <c:pt idx="852" formatCode="0">
                  <c:v>370</c:v>
                </c:pt>
                <c:pt idx="853" formatCode="0">
                  <c:v>370</c:v>
                </c:pt>
                <c:pt idx="854" formatCode="0">
                  <c:v>370</c:v>
                </c:pt>
                <c:pt idx="855" formatCode="0">
                  <c:v>370</c:v>
                </c:pt>
                <c:pt idx="856" formatCode="0">
                  <c:v>370</c:v>
                </c:pt>
                <c:pt idx="857" formatCode="0">
                  <c:v>370</c:v>
                </c:pt>
                <c:pt idx="858" formatCode="0">
                  <c:v>370</c:v>
                </c:pt>
                <c:pt idx="859" formatCode="0">
                  <c:v>370</c:v>
                </c:pt>
                <c:pt idx="860" formatCode="0">
                  <c:v>370</c:v>
                </c:pt>
                <c:pt idx="861" formatCode="0">
                  <c:v>370</c:v>
                </c:pt>
                <c:pt idx="862" formatCode="0">
                  <c:v>370</c:v>
                </c:pt>
                <c:pt idx="863" formatCode="0">
                  <c:v>370</c:v>
                </c:pt>
                <c:pt idx="864" formatCode="0">
                  <c:v>370</c:v>
                </c:pt>
                <c:pt idx="865" formatCode="0">
                  <c:v>370</c:v>
                </c:pt>
                <c:pt idx="866" formatCode="0">
                  <c:v>370</c:v>
                </c:pt>
                <c:pt idx="867" formatCode="0">
                  <c:v>370</c:v>
                </c:pt>
                <c:pt idx="868" formatCode="0">
                  <c:v>370</c:v>
                </c:pt>
                <c:pt idx="869" formatCode="0">
                  <c:v>370</c:v>
                </c:pt>
                <c:pt idx="870" formatCode="0">
                  <c:v>370</c:v>
                </c:pt>
                <c:pt idx="871" formatCode="0">
                  <c:v>370</c:v>
                </c:pt>
                <c:pt idx="872" formatCode="0">
                  <c:v>370</c:v>
                </c:pt>
                <c:pt idx="873" formatCode="0">
                  <c:v>370</c:v>
                </c:pt>
                <c:pt idx="874" formatCode="0">
                  <c:v>370</c:v>
                </c:pt>
                <c:pt idx="875" formatCode="0">
                  <c:v>370</c:v>
                </c:pt>
                <c:pt idx="876" formatCode="0">
                  <c:v>370</c:v>
                </c:pt>
                <c:pt idx="877" formatCode="0">
                  <c:v>370</c:v>
                </c:pt>
                <c:pt idx="878" formatCode="0">
                  <c:v>370</c:v>
                </c:pt>
                <c:pt idx="879" formatCode="0">
                  <c:v>370</c:v>
                </c:pt>
                <c:pt idx="880" formatCode="0">
                  <c:v>370</c:v>
                </c:pt>
                <c:pt idx="881" formatCode="0">
                  <c:v>370</c:v>
                </c:pt>
                <c:pt idx="882" formatCode="0">
                  <c:v>370</c:v>
                </c:pt>
                <c:pt idx="883" formatCode="0">
                  <c:v>370</c:v>
                </c:pt>
                <c:pt idx="884" formatCode="0">
                  <c:v>370</c:v>
                </c:pt>
                <c:pt idx="885" formatCode="0">
                  <c:v>370</c:v>
                </c:pt>
                <c:pt idx="886" formatCode="0">
                  <c:v>370</c:v>
                </c:pt>
                <c:pt idx="887" formatCode="0">
                  <c:v>370</c:v>
                </c:pt>
                <c:pt idx="888" formatCode="0">
                  <c:v>370</c:v>
                </c:pt>
                <c:pt idx="889" formatCode="0">
                  <c:v>370</c:v>
                </c:pt>
                <c:pt idx="890" formatCode="0">
                  <c:v>370</c:v>
                </c:pt>
                <c:pt idx="891" formatCode="0">
                  <c:v>370</c:v>
                </c:pt>
                <c:pt idx="892" formatCode="0">
                  <c:v>370</c:v>
                </c:pt>
                <c:pt idx="893" formatCode="0">
                  <c:v>370</c:v>
                </c:pt>
                <c:pt idx="894" formatCode="0">
                  <c:v>370</c:v>
                </c:pt>
                <c:pt idx="895" formatCode="0">
                  <c:v>370</c:v>
                </c:pt>
                <c:pt idx="896" formatCode="0">
                  <c:v>370</c:v>
                </c:pt>
                <c:pt idx="897" formatCode="0">
                  <c:v>370</c:v>
                </c:pt>
                <c:pt idx="898" formatCode="0">
                  <c:v>370</c:v>
                </c:pt>
                <c:pt idx="899" formatCode="0">
                  <c:v>370</c:v>
                </c:pt>
                <c:pt idx="900" formatCode="0">
                  <c:v>370</c:v>
                </c:pt>
                <c:pt idx="901" formatCode="0">
                  <c:v>370</c:v>
                </c:pt>
                <c:pt idx="902" formatCode="0">
                  <c:v>370</c:v>
                </c:pt>
                <c:pt idx="903" formatCode="0">
                  <c:v>370</c:v>
                </c:pt>
                <c:pt idx="904" formatCode="0">
                  <c:v>370</c:v>
                </c:pt>
                <c:pt idx="905" formatCode="0">
                  <c:v>370</c:v>
                </c:pt>
                <c:pt idx="906" formatCode="0">
                  <c:v>370</c:v>
                </c:pt>
                <c:pt idx="907" formatCode="0">
                  <c:v>370</c:v>
                </c:pt>
                <c:pt idx="908" formatCode="0">
                  <c:v>370</c:v>
                </c:pt>
                <c:pt idx="909" formatCode="0">
                  <c:v>370</c:v>
                </c:pt>
                <c:pt idx="910" formatCode="0">
                  <c:v>370</c:v>
                </c:pt>
                <c:pt idx="911" formatCode="0">
                  <c:v>370</c:v>
                </c:pt>
                <c:pt idx="912" formatCode="0">
                  <c:v>370</c:v>
                </c:pt>
                <c:pt idx="913" formatCode="0">
                  <c:v>370</c:v>
                </c:pt>
                <c:pt idx="914" formatCode="0">
                  <c:v>370</c:v>
                </c:pt>
                <c:pt idx="915" formatCode="0">
                  <c:v>370</c:v>
                </c:pt>
                <c:pt idx="916" formatCode="0">
                  <c:v>370</c:v>
                </c:pt>
                <c:pt idx="917" formatCode="0">
                  <c:v>370</c:v>
                </c:pt>
                <c:pt idx="918" formatCode="0">
                  <c:v>370</c:v>
                </c:pt>
                <c:pt idx="919" formatCode="0">
                  <c:v>370</c:v>
                </c:pt>
                <c:pt idx="920" formatCode="0">
                  <c:v>370</c:v>
                </c:pt>
                <c:pt idx="921" formatCode="0">
                  <c:v>370</c:v>
                </c:pt>
                <c:pt idx="922" formatCode="0">
                  <c:v>370</c:v>
                </c:pt>
                <c:pt idx="923" formatCode="0">
                  <c:v>370</c:v>
                </c:pt>
                <c:pt idx="924" formatCode="0">
                  <c:v>370</c:v>
                </c:pt>
                <c:pt idx="925" formatCode="0">
                  <c:v>370</c:v>
                </c:pt>
                <c:pt idx="926" formatCode="0">
                  <c:v>370</c:v>
                </c:pt>
                <c:pt idx="927" formatCode="0">
                  <c:v>370</c:v>
                </c:pt>
                <c:pt idx="928" formatCode="0">
                  <c:v>370</c:v>
                </c:pt>
                <c:pt idx="929" formatCode="0">
                  <c:v>370</c:v>
                </c:pt>
                <c:pt idx="930" formatCode="0">
                  <c:v>370</c:v>
                </c:pt>
                <c:pt idx="931" formatCode="0">
                  <c:v>370</c:v>
                </c:pt>
                <c:pt idx="932" formatCode="0">
                  <c:v>370</c:v>
                </c:pt>
                <c:pt idx="933" formatCode="0">
                  <c:v>370</c:v>
                </c:pt>
                <c:pt idx="934" formatCode="0">
                  <c:v>370</c:v>
                </c:pt>
                <c:pt idx="935" formatCode="0">
                  <c:v>370</c:v>
                </c:pt>
                <c:pt idx="936" formatCode="0">
                  <c:v>370</c:v>
                </c:pt>
                <c:pt idx="937" formatCode="0">
                  <c:v>370</c:v>
                </c:pt>
                <c:pt idx="938" formatCode="0">
                  <c:v>370</c:v>
                </c:pt>
                <c:pt idx="939" formatCode="0">
                  <c:v>370</c:v>
                </c:pt>
                <c:pt idx="940" formatCode="0">
                  <c:v>370</c:v>
                </c:pt>
                <c:pt idx="941" formatCode="0">
                  <c:v>370</c:v>
                </c:pt>
                <c:pt idx="942" formatCode="0">
                  <c:v>370</c:v>
                </c:pt>
                <c:pt idx="943" formatCode="0">
                  <c:v>370</c:v>
                </c:pt>
                <c:pt idx="944" formatCode="0">
                  <c:v>370</c:v>
                </c:pt>
                <c:pt idx="945" formatCode="0">
                  <c:v>370</c:v>
                </c:pt>
                <c:pt idx="946" formatCode="0">
                  <c:v>370</c:v>
                </c:pt>
                <c:pt idx="947" formatCode="0">
                  <c:v>370</c:v>
                </c:pt>
                <c:pt idx="948" formatCode="0">
                  <c:v>370</c:v>
                </c:pt>
                <c:pt idx="949" formatCode="0">
                  <c:v>370</c:v>
                </c:pt>
                <c:pt idx="950" formatCode="0">
                  <c:v>370</c:v>
                </c:pt>
                <c:pt idx="951" formatCode="0">
                  <c:v>370</c:v>
                </c:pt>
                <c:pt idx="952" formatCode="0">
                  <c:v>370</c:v>
                </c:pt>
                <c:pt idx="953" formatCode="0">
                  <c:v>370</c:v>
                </c:pt>
                <c:pt idx="954" formatCode="0">
                  <c:v>370</c:v>
                </c:pt>
                <c:pt idx="955" formatCode="0">
                  <c:v>370</c:v>
                </c:pt>
                <c:pt idx="956" formatCode="0">
                  <c:v>370</c:v>
                </c:pt>
                <c:pt idx="957" formatCode="0">
                  <c:v>370</c:v>
                </c:pt>
                <c:pt idx="958" formatCode="0">
                  <c:v>370</c:v>
                </c:pt>
                <c:pt idx="959" formatCode="0">
                  <c:v>370</c:v>
                </c:pt>
                <c:pt idx="960" formatCode="0">
                  <c:v>370</c:v>
                </c:pt>
                <c:pt idx="961" formatCode="0">
                  <c:v>370</c:v>
                </c:pt>
                <c:pt idx="962" formatCode="0">
                  <c:v>370</c:v>
                </c:pt>
                <c:pt idx="963" formatCode="0">
                  <c:v>370</c:v>
                </c:pt>
                <c:pt idx="964" formatCode="0">
                  <c:v>370</c:v>
                </c:pt>
                <c:pt idx="965" formatCode="0">
                  <c:v>370</c:v>
                </c:pt>
                <c:pt idx="966" formatCode="0">
                  <c:v>370</c:v>
                </c:pt>
                <c:pt idx="967" formatCode="0">
                  <c:v>370</c:v>
                </c:pt>
                <c:pt idx="968" formatCode="0">
                  <c:v>370</c:v>
                </c:pt>
                <c:pt idx="969" formatCode="0">
                  <c:v>370</c:v>
                </c:pt>
                <c:pt idx="970" formatCode="0">
                  <c:v>370</c:v>
                </c:pt>
                <c:pt idx="971" formatCode="0">
                  <c:v>370</c:v>
                </c:pt>
                <c:pt idx="972" formatCode="0">
                  <c:v>370</c:v>
                </c:pt>
                <c:pt idx="973" formatCode="0">
                  <c:v>370</c:v>
                </c:pt>
                <c:pt idx="974" formatCode="0">
                  <c:v>370</c:v>
                </c:pt>
                <c:pt idx="975" formatCode="0">
                  <c:v>370</c:v>
                </c:pt>
                <c:pt idx="976" formatCode="0">
                  <c:v>370</c:v>
                </c:pt>
                <c:pt idx="977" formatCode="0">
                  <c:v>370</c:v>
                </c:pt>
                <c:pt idx="978" formatCode="0">
                  <c:v>370</c:v>
                </c:pt>
                <c:pt idx="979" formatCode="0">
                  <c:v>370</c:v>
                </c:pt>
                <c:pt idx="980" formatCode="0">
                  <c:v>370</c:v>
                </c:pt>
                <c:pt idx="981" formatCode="0">
                  <c:v>370</c:v>
                </c:pt>
                <c:pt idx="982" formatCode="0">
                  <c:v>370</c:v>
                </c:pt>
                <c:pt idx="983" formatCode="0">
                  <c:v>370</c:v>
                </c:pt>
                <c:pt idx="984" formatCode="0">
                  <c:v>370</c:v>
                </c:pt>
                <c:pt idx="985" formatCode="0">
                  <c:v>370</c:v>
                </c:pt>
                <c:pt idx="986" formatCode="0">
                  <c:v>370</c:v>
                </c:pt>
                <c:pt idx="987" formatCode="0">
                  <c:v>370</c:v>
                </c:pt>
                <c:pt idx="988" formatCode="0">
                  <c:v>370</c:v>
                </c:pt>
                <c:pt idx="989" formatCode="0">
                  <c:v>370</c:v>
                </c:pt>
                <c:pt idx="990" formatCode="0">
                  <c:v>370</c:v>
                </c:pt>
                <c:pt idx="991" formatCode="0">
                  <c:v>370</c:v>
                </c:pt>
                <c:pt idx="992" formatCode="0">
                  <c:v>370</c:v>
                </c:pt>
                <c:pt idx="993" formatCode="0">
                  <c:v>370</c:v>
                </c:pt>
                <c:pt idx="994" formatCode="0">
                  <c:v>370</c:v>
                </c:pt>
                <c:pt idx="995" formatCode="0">
                  <c:v>370</c:v>
                </c:pt>
                <c:pt idx="996" formatCode="0">
                  <c:v>370</c:v>
                </c:pt>
                <c:pt idx="997" formatCode="0">
                  <c:v>370</c:v>
                </c:pt>
                <c:pt idx="998" formatCode="0">
                  <c:v>370</c:v>
                </c:pt>
                <c:pt idx="999" formatCode="0">
                  <c:v>370</c:v>
                </c:pt>
                <c:pt idx="1000" formatCode="0">
                  <c:v>370</c:v>
                </c:pt>
                <c:pt idx="1001" formatCode="0">
                  <c:v>370</c:v>
                </c:pt>
                <c:pt idx="1002" formatCode="0">
                  <c:v>370</c:v>
                </c:pt>
                <c:pt idx="1003" formatCode="0">
                  <c:v>370</c:v>
                </c:pt>
                <c:pt idx="1004" formatCode="0">
                  <c:v>370</c:v>
                </c:pt>
                <c:pt idx="1005" formatCode="0">
                  <c:v>370</c:v>
                </c:pt>
                <c:pt idx="1006" formatCode="0">
                  <c:v>370</c:v>
                </c:pt>
                <c:pt idx="1007" formatCode="0">
                  <c:v>370</c:v>
                </c:pt>
                <c:pt idx="1008" formatCode="0">
                  <c:v>370</c:v>
                </c:pt>
                <c:pt idx="1009" formatCode="0">
                  <c:v>370</c:v>
                </c:pt>
                <c:pt idx="1010" formatCode="0">
                  <c:v>370</c:v>
                </c:pt>
                <c:pt idx="1011" formatCode="0">
                  <c:v>370</c:v>
                </c:pt>
                <c:pt idx="1012" formatCode="0">
                  <c:v>370</c:v>
                </c:pt>
                <c:pt idx="1013" formatCode="0">
                  <c:v>370</c:v>
                </c:pt>
                <c:pt idx="1014" formatCode="0">
                  <c:v>370</c:v>
                </c:pt>
                <c:pt idx="1015" formatCode="0">
                  <c:v>370</c:v>
                </c:pt>
                <c:pt idx="1016" formatCode="0">
                  <c:v>370</c:v>
                </c:pt>
                <c:pt idx="1017" formatCode="0">
                  <c:v>370</c:v>
                </c:pt>
                <c:pt idx="1018" formatCode="0">
                  <c:v>370</c:v>
                </c:pt>
                <c:pt idx="1019" formatCode="0">
                  <c:v>370</c:v>
                </c:pt>
                <c:pt idx="1020" formatCode="0">
                  <c:v>370</c:v>
                </c:pt>
                <c:pt idx="1021" formatCode="0">
                  <c:v>370</c:v>
                </c:pt>
                <c:pt idx="1022" formatCode="0">
                  <c:v>370</c:v>
                </c:pt>
                <c:pt idx="1023" formatCode="0">
                  <c:v>370</c:v>
                </c:pt>
                <c:pt idx="1024" formatCode="0">
                  <c:v>370</c:v>
                </c:pt>
                <c:pt idx="1025" formatCode="0">
                  <c:v>370</c:v>
                </c:pt>
                <c:pt idx="1026" formatCode="0">
                  <c:v>370</c:v>
                </c:pt>
                <c:pt idx="1027" formatCode="0">
                  <c:v>370</c:v>
                </c:pt>
                <c:pt idx="1028" formatCode="0">
                  <c:v>370</c:v>
                </c:pt>
                <c:pt idx="1029" formatCode="0">
                  <c:v>370</c:v>
                </c:pt>
                <c:pt idx="1030" formatCode="0">
                  <c:v>370</c:v>
                </c:pt>
                <c:pt idx="1031" formatCode="0">
                  <c:v>370</c:v>
                </c:pt>
                <c:pt idx="1032" formatCode="0">
                  <c:v>370</c:v>
                </c:pt>
                <c:pt idx="1033" formatCode="0">
                  <c:v>370</c:v>
                </c:pt>
                <c:pt idx="1034" formatCode="0">
                  <c:v>370</c:v>
                </c:pt>
                <c:pt idx="1035" formatCode="0">
                  <c:v>370</c:v>
                </c:pt>
                <c:pt idx="1036" formatCode="0">
                  <c:v>370</c:v>
                </c:pt>
                <c:pt idx="1037" formatCode="0">
                  <c:v>370</c:v>
                </c:pt>
                <c:pt idx="1038" formatCode="0">
                  <c:v>370</c:v>
                </c:pt>
                <c:pt idx="1039" formatCode="0">
                  <c:v>370</c:v>
                </c:pt>
                <c:pt idx="1040" formatCode="0">
                  <c:v>370</c:v>
                </c:pt>
                <c:pt idx="1041" formatCode="0">
                  <c:v>370</c:v>
                </c:pt>
                <c:pt idx="1042" formatCode="0">
                  <c:v>370</c:v>
                </c:pt>
                <c:pt idx="1043" formatCode="0">
                  <c:v>370</c:v>
                </c:pt>
                <c:pt idx="1044" formatCode="0">
                  <c:v>370</c:v>
                </c:pt>
                <c:pt idx="1045" formatCode="0">
                  <c:v>370</c:v>
                </c:pt>
                <c:pt idx="1046" formatCode="0">
                  <c:v>370</c:v>
                </c:pt>
                <c:pt idx="1047" formatCode="0">
                  <c:v>370</c:v>
                </c:pt>
                <c:pt idx="1048" formatCode="0">
                  <c:v>370</c:v>
                </c:pt>
                <c:pt idx="1049" formatCode="0">
                  <c:v>370</c:v>
                </c:pt>
                <c:pt idx="1050" formatCode="0">
                  <c:v>370</c:v>
                </c:pt>
                <c:pt idx="1051" formatCode="0">
                  <c:v>370</c:v>
                </c:pt>
                <c:pt idx="1052" formatCode="0">
                  <c:v>370</c:v>
                </c:pt>
                <c:pt idx="1053" formatCode="0">
                  <c:v>370</c:v>
                </c:pt>
                <c:pt idx="1054" formatCode="0">
                  <c:v>370</c:v>
                </c:pt>
                <c:pt idx="1055" formatCode="0">
                  <c:v>370</c:v>
                </c:pt>
                <c:pt idx="1056" formatCode="0">
                  <c:v>370</c:v>
                </c:pt>
                <c:pt idx="1057" formatCode="0">
                  <c:v>370</c:v>
                </c:pt>
                <c:pt idx="1058" formatCode="0">
                  <c:v>370</c:v>
                </c:pt>
                <c:pt idx="1059" formatCode="0">
                  <c:v>370</c:v>
                </c:pt>
                <c:pt idx="1060" formatCode="0">
                  <c:v>370</c:v>
                </c:pt>
                <c:pt idx="1061" formatCode="0">
                  <c:v>370</c:v>
                </c:pt>
                <c:pt idx="1062" formatCode="0">
                  <c:v>370</c:v>
                </c:pt>
                <c:pt idx="1063" formatCode="0">
                  <c:v>370</c:v>
                </c:pt>
                <c:pt idx="1064" formatCode="0">
                  <c:v>370</c:v>
                </c:pt>
                <c:pt idx="1065" formatCode="0">
                  <c:v>370</c:v>
                </c:pt>
                <c:pt idx="1066" formatCode="0">
                  <c:v>370</c:v>
                </c:pt>
                <c:pt idx="1067" formatCode="0">
                  <c:v>370</c:v>
                </c:pt>
                <c:pt idx="1068" formatCode="0">
                  <c:v>370</c:v>
                </c:pt>
                <c:pt idx="1069" formatCode="0">
                  <c:v>370</c:v>
                </c:pt>
                <c:pt idx="1070" formatCode="0">
                  <c:v>370</c:v>
                </c:pt>
                <c:pt idx="1071" formatCode="0">
                  <c:v>370</c:v>
                </c:pt>
                <c:pt idx="1072" formatCode="0">
                  <c:v>370</c:v>
                </c:pt>
                <c:pt idx="1073" formatCode="0">
                  <c:v>370</c:v>
                </c:pt>
                <c:pt idx="1074" formatCode="0">
                  <c:v>370</c:v>
                </c:pt>
                <c:pt idx="1075" formatCode="0">
                  <c:v>370</c:v>
                </c:pt>
                <c:pt idx="1076" formatCode="0">
                  <c:v>370</c:v>
                </c:pt>
                <c:pt idx="1077" formatCode="0">
                  <c:v>370</c:v>
                </c:pt>
                <c:pt idx="1078" formatCode="0">
                  <c:v>370</c:v>
                </c:pt>
                <c:pt idx="1079" formatCode="0">
                  <c:v>370</c:v>
                </c:pt>
                <c:pt idx="1080" formatCode="0">
                  <c:v>370</c:v>
                </c:pt>
                <c:pt idx="1081" formatCode="0">
                  <c:v>370</c:v>
                </c:pt>
                <c:pt idx="1082" formatCode="0">
                  <c:v>370</c:v>
                </c:pt>
                <c:pt idx="1083" formatCode="0">
                  <c:v>370</c:v>
                </c:pt>
                <c:pt idx="1084" formatCode="0">
                  <c:v>370</c:v>
                </c:pt>
                <c:pt idx="1085" formatCode="0">
                  <c:v>370</c:v>
                </c:pt>
                <c:pt idx="1086" formatCode="0">
                  <c:v>370</c:v>
                </c:pt>
                <c:pt idx="1087" formatCode="0">
                  <c:v>370</c:v>
                </c:pt>
                <c:pt idx="1088" formatCode="0">
                  <c:v>370</c:v>
                </c:pt>
                <c:pt idx="1089" formatCode="0">
                  <c:v>370</c:v>
                </c:pt>
                <c:pt idx="1090" formatCode="0">
                  <c:v>370</c:v>
                </c:pt>
                <c:pt idx="1091" formatCode="0">
                  <c:v>370</c:v>
                </c:pt>
                <c:pt idx="1092" formatCode="0">
                  <c:v>370</c:v>
                </c:pt>
                <c:pt idx="1093" formatCode="0">
                  <c:v>370</c:v>
                </c:pt>
                <c:pt idx="1094" formatCode="0">
                  <c:v>370</c:v>
                </c:pt>
                <c:pt idx="1095" formatCode="0">
                  <c:v>370</c:v>
                </c:pt>
                <c:pt idx="1096" formatCode="0">
                  <c:v>370</c:v>
                </c:pt>
                <c:pt idx="1097" formatCode="0">
                  <c:v>370</c:v>
                </c:pt>
                <c:pt idx="1098" formatCode="0">
                  <c:v>370</c:v>
                </c:pt>
                <c:pt idx="1099" formatCode="0">
                  <c:v>370</c:v>
                </c:pt>
                <c:pt idx="1100" formatCode="0">
                  <c:v>370</c:v>
                </c:pt>
                <c:pt idx="1101" formatCode="0">
                  <c:v>370</c:v>
                </c:pt>
                <c:pt idx="1102" formatCode="0">
                  <c:v>370</c:v>
                </c:pt>
                <c:pt idx="1103" formatCode="0">
                  <c:v>370</c:v>
                </c:pt>
                <c:pt idx="1104" formatCode="0">
                  <c:v>370</c:v>
                </c:pt>
                <c:pt idx="1105" formatCode="0">
                  <c:v>370</c:v>
                </c:pt>
                <c:pt idx="1106" formatCode="0">
                  <c:v>370</c:v>
                </c:pt>
                <c:pt idx="1107" formatCode="0">
                  <c:v>370</c:v>
                </c:pt>
                <c:pt idx="1108" formatCode="0">
                  <c:v>370</c:v>
                </c:pt>
                <c:pt idx="1109" formatCode="0">
                  <c:v>370</c:v>
                </c:pt>
                <c:pt idx="1110" formatCode="0">
                  <c:v>370</c:v>
                </c:pt>
                <c:pt idx="1111" formatCode="0">
                  <c:v>370</c:v>
                </c:pt>
                <c:pt idx="1112" formatCode="0">
                  <c:v>370</c:v>
                </c:pt>
                <c:pt idx="1113" formatCode="0">
                  <c:v>370</c:v>
                </c:pt>
                <c:pt idx="1114" formatCode="0">
                  <c:v>370</c:v>
                </c:pt>
                <c:pt idx="1115" formatCode="0">
                  <c:v>370</c:v>
                </c:pt>
                <c:pt idx="1116" formatCode="0">
                  <c:v>370</c:v>
                </c:pt>
                <c:pt idx="1117" formatCode="0">
                  <c:v>370</c:v>
                </c:pt>
                <c:pt idx="1118" formatCode="0">
                  <c:v>370</c:v>
                </c:pt>
                <c:pt idx="1119" formatCode="0">
                  <c:v>370</c:v>
                </c:pt>
                <c:pt idx="1120" formatCode="0">
                  <c:v>370</c:v>
                </c:pt>
                <c:pt idx="1121" formatCode="0">
                  <c:v>370</c:v>
                </c:pt>
                <c:pt idx="1122" formatCode="0">
                  <c:v>370</c:v>
                </c:pt>
                <c:pt idx="1123" formatCode="0">
                  <c:v>370</c:v>
                </c:pt>
                <c:pt idx="1124" formatCode="0">
                  <c:v>370</c:v>
                </c:pt>
                <c:pt idx="1125" formatCode="0">
                  <c:v>370</c:v>
                </c:pt>
                <c:pt idx="1126" formatCode="0">
                  <c:v>370</c:v>
                </c:pt>
                <c:pt idx="1127" formatCode="0">
                  <c:v>370</c:v>
                </c:pt>
                <c:pt idx="1128" formatCode="0">
                  <c:v>370</c:v>
                </c:pt>
                <c:pt idx="1129" formatCode="0">
                  <c:v>370</c:v>
                </c:pt>
                <c:pt idx="1130" formatCode="0">
                  <c:v>370</c:v>
                </c:pt>
                <c:pt idx="1131" formatCode="0">
                  <c:v>370</c:v>
                </c:pt>
                <c:pt idx="1132" formatCode="0">
                  <c:v>370</c:v>
                </c:pt>
                <c:pt idx="1133" formatCode="0">
                  <c:v>370</c:v>
                </c:pt>
                <c:pt idx="1134" formatCode="0">
                  <c:v>370</c:v>
                </c:pt>
                <c:pt idx="1135" formatCode="0">
                  <c:v>370</c:v>
                </c:pt>
                <c:pt idx="1136" formatCode="0">
                  <c:v>370</c:v>
                </c:pt>
                <c:pt idx="1137" formatCode="0">
                  <c:v>370</c:v>
                </c:pt>
                <c:pt idx="1138" formatCode="0">
                  <c:v>370</c:v>
                </c:pt>
                <c:pt idx="1139" formatCode="0">
                  <c:v>370</c:v>
                </c:pt>
                <c:pt idx="1140" formatCode="0">
                  <c:v>370</c:v>
                </c:pt>
                <c:pt idx="1141" formatCode="0">
                  <c:v>370</c:v>
                </c:pt>
                <c:pt idx="1142" formatCode="0">
                  <c:v>370</c:v>
                </c:pt>
                <c:pt idx="1143" formatCode="0">
                  <c:v>370</c:v>
                </c:pt>
                <c:pt idx="1144" formatCode="0">
                  <c:v>370</c:v>
                </c:pt>
                <c:pt idx="1145" formatCode="0">
                  <c:v>370</c:v>
                </c:pt>
                <c:pt idx="1146" formatCode="0">
                  <c:v>370</c:v>
                </c:pt>
                <c:pt idx="1147" formatCode="0">
                  <c:v>370</c:v>
                </c:pt>
                <c:pt idx="1148" formatCode="0">
                  <c:v>370</c:v>
                </c:pt>
                <c:pt idx="1149" formatCode="0">
                  <c:v>370</c:v>
                </c:pt>
                <c:pt idx="1150" formatCode="0">
                  <c:v>370</c:v>
                </c:pt>
                <c:pt idx="1151" formatCode="0">
                  <c:v>370</c:v>
                </c:pt>
                <c:pt idx="1152" formatCode="0">
                  <c:v>370</c:v>
                </c:pt>
                <c:pt idx="1153" formatCode="0">
                  <c:v>370</c:v>
                </c:pt>
                <c:pt idx="1154" formatCode="0">
                  <c:v>370</c:v>
                </c:pt>
                <c:pt idx="1155" formatCode="0">
                  <c:v>370</c:v>
                </c:pt>
                <c:pt idx="1156" formatCode="0">
                  <c:v>370</c:v>
                </c:pt>
                <c:pt idx="1157" formatCode="0">
                  <c:v>370</c:v>
                </c:pt>
                <c:pt idx="1158" formatCode="0">
                  <c:v>370</c:v>
                </c:pt>
                <c:pt idx="1159" formatCode="0">
                  <c:v>370</c:v>
                </c:pt>
                <c:pt idx="1160" formatCode="0">
                  <c:v>370</c:v>
                </c:pt>
                <c:pt idx="1161" formatCode="0">
                  <c:v>370</c:v>
                </c:pt>
                <c:pt idx="1162" formatCode="0">
                  <c:v>370</c:v>
                </c:pt>
                <c:pt idx="1163" formatCode="0">
                  <c:v>370</c:v>
                </c:pt>
                <c:pt idx="1164" formatCode="0">
                  <c:v>370</c:v>
                </c:pt>
                <c:pt idx="1165" formatCode="0">
                  <c:v>370</c:v>
                </c:pt>
                <c:pt idx="1166" formatCode="0">
                  <c:v>370</c:v>
                </c:pt>
                <c:pt idx="1167" formatCode="0">
                  <c:v>370</c:v>
                </c:pt>
                <c:pt idx="1168" formatCode="0">
                  <c:v>370</c:v>
                </c:pt>
                <c:pt idx="1169" formatCode="0">
                  <c:v>370</c:v>
                </c:pt>
                <c:pt idx="1170" formatCode="0">
                  <c:v>370</c:v>
                </c:pt>
                <c:pt idx="1171" formatCode="0">
                  <c:v>370</c:v>
                </c:pt>
                <c:pt idx="1172" formatCode="0">
                  <c:v>370</c:v>
                </c:pt>
                <c:pt idx="1173" formatCode="0">
                  <c:v>370</c:v>
                </c:pt>
                <c:pt idx="1174" formatCode="0">
                  <c:v>370</c:v>
                </c:pt>
                <c:pt idx="1175" formatCode="0">
                  <c:v>370</c:v>
                </c:pt>
                <c:pt idx="1176" formatCode="0">
                  <c:v>370</c:v>
                </c:pt>
                <c:pt idx="1177" formatCode="0">
                  <c:v>370</c:v>
                </c:pt>
                <c:pt idx="1178" formatCode="0">
                  <c:v>370</c:v>
                </c:pt>
                <c:pt idx="1179" formatCode="0">
                  <c:v>370</c:v>
                </c:pt>
                <c:pt idx="1180" formatCode="0">
                  <c:v>370</c:v>
                </c:pt>
                <c:pt idx="1181" formatCode="0">
                  <c:v>370</c:v>
                </c:pt>
                <c:pt idx="1182" formatCode="0">
                  <c:v>370</c:v>
                </c:pt>
                <c:pt idx="1183" formatCode="0">
                  <c:v>370</c:v>
                </c:pt>
                <c:pt idx="1184" formatCode="0">
                  <c:v>370</c:v>
                </c:pt>
                <c:pt idx="1185" formatCode="0">
                  <c:v>370</c:v>
                </c:pt>
                <c:pt idx="1186" formatCode="0">
                  <c:v>370</c:v>
                </c:pt>
                <c:pt idx="1187" formatCode="0">
                  <c:v>370</c:v>
                </c:pt>
                <c:pt idx="1188" formatCode="0">
                  <c:v>370</c:v>
                </c:pt>
                <c:pt idx="1189" formatCode="0">
                  <c:v>370</c:v>
                </c:pt>
                <c:pt idx="1190" formatCode="0">
                  <c:v>370</c:v>
                </c:pt>
                <c:pt idx="1191" formatCode="0">
                  <c:v>370</c:v>
                </c:pt>
                <c:pt idx="1192" formatCode="0">
                  <c:v>370</c:v>
                </c:pt>
                <c:pt idx="1193" formatCode="0">
                  <c:v>370</c:v>
                </c:pt>
                <c:pt idx="1194" formatCode="0">
                  <c:v>370</c:v>
                </c:pt>
                <c:pt idx="1195" formatCode="0">
                  <c:v>370</c:v>
                </c:pt>
                <c:pt idx="1196" formatCode="0">
                  <c:v>370</c:v>
                </c:pt>
                <c:pt idx="1197" formatCode="0">
                  <c:v>370</c:v>
                </c:pt>
                <c:pt idx="1198" formatCode="0">
                  <c:v>370</c:v>
                </c:pt>
                <c:pt idx="1199" formatCode="0">
                  <c:v>370</c:v>
                </c:pt>
                <c:pt idx="1200" formatCode="0">
                  <c:v>370</c:v>
                </c:pt>
                <c:pt idx="1201" formatCode="0">
                  <c:v>370</c:v>
                </c:pt>
                <c:pt idx="1202" formatCode="0">
                  <c:v>370</c:v>
                </c:pt>
                <c:pt idx="1203" formatCode="0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8E-9645-926E-3830DABCE972}"/>
            </c:ext>
          </c:extLst>
        </c:ser>
        <c:ser>
          <c:idx val="9"/>
          <c:order val="9"/>
          <c:tx>
            <c:strRef>
              <c:f>balance_sheet!$N$5</c:f>
              <c:strCache>
                <c:ptCount val="1"/>
                <c:pt idx="0">
                  <c:v>Bonds and other securities acquired via market transactions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balance_sheet!$N$6:$N$1209</c:f>
              <c:numCache>
                <c:formatCode>General</c:formatCode>
                <c:ptCount val="1204"/>
                <c:pt idx="440" formatCode="0">
                  <c:v>8159</c:v>
                </c:pt>
                <c:pt idx="441" formatCode="0">
                  <c:v>8205</c:v>
                </c:pt>
                <c:pt idx="442" formatCode="0">
                  <c:v>8211</c:v>
                </c:pt>
                <c:pt idx="443" formatCode="0">
                  <c:v>8196</c:v>
                </c:pt>
                <c:pt idx="444" formatCode="0">
                  <c:v>8176</c:v>
                </c:pt>
                <c:pt idx="445" formatCode="0">
                  <c:v>8237</c:v>
                </c:pt>
                <c:pt idx="446" formatCode="0">
                  <c:v>8262</c:v>
                </c:pt>
                <c:pt idx="447" formatCode="0">
                  <c:v>8034</c:v>
                </c:pt>
                <c:pt idx="448" formatCode="0">
                  <c:v>7968</c:v>
                </c:pt>
                <c:pt idx="449" formatCode="0">
                  <c:v>8008</c:v>
                </c:pt>
                <c:pt idx="450" formatCode="0">
                  <c:v>8002</c:v>
                </c:pt>
                <c:pt idx="451" formatCode="0">
                  <c:v>7942</c:v>
                </c:pt>
                <c:pt idx="452" formatCode="0">
                  <c:v>7953</c:v>
                </c:pt>
                <c:pt idx="453" formatCode="0">
                  <c:v>7979</c:v>
                </c:pt>
                <c:pt idx="454" formatCode="0">
                  <c:v>7978</c:v>
                </c:pt>
                <c:pt idx="455" formatCode="0">
                  <c:v>8024</c:v>
                </c:pt>
                <c:pt idx="456" formatCode="0">
                  <c:v>7962</c:v>
                </c:pt>
                <c:pt idx="457" formatCode="0">
                  <c:v>7846</c:v>
                </c:pt>
                <c:pt idx="458" formatCode="0">
                  <c:v>7910</c:v>
                </c:pt>
                <c:pt idx="459" formatCode="0">
                  <c:v>7892</c:v>
                </c:pt>
                <c:pt idx="460" formatCode="0">
                  <c:v>7891</c:v>
                </c:pt>
                <c:pt idx="461" formatCode="0">
                  <c:v>7850</c:v>
                </c:pt>
                <c:pt idx="462" formatCode="0">
                  <c:v>7908</c:v>
                </c:pt>
                <c:pt idx="463" formatCode="0">
                  <c:v>8097</c:v>
                </c:pt>
                <c:pt idx="464" formatCode="0">
                  <c:v>8174</c:v>
                </c:pt>
                <c:pt idx="465" formatCode="0">
                  <c:v>8236</c:v>
                </c:pt>
                <c:pt idx="466" formatCode="0">
                  <c:v>8226</c:v>
                </c:pt>
                <c:pt idx="467" formatCode="0">
                  <c:v>8252</c:v>
                </c:pt>
                <c:pt idx="468" formatCode="0">
                  <c:v>8275</c:v>
                </c:pt>
                <c:pt idx="469" formatCode="0">
                  <c:v>7836</c:v>
                </c:pt>
                <c:pt idx="470" formatCode="0">
                  <c:v>7811</c:v>
                </c:pt>
                <c:pt idx="471" formatCode="0">
                  <c:v>7804</c:v>
                </c:pt>
                <c:pt idx="472" formatCode="0">
                  <c:v>7581</c:v>
                </c:pt>
                <c:pt idx="473" formatCode="0">
                  <c:v>7272</c:v>
                </c:pt>
                <c:pt idx="474" formatCode="0">
                  <c:v>7073</c:v>
                </c:pt>
                <c:pt idx="475" formatCode="0">
                  <c:v>6707</c:v>
                </c:pt>
                <c:pt idx="476" formatCode="0">
                  <c:v>6675</c:v>
                </c:pt>
                <c:pt idx="477" formatCode="0">
                  <c:v>6663</c:v>
                </c:pt>
                <c:pt idx="478" formatCode="0">
                  <c:v>6705</c:v>
                </c:pt>
                <c:pt idx="479" formatCode="0">
                  <c:v>6727</c:v>
                </c:pt>
                <c:pt idx="480" formatCode="0">
                  <c:v>6793</c:v>
                </c:pt>
                <c:pt idx="481" formatCode="0">
                  <c:v>6830</c:v>
                </c:pt>
                <c:pt idx="482" formatCode="0">
                  <c:v>7896</c:v>
                </c:pt>
                <c:pt idx="483" formatCode="0">
                  <c:v>7827</c:v>
                </c:pt>
                <c:pt idx="484" formatCode="0">
                  <c:v>7837</c:v>
                </c:pt>
                <c:pt idx="485" formatCode="0">
                  <c:v>7797</c:v>
                </c:pt>
                <c:pt idx="486" formatCode="0">
                  <c:v>7801</c:v>
                </c:pt>
                <c:pt idx="487" formatCode="0">
                  <c:v>7746</c:v>
                </c:pt>
                <c:pt idx="488" formatCode="0">
                  <c:v>7772</c:v>
                </c:pt>
                <c:pt idx="489" formatCode="0">
                  <c:v>7771</c:v>
                </c:pt>
                <c:pt idx="490" formatCode="0">
                  <c:v>7757</c:v>
                </c:pt>
                <c:pt idx="491" formatCode="0">
                  <c:v>7790</c:v>
                </c:pt>
                <c:pt idx="492" formatCode="0">
                  <c:v>7726</c:v>
                </c:pt>
                <c:pt idx="493" formatCode="0">
                  <c:v>7758</c:v>
                </c:pt>
                <c:pt idx="494" formatCode="0">
                  <c:v>7736</c:v>
                </c:pt>
                <c:pt idx="495" formatCode="0">
                  <c:v>7679</c:v>
                </c:pt>
                <c:pt idx="496" formatCode="0">
                  <c:v>7668</c:v>
                </c:pt>
                <c:pt idx="497" formatCode="0">
                  <c:v>7707</c:v>
                </c:pt>
                <c:pt idx="498" formatCode="0">
                  <c:v>7709</c:v>
                </c:pt>
                <c:pt idx="499" formatCode="0">
                  <c:v>7718</c:v>
                </c:pt>
                <c:pt idx="500" formatCode="0">
                  <c:v>7554</c:v>
                </c:pt>
                <c:pt idx="501" formatCode="0">
                  <c:v>7590</c:v>
                </c:pt>
                <c:pt idx="502" formatCode="0">
                  <c:v>7644</c:v>
                </c:pt>
                <c:pt idx="503" formatCode="0">
                  <c:v>7637</c:v>
                </c:pt>
                <c:pt idx="504" formatCode="0">
                  <c:v>7708</c:v>
                </c:pt>
                <c:pt idx="505" formatCode="0">
                  <c:v>7753</c:v>
                </c:pt>
                <c:pt idx="506" formatCode="0">
                  <c:v>7739</c:v>
                </c:pt>
                <c:pt idx="507" formatCode="0">
                  <c:v>7732</c:v>
                </c:pt>
                <c:pt idx="508" formatCode="0">
                  <c:v>7784</c:v>
                </c:pt>
                <c:pt idx="509" formatCode="0">
                  <c:v>7840</c:v>
                </c:pt>
                <c:pt idx="510" formatCode="0">
                  <c:v>7865</c:v>
                </c:pt>
                <c:pt idx="511" formatCode="0">
                  <c:v>7795</c:v>
                </c:pt>
                <c:pt idx="512" formatCode="0">
                  <c:v>7777</c:v>
                </c:pt>
                <c:pt idx="513" formatCode="0">
                  <c:v>7691</c:v>
                </c:pt>
                <c:pt idx="514" formatCode="0">
                  <c:v>7691</c:v>
                </c:pt>
                <c:pt idx="515" formatCode="0">
                  <c:v>7663</c:v>
                </c:pt>
                <c:pt idx="516" formatCode="0">
                  <c:v>7682</c:v>
                </c:pt>
                <c:pt idx="517" formatCode="0">
                  <c:v>7791</c:v>
                </c:pt>
                <c:pt idx="518" formatCode="0">
                  <c:v>7872</c:v>
                </c:pt>
                <c:pt idx="519" formatCode="0">
                  <c:v>7814</c:v>
                </c:pt>
                <c:pt idx="520" formatCode="0">
                  <c:v>7917</c:v>
                </c:pt>
                <c:pt idx="521" formatCode="0">
                  <c:v>7719</c:v>
                </c:pt>
                <c:pt idx="522" formatCode="0">
                  <c:v>7763</c:v>
                </c:pt>
                <c:pt idx="523" formatCode="0">
                  <c:v>7481</c:v>
                </c:pt>
                <c:pt idx="524" formatCode="0">
                  <c:v>7481</c:v>
                </c:pt>
                <c:pt idx="525" formatCode="0">
                  <c:v>7622</c:v>
                </c:pt>
                <c:pt idx="526" formatCode="0">
                  <c:v>7460</c:v>
                </c:pt>
                <c:pt idx="527" formatCode="0">
                  <c:v>7356</c:v>
                </c:pt>
                <c:pt idx="528" formatCode="0">
                  <c:v>7376</c:v>
                </c:pt>
                <c:pt idx="529" formatCode="0">
                  <c:v>7737</c:v>
                </c:pt>
                <c:pt idx="530" formatCode="0">
                  <c:v>7786</c:v>
                </c:pt>
                <c:pt idx="531" formatCode="0">
                  <c:v>7746</c:v>
                </c:pt>
                <c:pt idx="532" formatCode="0">
                  <c:v>7618</c:v>
                </c:pt>
                <c:pt idx="533" formatCode="0">
                  <c:v>8019</c:v>
                </c:pt>
                <c:pt idx="534" formatCode="0">
                  <c:v>8245</c:v>
                </c:pt>
                <c:pt idx="535" formatCode="0">
                  <c:v>8917</c:v>
                </c:pt>
                <c:pt idx="536" formatCode="0">
                  <c:v>9205</c:v>
                </c:pt>
                <c:pt idx="537" formatCode="0">
                  <c:v>9160</c:v>
                </c:pt>
                <c:pt idx="538" formatCode="0">
                  <c:v>9455</c:v>
                </c:pt>
                <c:pt idx="539" formatCode="0">
                  <c:v>9511</c:v>
                </c:pt>
                <c:pt idx="540" formatCode="0">
                  <c:v>9535</c:v>
                </c:pt>
                <c:pt idx="541" formatCode="0">
                  <c:v>9459</c:v>
                </c:pt>
                <c:pt idx="542" formatCode="0">
                  <c:v>9483</c:v>
                </c:pt>
                <c:pt idx="543" formatCode="0">
                  <c:v>9503</c:v>
                </c:pt>
                <c:pt idx="544" formatCode="0">
                  <c:v>9519</c:v>
                </c:pt>
                <c:pt idx="545" formatCode="0">
                  <c:v>9523</c:v>
                </c:pt>
                <c:pt idx="546" formatCode="0">
                  <c:v>9456</c:v>
                </c:pt>
                <c:pt idx="547" formatCode="0">
                  <c:v>9824</c:v>
                </c:pt>
                <c:pt idx="548" formatCode="0">
                  <c:v>9743</c:v>
                </c:pt>
                <c:pt idx="549" formatCode="0">
                  <c:v>9746</c:v>
                </c:pt>
                <c:pt idx="550" formatCode="0">
                  <c:v>10162</c:v>
                </c:pt>
                <c:pt idx="551" formatCode="0">
                  <c:v>10192</c:v>
                </c:pt>
                <c:pt idx="552" formatCode="0">
                  <c:v>10242</c:v>
                </c:pt>
                <c:pt idx="553" formatCode="0">
                  <c:v>9927</c:v>
                </c:pt>
                <c:pt idx="554" formatCode="0">
                  <c:v>9863</c:v>
                </c:pt>
                <c:pt idx="555" formatCode="0">
                  <c:v>10313</c:v>
                </c:pt>
                <c:pt idx="556" formatCode="0">
                  <c:v>10377</c:v>
                </c:pt>
                <c:pt idx="557" formatCode="0">
                  <c:v>10490</c:v>
                </c:pt>
                <c:pt idx="558" formatCode="0">
                  <c:v>10484</c:v>
                </c:pt>
                <c:pt idx="559" formatCode="0">
                  <c:v>10517</c:v>
                </c:pt>
                <c:pt idx="560" formatCode="0">
                  <c:v>11166</c:v>
                </c:pt>
                <c:pt idx="561" formatCode="0">
                  <c:v>11054</c:v>
                </c:pt>
                <c:pt idx="562" formatCode="0">
                  <c:v>11032</c:v>
                </c:pt>
                <c:pt idx="563" formatCode="0">
                  <c:v>11046</c:v>
                </c:pt>
                <c:pt idx="564" formatCode="0">
                  <c:v>10855</c:v>
                </c:pt>
                <c:pt idx="565" formatCode="0">
                  <c:v>10540</c:v>
                </c:pt>
                <c:pt idx="566" formatCode="0">
                  <c:v>10233</c:v>
                </c:pt>
                <c:pt idx="567" formatCode="0">
                  <c:v>10412</c:v>
                </c:pt>
                <c:pt idx="568" formatCode="0">
                  <c:v>10805</c:v>
                </c:pt>
                <c:pt idx="569" formatCode="0">
                  <c:v>10901</c:v>
                </c:pt>
                <c:pt idx="570" formatCode="0">
                  <c:v>11119</c:v>
                </c:pt>
                <c:pt idx="571" formatCode="0">
                  <c:v>11043</c:v>
                </c:pt>
                <c:pt idx="572" formatCode="0">
                  <c:v>11357</c:v>
                </c:pt>
                <c:pt idx="573" formatCode="0">
                  <c:v>11710</c:v>
                </c:pt>
                <c:pt idx="574" formatCode="0">
                  <c:v>11644</c:v>
                </c:pt>
                <c:pt idx="575" formatCode="0">
                  <c:v>11803</c:v>
                </c:pt>
                <c:pt idx="576" formatCode="0">
                  <c:v>11948</c:v>
                </c:pt>
                <c:pt idx="577" formatCode="0">
                  <c:v>12019</c:v>
                </c:pt>
                <c:pt idx="578" formatCode="0">
                  <c:v>11764</c:v>
                </c:pt>
                <c:pt idx="579" formatCode="0">
                  <c:v>11834</c:v>
                </c:pt>
                <c:pt idx="580" formatCode="0">
                  <c:v>11972</c:v>
                </c:pt>
                <c:pt idx="581" formatCode="0">
                  <c:v>11988</c:v>
                </c:pt>
                <c:pt idx="582" formatCode="0">
                  <c:v>11779</c:v>
                </c:pt>
                <c:pt idx="583" formatCode="0">
                  <c:v>11881</c:v>
                </c:pt>
                <c:pt idx="584" formatCode="0">
                  <c:v>11873</c:v>
                </c:pt>
                <c:pt idx="585" formatCode="0">
                  <c:v>12293</c:v>
                </c:pt>
                <c:pt idx="586" formatCode="0">
                  <c:v>12407</c:v>
                </c:pt>
                <c:pt idx="587" formatCode="0">
                  <c:v>13996</c:v>
                </c:pt>
                <c:pt idx="588" formatCode="0">
                  <c:v>14014</c:v>
                </c:pt>
                <c:pt idx="589" formatCode="0">
                  <c:v>13918</c:v>
                </c:pt>
                <c:pt idx="590" formatCode="0">
                  <c:v>13934</c:v>
                </c:pt>
                <c:pt idx="591" formatCode="0">
                  <c:v>13710</c:v>
                </c:pt>
                <c:pt idx="592" formatCode="0">
                  <c:v>13602</c:v>
                </c:pt>
                <c:pt idx="593" formatCode="0">
                  <c:v>13562</c:v>
                </c:pt>
                <c:pt idx="594" formatCode="0">
                  <c:v>13456</c:v>
                </c:pt>
                <c:pt idx="595" formatCode="0">
                  <c:v>13340</c:v>
                </c:pt>
                <c:pt idx="596" formatCode="0">
                  <c:v>13406</c:v>
                </c:pt>
                <c:pt idx="597" formatCode="0">
                  <c:v>13305</c:v>
                </c:pt>
                <c:pt idx="598" formatCode="0">
                  <c:v>13264</c:v>
                </c:pt>
                <c:pt idx="599" formatCode="0">
                  <c:v>13254</c:v>
                </c:pt>
                <c:pt idx="600" formatCode="0">
                  <c:v>13154</c:v>
                </c:pt>
                <c:pt idx="601" formatCode="0">
                  <c:v>13183</c:v>
                </c:pt>
                <c:pt idx="602" formatCode="0">
                  <c:v>13244</c:v>
                </c:pt>
                <c:pt idx="603" formatCode="0">
                  <c:v>13274</c:v>
                </c:pt>
                <c:pt idx="604" formatCode="0">
                  <c:v>13103</c:v>
                </c:pt>
                <c:pt idx="605" formatCode="0">
                  <c:v>13028</c:v>
                </c:pt>
                <c:pt idx="606" formatCode="0">
                  <c:v>13037</c:v>
                </c:pt>
                <c:pt idx="607" formatCode="0">
                  <c:v>13038</c:v>
                </c:pt>
                <c:pt idx="608" formatCode="0">
                  <c:v>13032</c:v>
                </c:pt>
                <c:pt idx="609" formatCode="0">
                  <c:v>13104</c:v>
                </c:pt>
                <c:pt idx="610" formatCode="0">
                  <c:v>13165</c:v>
                </c:pt>
                <c:pt idx="611" formatCode="0">
                  <c:v>13276</c:v>
                </c:pt>
                <c:pt idx="612" formatCode="0">
                  <c:v>13395</c:v>
                </c:pt>
                <c:pt idx="613" formatCode="0">
                  <c:v>13328</c:v>
                </c:pt>
                <c:pt idx="614" formatCode="0">
                  <c:v>13375</c:v>
                </c:pt>
                <c:pt idx="615" formatCode="0">
                  <c:v>13447</c:v>
                </c:pt>
                <c:pt idx="616" formatCode="0">
                  <c:v>13563</c:v>
                </c:pt>
                <c:pt idx="617" formatCode="0">
                  <c:v>13655</c:v>
                </c:pt>
                <c:pt idx="618" formatCode="0">
                  <c:v>13661</c:v>
                </c:pt>
                <c:pt idx="619" formatCode="0">
                  <c:v>13472</c:v>
                </c:pt>
                <c:pt idx="620" formatCode="0">
                  <c:v>13555</c:v>
                </c:pt>
                <c:pt idx="621" formatCode="0">
                  <c:v>13533</c:v>
                </c:pt>
                <c:pt idx="622" formatCode="0">
                  <c:v>13583</c:v>
                </c:pt>
                <c:pt idx="623" formatCode="0">
                  <c:v>13551</c:v>
                </c:pt>
                <c:pt idx="624" formatCode="0">
                  <c:v>13644</c:v>
                </c:pt>
                <c:pt idx="625" formatCode="0">
                  <c:v>13649</c:v>
                </c:pt>
                <c:pt idx="626" formatCode="0">
                  <c:v>13283</c:v>
                </c:pt>
                <c:pt idx="627" formatCode="0">
                  <c:v>13174</c:v>
                </c:pt>
                <c:pt idx="628" formatCode="0">
                  <c:v>13213</c:v>
                </c:pt>
                <c:pt idx="629" formatCode="0">
                  <c:v>13179</c:v>
                </c:pt>
                <c:pt idx="630" formatCode="0">
                  <c:v>13086</c:v>
                </c:pt>
                <c:pt idx="631" formatCode="0">
                  <c:v>12704</c:v>
                </c:pt>
                <c:pt idx="632" formatCode="0">
                  <c:v>12601</c:v>
                </c:pt>
                <c:pt idx="633" formatCode="0">
                  <c:v>12684</c:v>
                </c:pt>
                <c:pt idx="634" formatCode="0">
                  <c:v>12714</c:v>
                </c:pt>
                <c:pt idx="635" formatCode="0">
                  <c:v>12763</c:v>
                </c:pt>
                <c:pt idx="636" formatCode="0">
                  <c:v>12691</c:v>
                </c:pt>
                <c:pt idx="637" formatCode="0">
                  <c:v>12807</c:v>
                </c:pt>
                <c:pt idx="638" formatCode="0">
                  <c:v>12883</c:v>
                </c:pt>
                <c:pt idx="639" formatCode="0">
                  <c:v>14061</c:v>
                </c:pt>
                <c:pt idx="640" formatCode="0">
                  <c:v>14016</c:v>
                </c:pt>
                <c:pt idx="641" formatCode="0">
                  <c:v>14071</c:v>
                </c:pt>
                <c:pt idx="642" formatCode="0">
                  <c:v>14014</c:v>
                </c:pt>
                <c:pt idx="643" formatCode="0">
                  <c:v>13942</c:v>
                </c:pt>
                <c:pt idx="644" formatCode="0">
                  <c:v>13729</c:v>
                </c:pt>
                <c:pt idx="645" formatCode="0">
                  <c:v>13692</c:v>
                </c:pt>
                <c:pt idx="646" formatCode="0">
                  <c:v>13745</c:v>
                </c:pt>
                <c:pt idx="647" formatCode="0">
                  <c:v>13779</c:v>
                </c:pt>
                <c:pt idx="648" formatCode="0">
                  <c:v>13808</c:v>
                </c:pt>
                <c:pt idx="649" formatCode="0">
                  <c:v>13825</c:v>
                </c:pt>
                <c:pt idx="650" formatCode="0">
                  <c:v>13756</c:v>
                </c:pt>
                <c:pt idx="651" formatCode="0">
                  <c:v>13679</c:v>
                </c:pt>
                <c:pt idx="652" formatCode="0">
                  <c:v>13545</c:v>
                </c:pt>
                <c:pt idx="653" formatCode="0">
                  <c:v>13531</c:v>
                </c:pt>
                <c:pt idx="654" formatCode="0">
                  <c:v>13573</c:v>
                </c:pt>
                <c:pt idx="655" formatCode="0">
                  <c:v>13631</c:v>
                </c:pt>
                <c:pt idx="656" formatCode="0">
                  <c:v>13645</c:v>
                </c:pt>
                <c:pt idx="657" formatCode="0">
                  <c:v>13606</c:v>
                </c:pt>
                <c:pt idx="658" formatCode="0">
                  <c:v>13652</c:v>
                </c:pt>
                <c:pt idx="659" formatCode="0">
                  <c:v>13605</c:v>
                </c:pt>
                <c:pt idx="660" formatCode="0">
                  <c:v>13659</c:v>
                </c:pt>
                <c:pt idx="661" formatCode="0">
                  <c:v>13711</c:v>
                </c:pt>
                <c:pt idx="662" formatCode="0">
                  <c:v>13718</c:v>
                </c:pt>
                <c:pt idx="663" formatCode="0">
                  <c:v>13789</c:v>
                </c:pt>
                <c:pt idx="664" formatCode="0">
                  <c:v>14027</c:v>
                </c:pt>
                <c:pt idx="665" formatCode="0">
                  <c:v>13962</c:v>
                </c:pt>
                <c:pt idx="666" formatCode="0">
                  <c:v>13952</c:v>
                </c:pt>
                <c:pt idx="667" formatCode="0">
                  <c:v>14094</c:v>
                </c:pt>
                <c:pt idx="668" formatCode="0">
                  <c:v>14132</c:v>
                </c:pt>
                <c:pt idx="669" formatCode="0">
                  <c:v>14150</c:v>
                </c:pt>
                <c:pt idx="670" formatCode="0">
                  <c:v>14193</c:v>
                </c:pt>
                <c:pt idx="671" formatCode="0">
                  <c:v>14174</c:v>
                </c:pt>
                <c:pt idx="672" formatCode="0">
                  <c:v>14162</c:v>
                </c:pt>
                <c:pt idx="673" formatCode="0">
                  <c:v>14215</c:v>
                </c:pt>
                <c:pt idx="674" formatCode="0">
                  <c:v>14129</c:v>
                </c:pt>
                <c:pt idx="675" formatCode="0">
                  <c:v>14098</c:v>
                </c:pt>
                <c:pt idx="676" formatCode="0">
                  <c:v>14144</c:v>
                </c:pt>
                <c:pt idx="677" formatCode="0">
                  <c:v>13893</c:v>
                </c:pt>
                <c:pt idx="678" formatCode="0">
                  <c:v>13796</c:v>
                </c:pt>
                <c:pt idx="679" formatCode="0">
                  <c:v>13836</c:v>
                </c:pt>
                <c:pt idx="680" formatCode="0">
                  <c:v>13871</c:v>
                </c:pt>
                <c:pt idx="681" formatCode="0">
                  <c:v>13868</c:v>
                </c:pt>
                <c:pt idx="682" formatCode="0">
                  <c:v>13857</c:v>
                </c:pt>
                <c:pt idx="683" formatCode="0">
                  <c:v>13296</c:v>
                </c:pt>
                <c:pt idx="684" formatCode="0">
                  <c:v>13320</c:v>
                </c:pt>
                <c:pt idx="685" formatCode="0">
                  <c:v>13367</c:v>
                </c:pt>
                <c:pt idx="686" formatCode="0">
                  <c:v>13313</c:v>
                </c:pt>
                <c:pt idx="687" formatCode="0">
                  <c:v>13278</c:v>
                </c:pt>
                <c:pt idx="688" formatCode="0">
                  <c:v>13273</c:v>
                </c:pt>
                <c:pt idx="689" formatCode="0">
                  <c:v>13305</c:v>
                </c:pt>
                <c:pt idx="690" formatCode="0">
                  <c:v>14446</c:v>
                </c:pt>
                <c:pt idx="691" formatCode="0">
                  <c:v>14358</c:v>
                </c:pt>
                <c:pt idx="692" formatCode="0">
                  <c:v>14284</c:v>
                </c:pt>
                <c:pt idx="693" formatCode="0">
                  <c:v>14210</c:v>
                </c:pt>
                <c:pt idx="694" formatCode="0">
                  <c:v>14213</c:v>
                </c:pt>
                <c:pt idx="695" formatCode="0">
                  <c:v>14162</c:v>
                </c:pt>
                <c:pt idx="696" formatCode="0">
                  <c:v>14073</c:v>
                </c:pt>
                <c:pt idx="697" formatCode="0">
                  <c:v>14025</c:v>
                </c:pt>
                <c:pt idx="698" formatCode="0">
                  <c:v>14004</c:v>
                </c:pt>
                <c:pt idx="699" formatCode="0">
                  <c:v>13868</c:v>
                </c:pt>
                <c:pt idx="700" formatCode="0">
                  <c:v>13776</c:v>
                </c:pt>
                <c:pt idx="701" formatCode="0">
                  <c:v>13860</c:v>
                </c:pt>
                <c:pt idx="702" formatCode="0">
                  <c:v>13814</c:v>
                </c:pt>
                <c:pt idx="703" formatCode="0">
                  <c:v>13977</c:v>
                </c:pt>
                <c:pt idx="704" formatCode="0">
                  <c:v>14004</c:v>
                </c:pt>
                <c:pt idx="705" formatCode="0">
                  <c:v>13990</c:v>
                </c:pt>
                <c:pt idx="706" formatCode="0">
                  <c:v>13978</c:v>
                </c:pt>
                <c:pt idx="707" formatCode="0">
                  <c:v>13987</c:v>
                </c:pt>
                <c:pt idx="708" formatCode="0">
                  <c:v>14004</c:v>
                </c:pt>
                <c:pt idx="709" formatCode="0">
                  <c:v>13590</c:v>
                </c:pt>
                <c:pt idx="710" formatCode="0">
                  <c:v>13593</c:v>
                </c:pt>
                <c:pt idx="711" formatCode="0">
                  <c:v>13608</c:v>
                </c:pt>
                <c:pt idx="712" formatCode="0">
                  <c:v>13656</c:v>
                </c:pt>
                <c:pt idx="713" formatCode="0">
                  <c:v>13773</c:v>
                </c:pt>
                <c:pt idx="714" formatCode="0">
                  <c:v>13720</c:v>
                </c:pt>
                <c:pt idx="715" formatCode="0">
                  <c:v>13740</c:v>
                </c:pt>
                <c:pt idx="716" formatCode="0">
                  <c:v>13914</c:v>
                </c:pt>
                <c:pt idx="717" formatCode="0">
                  <c:v>13941</c:v>
                </c:pt>
                <c:pt idx="718" formatCode="0">
                  <c:v>13951</c:v>
                </c:pt>
                <c:pt idx="719" formatCode="0">
                  <c:v>13987</c:v>
                </c:pt>
                <c:pt idx="720" formatCode="0">
                  <c:v>13920</c:v>
                </c:pt>
                <c:pt idx="721" formatCode="0">
                  <c:v>13968</c:v>
                </c:pt>
                <c:pt idx="722" formatCode="0">
                  <c:v>13906</c:v>
                </c:pt>
                <c:pt idx="723" formatCode="0">
                  <c:v>13926</c:v>
                </c:pt>
                <c:pt idx="724" formatCode="0">
                  <c:v>13930</c:v>
                </c:pt>
                <c:pt idx="725" formatCode="0">
                  <c:v>13974</c:v>
                </c:pt>
                <c:pt idx="726" formatCode="0">
                  <c:v>13963</c:v>
                </c:pt>
                <c:pt idx="727" formatCode="0">
                  <c:v>13993</c:v>
                </c:pt>
                <c:pt idx="728" formatCode="0">
                  <c:v>14022</c:v>
                </c:pt>
                <c:pt idx="729" formatCode="0">
                  <c:v>14146</c:v>
                </c:pt>
                <c:pt idx="730" formatCode="0">
                  <c:v>14043</c:v>
                </c:pt>
                <c:pt idx="731" formatCode="0">
                  <c:v>14045</c:v>
                </c:pt>
                <c:pt idx="732" formatCode="0">
                  <c:v>14005</c:v>
                </c:pt>
                <c:pt idx="733" formatCode="0">
                  <c:v>14045</c:v>
                </c:pt>
                <c:pt idx="734" formatCode="0">
                  <c:v>13986</c:v>
                </c:pt>
                <c:pt idx="735" formatCode="0">
                  <c:v>14147</c:v>
                </c:pt>
                <c:pt idx="736" formatCode="0">
                  <c:v>14043</c:v>
                </c:pt>
                <c:pt idx="737" formatCode="0">
                  <c:v>13891</c:v>
                </c:pt>
                <c:pt idx="738" formatCode="0">
                  <c:v>13926</c:v>
                </c:pt>
                <c:pt idx="739" formatCode="0">
                  <c:v>13909</c:v>
                </c:pt>
                <c:pt idx="740" formatCode="0">
                  <c:v>13892</c:v>
                </c:pt>
                <c:pt idx="741" formatCode="0">
                  <c:v>13939</c:v>
                </c:pt>
                <c:pt idx="742" formatCode="0">
                  <c:v>15013</c:v>
                </c:pt>
                <c:pt idx="743" formatCode="0">
                  <c:v>14813</c:v>
                </c:pt>
                <c:pt idx="744" formatCode="0">
                  <c:v>14735</c:v>
                </c:pt>
                <c:pt idx="745" formatCode="0">
                  <c:v>14189</c:v>
                </c:pt>
                <c:pt idx="746" formatCode="0">
                  <c:v>14272</c:v>
                </c:pt>
                <c:pt idx="747" formatCode="0">
                  <c:v>14271</c:v>
                </c:pt>
                <c:pt idx="748" formatCode="0">
                  <c:v>14306</c:v>
                </c:pt>
                <c:pt idx="749" formatCode="0">
                  <c:v>14104</c:v>
                </c:pt>
                <c:pt idx="750" formatCode="0">
                  <c:v>13778</c:v>
                </c:pt>
                <c:pt idx="751" formatCode="0">
                  <c:v>13806</c:v>
                </c:pt>
                <c:pt idx="752" formatCode="0">
                  <c:v>13830</c:v>
                </c:pt>
                <c:pt idx="753" formatCode="0">
                  <c:v>13820</c:v>
                </c:pt>
                <c:pt idx="754" formatCode="0">
                  <c:v>13880</c:v>
                </c:pt>
                <c:pt idx="755" formatCode="0">
                  <c:v>13950</c:v>
                </c:pt>
                <c:pt idx="756" formatCode="0">
                  <c:v>14045</c:v>
                </c:pt>
                <c:pt idx="757" formatCode="0">
                  <c:v>13606</c:v>
                </c:pt>
                <c:pt idx="758" formatCode="0">
                  <c:v>13596</c:v>
                </c:pt>
                <c:pt idx="759" formatCode="0">
                  <c:v>13615</c:v>
                </c:pt>
                <c:pt idx="760" formatCode="0">
                  <c:v>13638</c:v>
                </c:pt>
                <c:pt idx="761" formatCode="0">
                  <c:v>13646</c:v>
                </c:pt>
                <c:pt idx="762" formatCode="0">
                  <c:v>13664</c:v>
                </c:pt>
                <c:pt idx="763" formatCode="0">
                  <c:v>13693</c:v>
                </c:pt>
                <c:pt idx="764" formatCode="0">
                  <c:v>13690</c:v>
                </c:pt>
                <c:pt idx="765" formatCode="0">
                  <c:v>13555</c:v>
                </c:pt>
                <c:pt idx="766" formatCode="0">
                  <c:v>13510</c:v>
                </c:pt>
                <c:pt idx="767" formatCode="0">
                  <c:v>13519</c:v>
                </c:pt>
                <c:pt idx="768" formatCode="0">
                  <c:v>13526</c:v>
                </c:pt>
                <c:pt idx="769" formatCode="0">
                  <c:v>13558</c:v>
                </c:pt>
                <c:pt idx="770" formatCode="0">
                  <c:v>13467</c:v>
                </c:pt>
                <c:pt idx="771" formatCode="0">
                  <c:v>13460</c:v>
                </c:pt>
                <c:pt idx="772" formatCode="0">
                  <c:v>13479</c:v>
                </c:pt>
                <c:pt idx="773" formatCode="0">
                  <c:v>13502</c:v>
                </c:pt>
                <c:pt idx="774" formatCode="0">
                  <c:v>13497</c:v>
                </c:pt>
                <c:pt idx="775" formatCode="0">
                  <c:v>13462</c:v>
                </c:pt>
                <c:pt idx="776" formatCode="0">
                  <c:v>13475</c:v>
                </c:pt>
                <c:pt idx="777" formatCode="0">
                  <c:v>13483</c:v>
                </c:pt>
                <c:pt idx="778" formatCode="0">
                  <c:v>13508</c:v>
                </c:pt>
                <c:pt idx="779" formatCode="0">
                  <c:v>13532</c:v>
                </c:pt>
                <c:pt idx="780" formatCode="0">
                  <c:v>13485</c:v>
                </c:pt>
                <c:pt idx="781" formatCode="0">
                  <c:v>13509</c:v>
                </c:pt>
                <c:pt idx="782" formatCode="0">
                  <c:v>13436</c:v>
                </c:pt>
                <c:pt idx="783" formatCode="0">
                  <c:v>13390</c:v>
                </c:pt>
                <c:pt idx="784" formatCode="0">
                  <c:v>13346</c:v>
                </c:pt>
                <c:pt idx="785" formatCode="0">
                  <c:v>13376</c:v>
                </c:pt>
                <c:pt idx="786" formatCode="0">
                  <c:v>13319</c:v>
                </c:pt>
                <c:pt idx="787" formatCode="0">
                  <c:v>13096</c:v>
                </c:pt>
                <c:pt idx="788" formatCode="0">
                  <c:v>13136</c:v>
                </c:pt>
                <c:pt idx="789" formatCode="0">
                  <c:v>13168</c:v>
                </c:pt>
                <c:pt idx="790" formatCode="0">
                  <c:v>13184</c:v>
                </c:pt>
                <c:pt idx="791" formatCode="0">
                  <c:v>13208</c:v>
                </c:pt>
                <c:pt idx="792" formatCode="0">
                  <c:v>13195</c:v>
                </c:pt>
                <c:pt idx="793" formatCode="0">
                  <c:v>13248</c:v>
                </c:pt>
                <c:pt idx="794" formatCode="0">
                  <c:v>13285</c:v>
                </c:pt>
                <c:pt idx="795" formatCode="0">
                  <c:v>13185</c:v>
                </c:pt>
                <c:pt idx="796" formatCode="0">
                  <c:v>13958</c:v>
                </c:pt>
                <c:pt idx="797" formatCode="0">
                  <c:v>13464</c:v>
                </c:pt>
                <c:pt idx="798" formatCode="0">
                  <c:v>13474</c:v>
                </c:pt>
                <c:pt idx="799" formatCode="0">
                  <c:v>13480</c:v>
                </c:pt>
                <c:pt idx="800" formatCode="0">
                  <c:v>13373</c:v>
                </c:pt>
                <c:pt idx="801" formatCode="0">
                  <c:v>13411</c:v>
                </c:pt>
                <c:pt idx="802" formatCode="0">
                  <c:v>13381</c:v>
                </c:pt>
                <c:pt idx="803" formatCode="0">
                  <c:v>13360</c:v>
                </c:pt>
                <c:pt idx="804" formatCode="0">
                  <c:v>13331</c:v>
                </c:pt>
                <c:pt idx="805" formatCode="0">
                  <c:v>13314</c:v>
                </c:pt>
                <c:pt idx="806" formatCode="0">
                  <c:v>13363</c:v>
                </c:pt>
                <c:pt idx="807" formatCode="0">
                  <c:v>13357</c:v>
                </c:pt>
                <c:pt idx="808" formatCode="0">
                  <c:v>13271</c:v>
                </c:pt>
                <c:pt idx="809" formatCode="0">
                  <c:v>13210</c:v>
                </c:pt>
                <c:pt idx="810" formatCode="0">
                  <c:v>14038</c:v>
                </c:pt>
                <c:pt idx="811" formatCode="0">
                  <c:v>14500</c:v>
                </c:pt>
                <c:pt idx="812" formatCode="0">
                  <c:v>14523</c:v>
                </c:pt>
                <c:pt idx="813" formatCode="0">
                  <c:v>14588</c:v>
                </c:pt>
                <c:pt idx="814" formatCode="0">
                  <c:v>14630</c:v>
                </c:pt>
                <c:pt idx="815" formatCode="0">
                  <c:v>14648</c:v>
                </c:pt>
                <c:pt idx="816" formatCode="0">
                  <c:v>15070</c:v>
                </c:pt>
                <c:pt idx="817" formatCode="0">
                  <c:v>15654</c:v>
                </c:pt>
                <c:pt idx="818" formatCode="0">
                  <c:v>15947</c:v>
                </c:pt>
                <c:pt idx="819" formatCode="0">
                  <c:v>16344</c:v>
                </c:pt>
                <c:pt idx="820" formatCode="0">
                  <c:v>17099</c:v>
                </c:pt>
                <c:pt idx="821" formatCode="0">
                  <c:v>16825</c:v>
                </c:pt>
                <c:pt idx="822" formatCode="0">
                  <c:v>16749</c:v>
                </c:pt>
                <c:pt idx="823" formatCode="0">
                  <c:v>17091</c:v>
                </c:pt>
                <c:pt idx="824" formatCode="0">
                  <c:v>17460</c:v>
                </c:pt>
                <c:pt idx="825" formatCode="0">
                  <c:v>16709</c:v>
                </c:pt>
                <c:pt idx="826" formatCode="0">
                  <c:v>16996</c:v>
                </c:pt>
                <c:pt idx="827" formatCode="0">
                  <c:v>17063</c:v>
                </c:pt>
                <c:pt idx="828" formatCode="0">
                  <c:v>17272</c:v>
                </c:pt>
                <c:pt idx="829" formatCode="0">
                  <c:v>17462</c:v>
                </c:pt>
                <c:pt idx="830" formatCode="0">
                  <c:v>17198</c:v>
                </c:pt>
                <c:pt idx="831" formatCode="0">
                  <c:v>17294</c:v>
                </c:pt>
                <c:pt idx="832" formatCode="0">
                  <c:v>17114</c:v>
                </c:pt>
                <c:pt idx="833" formatCode="0">
                  <c:v>16967</c:v>
                </c:pt>
                <c:pt idx="834" formatCode="0">
                  <c:v>16410</c:v>
                </c:pt>
                <c:pt idx="835" formatCode="0">
                  <c:v>16388</c:v>
                </c:pt>
                <c:pt idx="836" formatCode="0">
                  <c:v>16492</c:v>
                </c:pt>
                <c:pt idx="837" formatCode="0">
                  <c:v>16438</c:v>
                </c:pt>
                <c:pt idx="838" formatCode="0">
                  <c:v>16400</c:v>
                </c:pt>
                <c:pt idx="839" formatCode="0">
                  <c:v>16141</c:v>
                </c:pt>
                <c:pt idx="840" formatCode="0">
                  <c:v>16240</c:v>
                </c:pt>
                <c:pt idx="841" formatCode="0">
                  <c:v>16157</c:v>
                </c:pt>
                <c:pt idx="842" formatCode="0">
                  <c:v>16165</c:v>
                </c:pt>
                <c:pt idx="843" formatCode="0">
                  <c:v>16413</c:v>
                </c:pt>
                <c:pt idx="844" formatCode="0">
                  <c:v>16162</c:v>
                </c:pt>
                <c:pt idx="845" formatCode="0">
                  <c:v>16312</c:v>
                </c:pt>
                <c:pt idx="846" formatCode="0">
                  <c:v>16589</c:v>
                </c:pt>
                <c:pt idx="847" formatCode="0">
                  <c:v>15871</c:v>
                </c:pt>
                <c:pt idx="848" formatCode="0">
                  <c:v>17187</c:v>
                </c:pt>
                <c:pt idx="849" formatCode="0">
                  <c:v>17242</c:v>
                </c:pt>
                <c:pt idx="850" formatCode="0">
                  <c:v>17237</c:v>
                </c:pt>
                <c:pt idx="851" formatCode="0">
                  <c:v>17161</c:v>
                </c:pt>
                <c:pt idx="852" formatCode="0">
                  <c:v>17169</c:v>
                </c:pt>
                <c:pt idx="853" formatCode="0">
                  <c:v>17190</c:v>
                </c:pt>
                <c:pt idx="854" formatCode="0">
                  <c:v>17189</c:v>
                </c:pt>
                <c:pt idx="855" formatCode="0">
                  <c:v>16904</c:v>
                </c:pt>
                <c:pt idx="856" formatCode="0">
                  <c:v>16895</c:v>
                </c:pt>
                <c:pt idx="857" formatCode="0">
                  <c:v>16927</c:v>
                </c:pt>
                <c:pt idx="858" formatCode="0">
                  <c:v>16858</c:v>
                </c:pt>
                <c:pt idx="859" formatCode="0">
                  <c:v>16933</c:v>
                </c:pt>
                <c:pt idx="860" formatCode="0">
                  <c:v>16560</c:v>
                </c:pt>
                <c:pt idx="861" formatCode="0">
                  <c:v>16769</c:v>
                </c:pt>
                <c:pt idx="862" formatCode="0">
                  <c:v>16615</c:v>
                </c:pt>
                <c:pt idx="863" formatCode="0">
                  <c:v>16674</c:v>
                </c:pt>
                <c:pt idx="864" formatCode="0">
                  <c:v>16345</c:v>
                </c:pt>
                <c:pt idx="865" formatCode="0">
                  <c:v>16418</c:v>
                </c:pt>
                <c:pt idx="866" formatCode="0">
                  <c:v>16117</c:v>
                </c:pt>
                <c:pt idx="867" formatCode="0">
                  <c:v>16314</c:v>
                </c:pt>
                <c:pt idx="868" formatCode="0">
                  <c:v>15991</c:v>
                </c:pt>
                <c:pt idx="869" formatCode="0">
                  <c:v>16246</c:v>
                </c:pt>
                <c:pt idx="870" formatCode="0">
                  <c:v>16508</c:v>
                </c:pt>
                <c:pt idx="871" formatCode="0">
                  <c:v>16842</c:v>
                </c:pt>
                <c:pt idx="872" formatCode="0">
                  <c:v>17207</c:v>
                </c:pt>
                <c:pt idx="873" formatCode="0">
                  <c:v>17532</c:v>
                </c:pt>
                <c:pt idx="874" formatCode="0">
                  <c:v>16942</c:v>
                </c:pt>
                <c:pt idx="875" formatCode="0">
                  <c:v>16640</c:v>
                </c:pt>
                <c:pt idx="876" formatCode="0">
                  <c:v>16628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8E-9645-926E-3830DABCE972}"/>
            </c:ext>
          </c:extLst>
        </c:ser>
        <c:ser>
          <c:idx val="10"/>
          <c:order val="10"/>
          <c:tx>
            <c:strRef>
              <c:f>balance_sheet!$O$5</c:f>
              <c:strCache>
                <c:ptCount val="1"/>
                <c:pt idx="0">
                  <c:v>Other assets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balance_sheet!$O$6:$O$1209</c:f>
              <c:numCache>
                <c:formatCode>General</c:formatCode>
                <c:ptCount val="1204"/>
                <c:pt idx="440" formatCode="0">
                  <c:v>13398</c:v>
                </c:pt>
                <c:pt idx="441" formatCode="0">
                  <c:v>13720</c:v>
                </c:pt>
                <c:pt idx="442" formatCode="0">
                  <c:v>13602</c:v>
                </c:pt>
                <c:pt idx="443" formatCode="0">
                  <c:v>12553</c:v>
                </c:pt>
                <c:pt idx="444" formatCode="0">
                  <c:v>11840</c:v>
                </c:pt>
                <c:pt idx="445" formatCode="0">
                  <c:v>12238</c:v>
                </c:pt>
                <c:pt idx="446" formatCode="0">
                  <c:v>12484</c:v>
                </c:pt>
                <c:pt idx="447" formatCode="0">
                  <c:v>13105</c:v>
                </c:pt>
                <c:pt idx="448" formatCode="0">
                  <c:v>11675</c:v>
                </c:pt>
                <c:pt idx="449" formatCode="0">
                  <c:v>11828</c:v>
                </c:pt>
                <c:pt idx="450" formatCode="0">
                  <c:v>11634</c:v>
                </c:pt>
                <c:pt idx="451" formatCode="0">
                  <c:v>11348</c:v>
                </c:pt>
                <c:pt idx="452" formatCode="0">
                  <c:v>11260</c:v>
                </c:pt>
                <c:pt idx="453" formatCode="0">
                  <c:v>11592</c:v>
                </c:pt>
                <c:pt idx="454" formatCode="0">
                  <c:v>12569</c:v>
                </c:pt>
                <c:pt idx="455" formatCode="0">
                  <c:v>11724</c:v>
                </c:pt>
                <c:pt idx="456" formatCode="0">
                  <c:v>11833</c:v>
                </c:pt>
                <c:pt idx="457" formatCode="0">
                  <c:v>12067</c:v>
                </c:pt>
                <c:pt idx="458" formatCode="0">
                  <c:v>12662</c:v>
                </c:pt>
                <c:pt idx="459" formatCode="0">
                  <c:v>12566</c:v>
                </c:pt>
                <c:pt idx="460" formatCode="0">
                  <c:v>12158</c:v>
                </c:pt>
                <c:pt idx="461" formatCode="0">
                  <c:v>11965</c:v>
                </c:pt>
                <c:pt idx="462" formatCode="0">
                  <c:v>12253</c:v>
                </c:pt>
                <c:pt idx="463" formatCode="0">
                  <c:v>12938</c:v>
                </c:pt>
                <c:pt idx="464" formatCode="0">
                  <c:v>12227</c:v>
                </c:pt>
                <c:pt idx="465" formatCode="0">
                  <c:v>12205</c:v>
                </c:pt>
                <c:pt idx="466" formatCode="0">
                  <c:v>12003</c:v>
                </c:pt>
                <c:pt idx="467" formatCode="0">
                  <c:v>12118</c:v>
                </c:pt>
                <c:pt idx="468" formatCode="0">
                  <c:v>12281</c:v>
                </c:pt>
                <c:pt idx="469" formatCode="0">
                  <c:v>12642</c:v>
                </c:pt>
                <c:pt idx="470" formatCode="0">
                  <c:v>12671</c:v>
                </c:pt>
                <c:pt idx="471" formatCode="0">
                  <c:v>13010</c:v>
                </c:pt>
                <c:pt idx="472" formatCode="0">
                  <c:v>13353</c:v>
                </c:pt>
                <c:pt idx="473" formatCode="0">
                  <c:v>13045</c:v>
                </c:pt>
                <c:pt idx="474" formatCode="0">
                  <c:v>13286</c:v>
                </c:pt>
                <c:pt idx="475" formatCode="0">
                  <c:v>13706</c:v>
                </c:pt>
                <c:pt idx="476" formatCode="0">
                  <c:v>12793</c:v>
                </c:pt>
                <c:pt idx="477" formatCode="0">
                  <c:v>12025</c:v>
                </c:pt>
                <c:pt idx="478" formatCode="0">
                  <c:v>11919</c:v>
                </c:pt>
                <c:pt idx="479" formatCode="0">
                  <c:v>11784</c:v>
                </c:pt>
                <c:pt idx="480" formatCode="0">
                  <c:v>12176</c:v>
                </c:pt>
                <c:pt idx="481" formatCode="0">
                  <c:v>11847</c:v>
                </c:pt>
                <c:pt idx="482" formatCode="0">
                  <c:v>13678</c:v>
                </c:pt>
                <c:pt idx="483" formatCode="0">
                  <c:v>12082</c:v>
                </c:pt>
                <c:pt idx="484" formatCode="0">
                  <c:v>11827</c:v>
                </c:pt>
                <c:pt idx="485" formatCode="0">
                  <c:v>11595</c:v>
                </c:pt>
                <c:pt idx="486" formatCode="0">
                  <c:v>11528</c:v>
                </c:pt>
                <c:pt idx="487" formatCode="0">
                  <c:v>12103</c:v>
                </c:pt>
                <c:pt idx="488" formatCode="0">
                  <c:v>12277</c:v>
                </c:pt>
                <c:pt idx="489" formatCode="0">
                  <c:v>12215</c:v>
                </c:pt>
                <c:pt idx="490" formatCode="0">
                  <c:v>11475</c:v>
                </c:pt>
                <c:pt idx="491" formatCode="0">
                  <c:v>13220</c:v>
                </c:pt>
                <c:pt idx="492" formatCode="0">
                  <c:v>12688</c:v>
                </c:pt>
                <c:pt idx="493" formatCode="0">
                  <c:v>13358</c:v>
                </c:pt>
                <c:pt idx="494" formatCode="0">
                  <c:v>12382</c:v>
                </c:pt>
                <c:pt idx="495" formatCode="0">
                  <c:v>12544</c:v>
                </c:pt>
                <c:pt idx="496" formatCode="0">
                  <c:v>12438</c:v>
                </c:pt>
                <c:pt idx="497" formatCode="0">
                  <c:v>12190</c:v>
                </c:pt>
                <c:pt idx="498" formatCode="0">
                  <c:v>12291</c:v>
                </c:pt>
                <c:pt idx="499" formatCode="0">
                  <c:v>12082</c:v>
                </c:pt>
                <c:pt idx="500" formatCode="0">
                  <c:v>11666</c:v>
                </c:pt>
                <c:pt idx="501" formatCode="0">
                  <c:v>12365</c:v>
                </c:pt>
                <c:pt idx="502" formatCode="0">
                  <c:v>12763</c:v>
                </c:pt>
                <c:pt idx="503" formatCode="0">
                  <c:v>11838</c:v>
                </c:pt>
                <c:pt idx="504" formatCode="0">
                  <c:v>12269</c:v>
                </c:pt>
                <c:pt idx="505" formatCode="0">
                  <c:v>11554</c:v>
                </c:pt>
                <c:pt idx="506" formatCode="0">
                  <c:v>12158</c:v>
                </c:pt>
                <c:pt idx="507" formatCode="0">
                  <c:v>12428</c:v>
                </c:pt>
                <c:pt idx="508" formatCode="0">
                  <c:v>13145</c:v>
                </c:pt>
                <c:pt idx="509" formatCode="0">
                  <c:v>16027</c:v>
                </c:pt>
                <c:pt idx="510" formatCode="0">
                  <c:v>20897</c:v>
                </c:pt>
                <c:pt idx="511" formatCode="0">
                  <c:v>23807</c:v>
                </c:pt>
                <c:pt idx="512" formatCode="0">
                  <c:v>26079</c:v>
                </c:pt>
                <c:pt idx="513" formatCode="0">
                  <c:v>29127</c:v>
                </c:pt>
                <c:pt idx="514" formatCode="0">
                  <c:v>33781</c:v>
                </c:pt>
                <c:pt idx="515" formatCode="0">
                  <c:v>35991</c:v>
                </c:pt>
                <c:pt idx="516" formatCode="0">
                  <c:v>36466</c:v>
                </c:pt>
                <c:pt idx="517" formatCode="0">
                  <c:v>38481</c:v>
                </c:pt>
                <c:pt idx="518" formatCode="0">
                  <c:v>39546</c:v>
                </c:pt>
                <c:pt idx="519" formatCode="0">
                  <c:v>42277</c:v>
                </c:pt>
                <c:pt idx="520" formatCode="0">
                  <c:v>43609</c:v>
                </c:pt>
                <c:pt idx="521" formatCode="0">
                  <c:v>42452</c:v>
                </c:pt>
                <c:pt idx="522" formatCode="0">
                  <c:v>42965</c:v>
                </c:pt>
                <c:pt idx="523" formatCode="0">
                  <c:v>43533</c:v>
                </c:pt>
                <c:pt idx="524" formatCode="0">
                  <c:v>43533</c:v>
                </c:pt>
                <c:pt idx="525" formatCode="0">
                  <c:v>44104</c:v>
                </c:pt>
                <c:pt idx="526" formatCode="0">
                  <c:v>45548</c:v>
                </c:pt>
                <c:pt idx="527" formatCode="0">
                  <c:v>43402</c:v>
                </c:pt>
                <c:pt idx="528" formatCode="0">
                  <c:v>45673</c:v>
                </c:pt>
                <c:pt idx="529" formatCode="0">
                  <c:v>43724</c:v>
                </c:pt>
                <c:pt idx="530" formatCode="0">
                  <c:v>43183</c:v>
                </c:pt>
                <c:pt idx="531" formatCode="0">
                  <c:v>43866</c:v>
                </c:pt>
                <c:pt idx="532" formatCode="0">
                  <c:v>44020</c:v>
                </c:pt>
                <c:pt idx="533" formatCode="0">
                  <c:v>43836</c:v>
                </c:pt>
                <c:pt idx="534" formatCode="0">
                  <c:v>43051</c:v>
                </c:pt>
                <c:pt idx="535" formatCode="0">
                  <c:v>42702</c:v>
                </c:pt>
                <c:pt idx="536" formatCode="0">
                  <c:v>40835</c:v>
                </c:pt>
                <c:pt idx="537" formatCode="0">
                  <c:v>39347</c:v>
                </c:pt>
                <c:pt idx="538" formatCode="0">
                  <c:v>38006</c:v>
                </c:pt>
                <c:pt idx="539" formatCode="0">
                  <c:v>36258</c:v>
                </c:pt>
                <c:pt idx="540" formatCode="0">
                  <c:v>34574</c:v>
                </c:pt>
                <c:pt idx="541" formatCode="0">
                  <c:v>36211</c:v>
                </c:pt>
                <c:pt idx="542" formatCode="0">
                  <c:v>35377</c:v>
                </c:pt>
                <c:pt idx="543" formatCode="0">
                  <c:v>34366</c:v>
                </c:pt>
                <c:pt idx="544" formatCode="0">
                  <c:v>33155</c:v>
                </c:pt>
                <c:pt idx="545" formatCode="0">
                  <c:v>33696</c:v>
                </c:pt>
                <c:pt idx="546" formatCode="0">
                  <c:v>32256</c:v>
                </c:pt>
                <c:pt idx="547" formatCode="0">
                  <c:v>31023</c:v>
                </c:pt>
                <c:pt idx="548" formatCode="0">
                  <c:v>30113</c:v>
                </c:pt>
                <c:pt idx="549" formatCode="0">
                  <c:v>28687</c:v>
                </c:pt>
                <c:pt idx="550" formatCode="0">
                  <c:v>28379</c:v>
                </c:pt>
                <c:pt idx="551" formatCode="0">
                  <c:v>27631</c:v>
                </c:pt>
                <c:pt idx="552" formatCode="0">
                  <c:v>27374</c:v>
                </c:pt>
                <c:pt idx="553" formatCode="0">
                  <c:v>26669</c:v>
                </c:pt>
                <c:pt idx="554" formatCode="0">
                  <c:v>26676</c:v>
                </c:pt>
                <c:pt idx="555" formatCode="0">
                  <c:v>29579</c:v>
                </c:pt>
                <c:pt idx="556" formatCode="0">
                  <c:v>28765</c:v>
                </c:pt>
                <c:pt idx="557" formatCode="0">
                  <c:v>27216</c:v>
                </c:pt>
                <c:pt idx="558" formatCode="0">
                  <c:v>26609</c:v>
                </c:pt>
                <c:pt idx="559" formatCode="0">
                  <c:v>26262</c:v>
                </c:pt>
                <c:pt idx="560" formatCode="0">
                  <c:v>21253</c:v>
                </c:pt>
                <c:pt idx="561" formatCode="0">
                  <c:v>20916</c:v>
                </c:pt>
                <c:pt idx="562" formatCode="0">
                  <c:v>22063</c:v>
                </c:pt>
                <c:pt idx="563" formatCode="0">
                  <c:v>38014</c:v>
                </c:pt>
                <c:pt idx="564" formatCode="0">
                  <c:v>60522</c:v>
                </c:pt>
                <c:pt idx="565" formatCode="0">
                  <c:v>80567</c:v>
                </c:pt>
                <c:pt idx="566" formatCode="0">
                  <c:v>161859</c:v>
                </c:pt>
                <c:pt idx="567" formatCode="0">
                  <c:v>169726</c:v>
                </c:pt>
                <c:pt idx="568" formatCode="0">
                  <c:v>134337</c:v>
                </c:pt>
                <c:pt idx="569" formatCode="0">
                  <c:v>111116</c:v>
                </c:pt>
                <c:pt idx="570" formatCode="0">
                  <c:v>85552</c:v>
                </c:pt>
                <c:pt idx="571" formatCode="0">
                  <c:v>105936</c:v>
                </c:pt>
                <c:pt idx="572" formatCode="0">
                  <c:v>82108</c:v>
                </c:pt>
                <c:pt idx="573" formatCode="0">
                  <c:v>88355</c:v>
                </c:pt>
                <c:pt idx="574" formatCode="0">
                  <c:v>65067</c:v>
                </c:pt>
                <c:pt idx="575" formatCode="0">
                  <c:v>60120</c:v>
                </c:pt>
                <c:pt idx="576" formatCode="0">
                  <c:v>54727</c:v>
                </c:pt>
                <c:pt idx="577" formatCode="0">
                  <c:v>36476</c:v>
                </c:pt>
                <c:pt idx="578" formatCode="0">
                  <c:v>35755</c:v>
                </c:pt>
                <c:pt idx="579" formatCode="0">
                  <c:v>36159</c:v>
                </c:pt>
                <c:pt idx="580" formatCode="0">
                  <c:v>36997</c:v>
                </c:pt>
                <c:pt idx="581" formatCode="0">
                  <c:v>34784</c:v>
                </c:pt>
                <c:pt idx="582" formatCode="0">
                  <c:v>25411</c:v>
                </c:pt>
                <c:pt idx="583" formatCode="0">
                  <c:v>28799</c:v>
                </c:pt>
                <c:pt idx="584" formatCode="0">
                  <c:v>20878</c:v>
                </c:pt>
                <c:pt idx="585" formatCode="0">
                  <c:v>22155</c:v>
                </c:pt>
                <c:pt idx="586" formatCode="0">
                  <c:v>23013</c:v>
                </c:pt>
                <c:pt idx="587" formatCode="0">
                  <c:v>26110</c:v>
                </c:pt>
                <c:pt idx="588" formatCode="0">
                  <c:v>28376</c:v>
                </c:pt>
                <c:pt idx="589" formatCode="0">
                  <c:v>33663</c:v>
                </c:pt>
                <c:pt idx="590" formatCode="0">
                  <c:v>41528</c:v>
                </c:pt>
                <c:pt idx="591" formatCode="0">
                  <c:v>50182</c:v>
                </c:pt>
                <c:pt idx="592" formatCode="0">
                  <c:v>55232</c:v>
                </c:pt>
                <c:pt idx="593" formatCode="0">
                  <c:v>66257</c:v>
                </c:pt>
                <c:pt idx="594" formatCode="0">
                  <c:v>69024</c:v>
                </c:pt>
                <c:pt idx="595" formatCode="0">
                  <c:v>74749</c:v>
                </c:pt>
                <c:pt idx="596" formatCode="0">
                  <c:v>80595</c:v>
                </c:pt>
                <c:pt idx="597" formatCode="0">
                  <c:v>86668</c:v>
                </c:pt>
                <c:pt idx="598" formatCode="0">
                  <c:v>86150</c:v>
                </c:pt>
                <c:pt idx="599" formatCode="0">
                  <c:v>95431</c:v>
                </c:pt>
                <c:pt idx="600" formatCode="0">
                  <c:v>102908</c:v>
                </c:pt>
                <c:pt idx="601" formatCode="0">
                  <c:v>108517</c:v>
                </c:pt>
                <c:pt idx="602" formatCode="0">
                  <c:v>115279</c:v>
                </c:pt>
                <c:pt idx="603" formatCode="0">
                  <c:v>121726</c:v>
                </c:pt>
                <c:pt idx="604" formatCode="0">
                  <c:v>128867</c:v>
                </c:pt>
                <c:pt idx="605" formatCode="0">
                  <c:v>133086</c:v>
                </c:pt>
                <c:pt idx="606" formatCode="0">
                  <c:v>137226</c:v>
                </c:pt>
                <c:pt idx="607" formatCode="0">
                  <c:v>141414</c:v>
                </c:pt>
                <c:pt idx="608" formatCode="0">
                  <c:v>142201</c:v>
                </c:pt>
                <c:pt idx="609" formatCode="0">
                  <c:v>145706</c:v>
                </c:pt>
                <c:pt idx="610" formatCode="0">
                  <c:v>148802</c:v>
                </c:pt>
                <c:pt idx="611" formatCode="0">
                  <c:v>153876</c:v>
                </c:pt>
                <c:pt idx="612" formatCode="0">
                  <c:v>155119</c:v>
                </c:pt>
                <c:pt idx="613" formatCode="0">
                  <c:v>160044</c:v>
                </c:pt>
                <c:pt idx="614" formatCode="0">
                  <c:v>164361</c:v>
                </c:pt>
                <c:pt idx="615" formatCode="0">
                  <c:v>169432</c:v>
                </c:pt>
                <c:pt idx="616" formatCode="0">
                  <c:v>173010</c:v>
                </c:pt>
                <c:pt idx="617" formatCode="0">
                  <c:v>175441</c:v>
                </c:pt>
                <c:pt idx="618" formatCode="0">
                  <c:v>178327</c:v>
                </c:pt>
                <c:pt idx="619" formatCode="0">
                  <c:v>182564</c:v>
                </c:pt>
                <c:pt idx="620" formatCode="0">
                  <c:v>187860</c:v>
                </c:pt>
                <c:pt idx="621" formatCode="0">
                  <c:v>189479</c:v>
                </c:pt>
                <c:pt idx="622" formatCode="0">
                  <c:v>190068</c:v>
                </c:pt>
                <c:pt idx="623" formatCode="0">
                  <c:v>191778</c:v>
                </c:pt>
                <c:pt idx="624" formatCode="0">
                  <c:v>192966</c:v>
                </c:pt>
                <c:pt idx="625" formatCode="0">
                  <c:v>197591</c:v>
                </c:pt>
                <c:pt idx="626" formatCode="0">
                  <c:v>199793</c:v>
                </c:pt>
                <c:pt idx="627" formatCode="0">
                  <c:v>201347</c:v>
                </c:pt>
                <c:pt idx="628" formatCode="0">
                  <c:v>200392</c:v>
                </c:pt>
                <c:pt idx="629" formatCode="0">
                  <c:v>200153</c:v>
                </c:pt>
                <c:pt idx="630" formatCode="0">
                  <c:v>200309</c:v>
                </c:pt>
                <c:pt idx="631" formatCode="0">
                  <c:v>204774</c:v>
                </c:pt>
                <c:pt idx="632" formatCode="0">
                  <c:v>207716</c:v>
                </c:pt>
                <c:pt idx="633" formatCode="0">
                  <c:v>211844</c:v>
                </c:pt>
                <c:pt idx="634" formatCode="0">
                  <c:v>212810</c:v>
                </c:pt>
                <c:pt idx="635" formatCode="0">
                  <c:v>212260</c:v>
                </c:pt>
                <c:pt idx="636" formatCode="0">
                  <c:v>213612</c:v>
                </c:pt>
                <c:pt idx="637" formatCode="0">
                  <c:v>213380</c:v>
                </c:pt>
                <c:pt idx="638" formatCode="0">
                  <c:v>213612</c:v>
                </c:pt>
                <c:pt idx="639" formatCode="0">
                  <c:v>216213</c:v>
                </c:pt>
                <c:pt idx="640" formatCode="0">
                  <c:v>215175</c:v>
                </c:pt>
                <c:pt idx="641" formatCode="0">
                  <c:v>213676</c:v>
                </c:pt>
                <c:pt idx="642" formatCode="0">
                  <c:v>214448</c:v>
                </c:pt>
                <c:pt idx="643" formatCode="0">
                  <c:v>213854</c:v>
                </c:pt>
                <c:pt idx="644" formatCode="0">
                  <c:v>214319</c:v>
                </c:pt>
                <c:pt idx="645" formatCode="0">
                  <c:v>215124</c:v>
                </c:pt>
                <c:pt idx="646" formatCode="0">
                  <c:v>214797</c:v>
                </c:pt>
                <c:pt idx="647" formatCode="0">
                  <c:v>214399</c:v>
                </c:pt>
                <c:pt idx="648" formatCode="0">
                  <c:v>214755</c:v>
                </c:pt>
                <c:pt idx="649" formatCode="0">
                  <c:v>215976</c:v>
                </c:pt>
                <c:pt idx="650" formatCode="0">
                  <c:v>216435</c:v>
                </c:pt>
                <c:pt idx="651" formatCode="0">
                  <c:v>216219</c:v>
                </c:pt>
                <c:pt idx="652" formatCode="0">
                  <c:v>215598</c:v>
                </c:pt>
                <c:pt idx="653" formatCode="0">
                  <c:v>216363</c:v>
                </c:pt>
                <c:pt idx="654" formatCode="0">
                  <c:v>216250</c:v>
                </c:pt>
                <c:pt idx="655" formatCode="0">
                  <c:v>215469</c:v>
                </c:pt>
                <c:pt idx="656" formatCode="0">
                  <c:v>214964</c:v>
                </c:pt>
                <c:pt idx="657" formatCode="0">
                  <c:v>216033</c:v>
                </c:pt>
                <c:pt idx="658" formatCode="0">
                  <c:v>215099</c:v>
                </c:pt>
                <c:pt idx="659" formatCode="0">
                  <c:v>215380</c:v>
                </c:pt>
                <c:pt idx="660" formatCode="0">
                  <c:v>214638</c:v>
                </c:pt>
                <c:pt idx="661" formatCode="0">
                  <c:v>214082</c:v>
                </c:pt>
                <c:pt idx="662" formatCode="0">
                  <c:v>214383</c:v>
                </c:pt>
                <c:pt idx="663" formatCode="0">
                  <c:v>214600</c:v>
                </c:pt>
                <c:pt idx="664" formatCode="0">
                  <c:v>214115</c:v>
                </c:pt>
                <c:pt idx="665" formatCode="0">
                  <c:v>214653</c:v>
                </c:pt>
                <c:pt idx="666" formatCode="0">
                  <c:v>213578</c:v>
                </c:pt>
                <c:pt idx="667" formatCode="0">
                  <c:v>212593</c:v>
                </c:pt>
                <c:pt idx="668" formatCode="0">
                  <c:v>212752</c:v>
                </c:pt>
                <c:pt idx="669" formatCode="0">
                  <c:v>212338</c:v>
                </c:pt>
                <c:pt idx="670" formatCode="0">
                  <c:v>212932</c:v>
                </c:pt>
                <c:pt idx="671" formatCode="0">
                  <c:v>213191</c:v>
                </c:pt>
                <c:pt idx="672" formatCode="0">
                  <c:v>213381</c:v>
                </c:pt>
                <c:pt idx="673" formatCode="0">
                  <c:v>213530</c:v>
                </c:pt>
                <c:pt idx="674" formatCode="0">
                  <c:v>213419</c:v>
                </c:pt>
                <c:pt idx="675" formatCode="0">
                  <c:v>213304</c:v>
                </c:pt>
                <c:pt idx="676" formatCode="0">
                  <c:v>213880</c:v>
                </c:pt>
                <c:pt idx="677" formatCode="0">
                  <c:v>213704</c:v>
                </c:pt>
                <c:pt idx="678" formatCode="0">
                  <c:v>214053</c:v>
                </c:pt>
                <c:pt idx="679" formatCode="0">
                  <c:v>215298</c:v>
                </c:pt>
                <c:pt idx="680" formatCode="0">
                  <c:v>216045</c:v>
                </c:pt>
                <c:pt idx="681" formatCode="0">
                  <c:v>215869</c:v>
                </c:pt>
                <c:pt idx="682" formatCode="0">
                  <c:v>215519</c:v>
                </c:pt>
                <c:pt idx="683" formatCode="0">
                  <c:v>215096</c:v>
                </c:pt>
                <c:pt idx="684" formatCode="0">
                  <c:v>214511</c:v>
                </c:pt>
                <c:pt idx="685" formatCode="0">
                  <c:v>213179</c:v>
                </c:pt>
                <c:pt idx="686" formatCode="0">
                  <c:v>212747</c:v>
                </c:pt>
                <c:pt idx="687" formatCode="0">
                  <c:v>213542</c:v>
                </c:pt>
                <c:pt idx="688" formatCode="0">
                  <c:v>213896</c:v>
                </c:pt>
                <c:pt idx="689" formatCode="0">
                  <c:v>213918</c:v>
                </c:pt>
                <c:pt idx="690" formatCode="0">
                  <c:v>217011</c:v>
                </c:pt>
                <c:pt idx="691" formatCode="0">
                  <c:v>216556</c:v>
                </c:pt>
                <c:pt idx="692" formatCode="0">
                  <c:v>214884</c:v>
                </c:pt>
                <c:pt idx="693" formatCode="0">
                  <c:v>214970</c:v>
                </c:pt>
                <c:pt idx="694" formatCode="0">
                  <c:v>214858</c:v>
                </c:pt>
                <c:pt idx="695" formatCode="0">
                  <c:v>214615</c:v>
                </c:pt>
                <c:pt idx="696" formatCode="0">
                  <c:v>214287</c:v>
                </c:pt>
                <c:pt idx="697" formatCode="0">
                  <c:v>213259</c:v>
                </c:pt>
                <c:pt idx="698" formatCode="0">
                  <c:v>212971</c:v>
                </c:pt>
                <c:pt idx="699" formatCode="0">
                  <c:v>213009</c:v>
                </c:pt>
                <c:pt idx="700" formatCode="0">
                  <c:v>213189</c:v>
                </c:pt>
                <c:pt idx="701" formatCode="0">
                  <c:v>212984</c:v>
                </c:pt>
                <c:pt idx="702" formatCode="0">
                  <c:v>212890</c:v>
                </c:pt>
                <c:pt idx="703" formatCode="0">
                  <c:v>212508</c:v>
                </c:pt>
                <c:pt idx="704" formatCode="0">
                  <c:v>212487</c:v>
                </c:pt>
                <c:pt idx="705" formatCode="0">
                  <c:v>212307</c:v>
                </c:pt>
                <c:pt idx="706" formatCode="0">
                  <c:v>211619</c:v>
                </c:pt>
                <c:pt idx="707" formatCode="0">
                  <c:v>211217</c:v>
                </c:pt>
                <c:pt idx="708" formatCode="0">
                  <c:v>211371</c:v>
                </c:pt>
                <c:pt idx="709" formatCode="0">
                  <c:v>210569</c:v>
                </c:pt>
                <c:pt idx="710" formatCode="0">
                  <c:v>211207</c:v>
                </c:pt>
                <c:pt idx="711" formatCode="0">
                  <c:v>211815</c:v>
                </c:pt>
                <c:pt idx="712" formatCode="0">
                  <c:v>212178</c:v>
                </c:pt>
                <c:pt idx="713" formatCode="0">
                  <c:v>213685</c:v>
                </c:pt>
                <c:pt idx="714" formatCode="0">
                  <c:v>213764</c:v>
                </c:pt>
                <c:pt idx="715" formatCode="0">
                  <c:v>212961</c:v>
                </c:pt>
                <c:pt idx="716" formatCode="0">
                  <c:v>213005</c:v>
                </c:pt>
                <c:pt idx="717" formatCode="0">
                  <c:v>214552</c:v>
                </c:pt>
                <c:pt idx="718" formatCode="0">
                  <c:v>214326</c:v>
                </c:pt>
                <c:pt idx="719" formatCode="0">
                  <c:v>215404</c:v>
                </c:pt>
                <c:pt idx="720" formatCode="0">
                  <c:v>214692</c:v>
                </c:pt>
                <c:pt idx="721" formatCode="0">
                  <c:v>214196</c:v>
                </c:pt>
                <c:pt idx="722" formatCode="0">
                  <c:v>217478</c:v>
                </c:pt>
                <c:pt idx="723" formatCode="0">
                  <c:v>222623</c:v>
                </c:pt>
                <c:pt idx="724" formatCode="0">
                  <c:v>228115</c:v>
                </c:pt>
                <c:pt idx="725" formatCode="0">
                  <c:v>233012</c:v>
                </c:pt>
                <c:pt idx="726" formatCode="0">
                  <c:v>238846</c:v>
                </c:pt>
                <c:pt idx="727" formatCode="0">
                  <c:v>244533</c:v>
                </c:pt>
                <c:pt idx="728" formatCode="0">
                  <c:v>249562</c:v>
                </c:pt>
                <c:pt idx="729" formatCode="0">
                  <c:v>254741</c:v>
                </c:pt>
                <c:pt idx="730" formatCode="0">
                  <c:v>258565</c:v>
                </c:pt>
                <c:pt idx="731" formatCode="0">
                  <c:v>263834</c:v>
                </c:pt>
                <c:pt idx="732" formatCode="0">
                  <c:v>265694</c:v>
                </c:pt>
                <c:pt idx="733" formatCode="0">
                  <c:v>265839</c:v>
                </c:pt>
                <c:pt idx="734" formatCode="0">
                  <c:v>267874</c:v>
                </c:pt>
                <c:pt idx="735" formatCode="0">
                  <c:v>272637</c:v>
                </c:pt>
                <c:pt idx="736" formatCode="0">
                  <c:v>276969</c:v>
                </c:pt>
                <c:pt idx="737" formatCode="0">
                  <c:v>281666</c:v>
                </c:pt>
                <c:pt idx="738" formatCode="0">
                  <c:v>286587</c:v>
                </c:pt>
                <c:pt idx="739" formatCode="0">
                  <c:v>288519</c:v>
                </c:pt>
                <c:pt idx="740" formatCode="0">
                  <c:v>291653</c:v>
                </c:pt>
                <c:pt idx="741" formatCode="0">
                  <c:v>295844</c:v>
                </c:pt>
                <c:pt idx="742" formatCode="0">
                  <c:v>302480</c:v>
                </c:pt>
                <c:pt idx="743" formatCode="0">
                  <c:v>306016</c:v>
                </c:pt>
                <c:pt idx="744" formatCode="0">
                  <c:v>311150</c:v>
                </c:pt>
                <c:pt idx="745" formatCode="0">
                  <c:v>314659</c:v>
                </c:pt>
                <c:pt idx="746" formatCode="0">
                  <c:v>317101</c:v>
                </c:pt>
                <c:pt idx="747" formatCode="0">
                  <c:v>321256</c:v>
                </c:pt>
                <c:pt idx="748" formatCode="0">
                  <c:v>323959</c:v>
                </c:pt>
                <c:pt idx="749" formatCode="0">
                  <c:v>329267</c:v>
                </c:pt>
                <c:pt idx="750" formatCode="0">
                  <c:v>334914</c:v>
                </c:pt>
                <c:pt idx="751" formatCode="0">
                  <c:v>339085</c:v>
                </c:pt>
                <c:pt idx="752" formatCode="0">
                  <c:v>339979</c:v>
                </c:pt>
                <c:pt idx="753" formatCode="0">
                  <c:v>340427</c:v>
                </c:pt>
                <c:pt idx="754" formatCode="0">
                  <c:v>340808</c:v>
                </c:pt>
                <c:pt idx="755" formatCode="0">
                  <c:v>340662</c:v>
                </c:pt>
                <c:pt idx="756" formatCode="0">
                  <c:v>340710</c:v>
                </c:pt>
                <c:pt idx="757" formatCode="0">
                  <c:v>340439</c:v>
                </c:pt>
                <c:pt idx="758" formatCode="0">
                  <c:v>340515</c:v>
                </c:pt>
                <c:pt idx="759" formatCode="0">
                  <c:v>340547</c:v>
                </c:pt>
                <c:pt idx="760" formatCode="0">
                  <c:v>340607</c:v>
                </c:pt>
                <c:pt idx="761" formatCode="0">
                  <c:v>342871</c:v>
                </c:pt>
                <c:pt idx="762" formatCode="0">
                  <c:v>345787</c:v>
                </c:pt>
                <c:pt idx="763" formatCode="0">
                  <c:v>348627</c:v>
                </c:pt>
                <c:pt idx="764" formatCode="0">
                  <c:v>352014</c:v>
                </c:pt>
                <c:pt idx="765" formatCode="0">
                  <c:v>354546</c:v>
                </c:pt>
                <c:pt idx="766" formatCode="0">
                  <c:v>357259</c:v>
                </c:pt>
                <c:pt idx="767" formatCode="0">
                  <c:v>359986</c:v>
                </c:pt>
                <c:pt idx="768" formatCode="0">
                  <c:v>361718</c:v>
                </c:pt>
                <c:pt idx="769" formatCode="0">
                  <c:v>365954</c:v>
                </c:pt>
                <c:pt idx="770" formatCode="0">
                  <c:v>368142</c:v>
                </c:pt>
                <c:pt idx="771" formatCode="0">
                  <c:v>371080</c:v>
                </c:pt>
                <c:pt idx="772" formatCode="0">
                  <c:v>374179</c:v>
                </c:pt>
                <c:pt idx="773" formatCode="0">
                  <c:v>376736</c:v>
                </c:pt>
                <c:pt idx="774" formatCode="0">
                  <c:v>379276</c:v>
                </c:pt>
                <c:pt idx="775" formatCode="0">
                  <c:v>382722</c:v>
                </c:pt>
                <c:pt idx="776" formatCode="0">
                  <c:v>385872</c:v>
                </c:pt>
                <c:pt idx="777" formatCode="0">
                  <c:v>388730</c:v>
                </c:pt>
                <c:pt idx="778" formatCode="0">
                  <c:v>389309</c:v>
                </c:pt>
                <c:pt idx="779" formatCode="0">
                  <c:v>389269</c:v>
                </c:pt>
                <c:pt idx="780" formatCode="0">
                  <c:v>389223</c:v>
                </c:pt>
                <c:pt idx="781" formatCode="0">
                  <c:v>389695</c:v>
                </c:pt>
                <c:pt idx="782" formatCode="0">
                  <c:v>389481</c:v>
                </c:pt>
                <c:pt idx="783" formatCode="0">
                  <c:v>390075</c:v>
                </c:pt>
                <c:pt idx="784" formatCode="0">
                  <c:v>389840</c:v>
                </c:pt>
                <c:pt idx="785" formatCode="0">
                  <c:v>390580</c:v>
                </c:pt>
                <c:pt idx="786" formatCode="0">
                  <c:v>390480</c:v>
                </c:pt>
                <c:pt idx="787" formatCode="0">
                  <c:v>390332</c:v>
                </c:pt>
                <c:pt idx="788" formatCode="0">
                  <c:v>390298</c:v>
                </c:pt>
                <c:pt idx="789" formatCode="0">
                  <c:v>389933</c:v>
                </c:pt>
                <c:pt idx="790" formatCode="0">
                  <c:v>389088</c:v>
                </c:pt>
                <c:pt idx="791" formatCode="0">
                  <c:v>388958</c:v>
                </c:pt>
                <c:pt idx="792" formatCode="0">
                  <c:v>388614</c:v>
                </c:pt>
                <c:pt idx="793" formatCode="0">
                  <c:v>388525</c:v>
                </c:pt>
                <c:pt idx="794" formatCode="0">
                  <c:v>388191</c:v>
                </c:pt>
                <c:pt idx="795" formatCode="0">
                  <c:v>388679</c:v>
                </c:pt>
                <c:pt idx="796" formatCode="0">
                  <c:v>390654</c:v>
                </c:pt>
                <c:pt idx="797" formatCode="0">
                  <c:v>389262</c:v>
                </c:pt>
                <c:pt idx="798" formatCode="0">
                  <c:v>389782</c:v>
                </c:pt>
                <c:pt idx="799" formatCode="0">
                  <c:v>389512</c:v>
                </c:pt>
                <c:pt idx="800" formatCode="0">
                  <c:v>389791</c:v>
                </c:pt>
                <c:pt idx="801" formatCode="0">
                  <c:v>389850</c:v>
                </c:pt>
                <c:pt idx="802" formatCode="0">
                  <c:v>389667</c:v>
                </c:pt>
                <c:pt idx="803" formatCode="0">
                  <c:v>389211</c:v>
                </c:pt>
                <c:pt idx="804" formatCode="0">
                  <c:v>388827</c:v>
                </c:pt>
                <c:pt idx="805" formatCode="0">
                  <c:v>388656</c:v>
                </c:pt>
                <c:pt idx="806" formatCode="0">
                  <c:v>390226</c:v>
                </c:pt>
                <c:pt idx="807" formatCode="0">
                  <c:v>389709</c:v>
                </c:pt>
                <c:pt idx="808" formatCode="0">
                  <c:v>389429</c:v>
                </c:pt>
                <c:pt idx="809" formatCode="0">
                  <c:v>389472</c:v>
                </c:pt>
                <c:pt idx="810" formatCode="0">
                  <c:v>389487</c:v>
                </c:pt>
                <c:pt idx="811" formatCode="0">
                  <c:v>388897</c:v>
                </c:pt>
                <c:pt idx="812" formatCode="0">
                  <c:v>388634</c:v>
                </c:pt>
                <c:pt idx="813" formatCode="0">
                  <c:v>388681</c:v>
                </c:pt>
                <c:pt idx="814" formatCode="0">
                  <c:v>388409</c:v>
                </c:pt>
                <c:pt idx="815" formatCode="0">
                  <c:v>388656</c:v>
                </c:pt>
                <c:pt idx="816" formatCode="0">
                  <c:v>389070</c:v>
                </c:pt>
                <c:pt idx="817" formatCode="0">
                  <c:v>388591</c:v>
                </c:pt>
                <c:pt idx="818" formatCode="0">
                  <c:v>387870</c:v>
                </c:pt>
                <c:pt idx="819" formatCode="0">
                  <c:v>387483</c:v>
                </c:pt>
                <c:pt idx="820" formatCode="0">
                  <c:v>386943</c:v>
                </c:pt>
                <c:pt idx="821" formatCode="0">
                  <c:v>386612</c:v>
                </c:pt>
                <c:pt idx="822" formatCode="0">
                  <c:v>385650</c:v>
                </c:pt>
                <c:pt idx="823" formatCode="0">
                  <c:v>385585</c:v>
                </c:pt>
                <c:pt idx="824" formatCode="0">
                  <c:v>384945</c:v>
                </c:pt>
                <c:pt idx="825" formatCode="0">
                  <c:v>384982</c:v>
                </c:pt>
                <c:pt idx="826" formatCode="0">
                  <c:v>385665</c:v>
                </c:pt>
                <c:pt idx="827" formatCode="0">
                  <c:v>385627</c:v>
                </c:pt>
                <c:pt idx="828" formatCode="0">
                  <c:v>385153</c:v>
                </c:pt>
                <c:pt idx="829" formatCode="0">
                  <c:v>385304</c:v>
                </c:pt>
                <c:pt idx="830" formatCode="0">
                  <c:v>386617</c:v>
                </c:pt>
                <c:pt idx="831" formatCode="0">
                  <c:v>387049</c:v>
                </c:pt>
                <c:pt idx="832" formatCode="0">
                  <c:v>386683</c:v>
                </c:pt>
                <c:pt idx="833" formatCode="0">
                  <c:v>385989</c:v>
                </c:pt>
                <c:pt idx="834" formatCode="0">
                  <c:v>385088</c:v>
                </c:pt>
                <c:pt idx="835" formatCode="0">
                  <c:v>384525</c:v>
                </c:pt>
                <c:pt idx="836" formatCode="0">
                  <c:v>384492</c:v>
                </c:pt>
                <c:pt idx="837" formatCode="0">
                  <c:v>384796</c:v>
                </c:pt>
                <c:pt idx="838" formatCode="0">
                  <c:v>384366</c:v>
                </c:pt>
                <c:pt idx="839" formatCode="0">
                  <c:v>384836</c:v>
                </c:pt>
                <c:pt idx="840" formatCode="0">
                  <c:v>384687</c:v>
                </c:pt>
                <c:pt idx="841" formatCode="0">
                  <c:v>385015</c:v>
                </c:pt>
                <c:pt idx="842" formatCode="0">
                  <c:v>385420</c:v>
                </c:pt>
                <c:pt idx="843" formatCode="0">
                  <c:v>385706</c:v>
                </c:pt>
                <c:pt idx="844" formatCode="0">
                  <c:v>385305</c:v>
                </c:pt>
                <c:pt idx="845" formatCode="0">
                  <c:v>385242</c:v>
                </c:pt>
                <c:pt idx="846" formatCode="0">
                  <c:v>385493</c:v>
                </c:pt>
                <c:pt idx="847" formatCode="0">
                  <c:v>386303</c:v>
                </c:pt>
                <c:pt idx="848" formatCode="0">
                  <c:v>386590</c:v>
                </c:pt>
                <c:pt idx="849" formatCode="0">
                  <c:v>385379</c:v>
                </c:pt>
                <c:pt idx="850" formatCode="0">
                  <c:v>384866</c:v>
                </c:pt>
                <c:pt idx="851" formatCode="0">
                  <c:v>385182</c:v>
                </c:pt>
                <c:pt idx="852" formatCode="0">
                  <c:v>385036</c:v>
                </c:pt>
                <c:pt idx="853" formatCode="0">
                  <c:v>384850</c:v>
                </c:pt>
                <c:pt idx="854" formatCode="0">
                  <c:v>384463</c:v>
                </c:pt>
                <c:pt idx="855" formatCode="0">
                  <c:v>385026</c:v>
                </c:pt>
                <c:pt idx="856" formatCode="0">
                  <c:v>384832</c:v>
                </c:pt>
                <c:pt idx="857" formatCode="0">
                  <c:v>384176</c:v>
                </c:pt>
                <c:pt idx="858" formatCode="0">
                  <c:v>384473</c:v>
                </c:pt>
                <c:pt idx="859" formatCode="0">
                  <c:v>384649</c:v>
                </c:pt>
                <c:pt idx="860" formatCode="0">
                  <c:v>384776</c:v>
                </c:pt>
                <c:pt idx="861" formatCode="0">
                  <c:v>384760</c:v>
                </c:pt>
                <c:pt idx="862" formatCode="0">
                  <c:v>385387</c:v>
                </c:pt>
                <c:pt idx="863" formatCode="0">
                  <c:v>385845</c:v>
                </c:pt>
                <c:pt idx="864" formatCode="0">
                  <c:v>385964</c:v>
                </c:pt>
                <c:pt idx="865" formatCode="0">
                  <c:v>386268</c:v>
                </c:pt>
                <c:pt idx="866" formatCode="0">
                  <c:v>386191</c:v>
                </c:pt>
                <c:pt idx="867" formatCode="0">
                  <c:v>386169</c:v>
                </c:pt>
                <c:pt idx="868" formatCode="0">
                  <c:v>386483</c:v>
                </c:pt>
                <c:pt idx="869" formatCode="0">
                  <c:v>386427</c:v>
                </c:pt>
                <c:pt idx="870" formatCode="0">
                  <c:v>385951</c:v>
                </c:pt>
                <c:pt idx="871" formatCode="0">
                  <c:v>386171</c:v>
                </c:pt>
                <c:pt idx="872" formatCode="0">
                  <c:v>386045</c:v>
                </c:pt>
                <c:pt idx="873" formatCode="0">
                  <c:v>385991</c:v>
                </c:pt>
                <c:pt idx="874" formatCode="0">
                  <c:v>386079</c:v>
                </c:pt>
                <c:pt idx="875" formatCode="0">
                  <c:v>385631</c:v>
                </c:pt>
                <c:pt idx="876" formatCode="0">
                  <c:v>386476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8E-9645-926E-3830DABCE972}"/>
            </c:ext>
          </c:extLst>
        </c:ser>
        <c:ser>
          <c:idx val="11"/>
          <c:order val="11"/>
          <c:tx>
            <c:strRef>
              <c:f>balance_sheet!$P$5</c:f>
              <c:strCache>
                <c:ptCount val="1"/>
                <c:pt idx="0">
                  <c:v>Standing facility assets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balance_sheet!$P$6:$P$1209</c:f>
              <c:numCache>
                <c:formatCode>General</c:formatCode>
                <c:ptCount val="1204"/>
                <c:pt idx="440" formatCode="0">
                  <c:v>0</c:v>
                </c:pt>
                <c:pt idx="441" formatCode="0">
                  <c:v>0</c:v>
                </c:pt>
                <c:pt idx="442" formatCode="0">
                  <c:v>0</c:v>
                </c:pt>
                <c:pt idx="443" formatCode="0">
                  <c:v>0</c:v>
                </c:pt>
                <c:pt idx="444" formatCode="0">
                  <c:v>0</c:v>
                </c:pt>
                <c:pt idx="445" formatCode="0">
                  <c:v>0</c:v>
                </c:pt>
                <c:pt idx="446" formatCode="0">
                  <c:v>0</c:v>
                </c:pt>
                <c:pt idx="447" formatCode="0">
                  <c:v>0</c:v>
                </c:pt>
                <c:pt idx="448" formatCode="0">
                  <c:v>0</c:v>
                </c:pt>
                <c:pt idx="449" formatCode="0">
                  <c:v>0</c:v>
                </c:pt>
                <c:pt idx="450" formatCode="0">
                  <c:v>0</c:v>
                </c:pt>
                <c:pt idx="451" formatCode="0">
                  <c:v>0</c:v>
                </c:pt>
                <c:pt idx="452" formatCode="0">
                  <c:v>0</c:v>
                </c:pt>
                <c:pt idx="453" formatCode="0">
                  <c:v>0</c:v>
                </c:pt>
                <c:pt idx="454" formatCode="0">
                  <c:v>0</c:v>
                </c:pt>
                <c:pt idx="455" formatCode="0">
                  <c:v>0</c:v>
                </c:pt>
                <c:pt idx="456" formatCode="0">
                  <c:v>0</c:v>
                </c:pt>
                <c:pt idx="457" formatCode="0">
                  <c:v>0</c:v>
                </c:pt>
                <c:pt idx="458" formatCode="0">
                  <c:v>0</c:v>
                </c:pt>
                <c:pt idx="459" formatCode="0">
                  <c:v>0</c:v>
                </c:pt>
                <c:pt idx="460" formatCode="0">
                  <c:v>0</c:v>
                </c:pt>
                <c:pt idx="461" formatCode="0">
                  <c:v>0</c:v>
                </c:pt>
                <c:pt idx="462" formatCode="0">
                  <c:v>0</c:v>
                </c:pt>
                <c:pt idx="463" formatCode="0">
                  <c:v>0</c:v>
                </c:pt>
                <c:pt idx="464" formatCode="0">
                  <c:v>0</c:v>
                </c:pt>
                <c:pt idx="465" formatCode="0">
                  <c:v>0</c:v>
                </c:pt>
                <c:pt idx="466" formatCode="0">
                  <c:v>0</c:v>
                </c:pt>
                <c:pt idx="467" formatCode="0">
                  <c:v>0</c:v>
                </c:pt>
                <c:pt idx="468" formatCode="0">
                  <c:v>0</c:v>
                </c:pt>
                <c:pt idx="469" formatCode="0">
                  <c:v>0</c:v>
                </c:pt>
                <c:pt idx="470" formatCode="0">
                  <c:v>0</c:v>
                </c:pt>
                <c:pt idx="471" formatCode="0">
                  <c:v>0</c:v>
                </c:pt>
                <c:pt idx="472" formatCode="0">
                  <c:v>0</c:v>
                </c:pt>
                <c:pt idx="473" formatCode="0">
                  <c:v>0</c:v>
                </c:pt>
                <c:pt idx="474" formatCode="0">
                  <c:v>0</c:v>
                </c:pt>
                <c:pt idx="475" formatCode="0">
                  <c:v>0</c:v>
                </c:pt>
                <c:pt idx="476" formatCode="0">
                  <c:v>0</c:v>
                </c:pt>
                <c:pt idx="477" formatCode="0">
                  <c:v>0</c:v>
                </c:pt>
                <c:pt idx="478" formatCode="0">
                  <c:v>0</c:v>
                </c:pt>
                <c:pt idx="479" formatCode="0">
                  <c:v>0</c:v>
                </c:pt>
                <c:pt idx="480" formatCode="0">
                  <c:v>0</c:v>
                </c:pt>
                <c:pt idx="481" formatCode="0">
                  <c:v>0</c:v>
                </c:pt>
                <c:pt idx="482" formatCode="0">
                  <c:v>0</c:v>
                </c:pt>
                <c:pt idx="483" formatCode="0">
                  <c:v>0</c:v>
                </c:pt>
                <c:pt idx="484" formatCode="0">
                  <c:v>0</c:v>
                </c:pt>
                <c:pt idx="485" formatCode="0">
                  <c:v>0</c:v>
                </c:pt>
                <c:pt idx="486" formatCode="0">
                  <c:v>0</c:v>
                </c:pt>
                <c:pt idx="487" formatCode="0">
                  <c:v>0</c:v>
                </c:pt>
                <c:pt idx="488" formatCode="0">
                  <c:v>0</c:v>
                </c:pt>
                <c:pt idx="489" formatCode="0">
                  <c:v>0</c:v>
                </c:pt>
                <c:pt idx="490" formatCode="0">
                  <c:v>747</c:v>
                </c:pt>
                <c:pt idx="491" formatCode="0">
                  <c:v>0</c:v>
                </c:pt>
                <c:pt idx="492" formatCode="0">
                  <c:v>0</c:v>
                </c:pt>
                <c:pt idx="493" formatCode="0">
                  <c:v>0</c:v>
                </c:pt>
                <c:pt idx="494" formatCode="0">
                  <c:v>300</c:v>
                </c:pt>
                <c:pt idx="495" formatCode="0">
                  <c:v>0</c:v>
                </c:pt>
                <c:pt idx="496" formatCode="0">
                  <c:v>0</c:v>
                </c:pt>
                <c:pt idx="497" formatCode="0">
                  <c:v>0</c:v>
                </c:pt>
                <c:pt idx="498" formatCode="0">
                  <c:v>0</c:v>
                </c:pt>
                <c:pt idx="499" formatCode="0">
                  <c:v>0</c:v>
                </c:pt>
                <c:pt idx="500" formatCode="0">
                  <c:v>0</c:v>
                </c:pt>
                <c:pt idx="501" formatCode="0">
                  <c:v>0</c:v>
                </c:pt>
                <c:pt idx="502" formatCode="0">
                  <c:v>0</c:v>
                </c:pt>
                <c:pt idx="503" formatCode="0">
                  <c:v>0</c:v>
                </c:pt>
                <c:pt idx="504" formatCode="0">
                  <c:v>0</c:v>
                </c:pt>
                <c:pt idx="505" formatCode="0">
                  <c:v>0</c:v>
                </c:pt>
                <c:pt idx="506" formatCode="0">
                  <c:v>1556</c:v>
                </c:pt>
                <c:pt idx="507" formatCode="0">
                  <c:v>0</c:v>
                </c:pt>
                <c:pt idx="508" formatCode="0">
                  <c:v>0</c:v>
                </c:pt>
                <c:pt idx="509" formatCode="0">
                  <c:v>0</c:v>
                </c:pt>
                <c:pt idx="510" formatCode="0">
                  <c:v>0</c:v>
                </c:pt>
                <c:pt idx="511" formatCode="0">
                  <c:v>0</c:v>
                </c:pt>
                <c:pt idx="512" formatCode="0">
                  <c:v>0</c:v>
                </c:pt>
                <c:pt idx="513" formatCode="0">
                  <c:v>0</c:v>
                </c:pt>
                <c:pt idx="514" formatCode="0">
                  <c:v>0</c:v>
                </c:pt>
                <c:pt idx="515" formatCode="0">
                  <c:v>0</c:v>
                </c:pt>
                <c:pt idx="516" formatCode="0">
                  <c:v>0</c:v>
                </c:pt>
                <c:pt idx="517" formatCode="0">
                  <c:v>0</c:v>
                </c:pt>
                <c:pt idx="518" formatCode="0">
                  <c:v>0</c:v>
                </c:pt>
                <c:pt idx="519" formatCode="0">
                  <c:v>0</c:v>
                </c:pt>
                <c:pt idx="520" formatCode="0">
                  <c:v>0</c:v>
                </c:pt>
                <c:pt idx="521" formatCode="0">
                  <c:v>0</c:v>
                </c:pt>
                <c:pt idx="522" formatCode="0">
                  <c:v>0</c:v>
                </c:pt>
                <c:pt idx="523" formatCode="0">
                  <c:v>0</c:v>
                </c:pt>
                <c:pt idx="525" formatCode="0">
                  <c:v>0</c:v>
                </c:pt>
                <c:pt idx="526" formatCode="0">
                  <c:v>0</c:v>
                </c:pt>
                <c:pt idx="527" formatCode="0">
                  <c:v>0</c:v>
                </c:pt>
                <c:pt idx="528" formatCode="0">
                  <c:v>0</c:v>
                </c:pt>
                <c:pt idx="529" formatCode="0">
                  <c:v>0</c:v>
                </c:pt>
                <c:pt idx="530" formatCode="0">
                  <c:v>0</c:v>
                </c:pt>
                <c:pt idx="531" formatCode="0">
                  <c:v>0</c:v>
                </c:pt>
                <c:pt idx="532" formatCode="0">
                  <c:v>0</c:v>
                </c:pt>
                <c:pt idx="533" formatCode="0">
                  <c:v>0</c:v>
                </c:pt>
                <c:pt idx="534" formatCode="0">
                  <c:v>0</c:v>
                </c:pt>
                <c:pt idx="535" formatCode="0">
                  <c:v>0</c:v>
                </c:pt>
                <c:pt idx="536" formatCode="0">
                  <c:v>0</c:v>
                </c:pt>
                <c:pt idx="537" formatCode="0">
                  <c:v>0</c:v>
                </c:pt>
                <c:pt idx="538" formatCode="0">
                  <c:v>0</c:v>
                </c:pt>
                <c:pt idx="539" formatCode="0">
                  <c:v>0</c:v>
                </c:pt>
                <c:pt idx="540" formatCode="0">
                  <c:v>0</c:v>
                </c:pt>
                <c:pt idx="541" formatCode="0">
                  <c:v>0</c:v>
                </c:pt>
                <c:pt idx="542" formatCode="0">
                  <c:v>0</c:v>
                </c:pt>
                <c:pt idx="543" formatCode="0">
                  <c:v>0</c:v>
                </c:pt>
                <c:pt idx="544" formatCode="0">
                  <c:v>0</c:v>
                </c:pt>
                <c:pt idx="545" formatCode="0">
                  <c:v>0</c:v>
                </c:pt>
                <c:pt idx="546" formatCode="0">
                  <c:v>0</c:v>
                </c:pt>
                <c:pt idx="547" formatCode="0">
                  <c:v>0</c:v>
                </c:pt>
                <c:pt idx="548" formatCode="0">
                  <c:v>0</c:v>
                </c:pt>
                <c:pt idx="549" formatCode="0">
                  <c:v>0</c:v>
                </c:pt>
                <c:pt idx="550" formatCode="0">
                  <c:v>0</c:v>
                </c:pt>
                <c:pt idx="551" formatCode="0">
                  <c:v>0</c:v>
                </c:pt>
                <c:pt idx="552" formatCode="0">
                  <c:v>0</c:v>
                </c:pt>
                <c:pt idx="553" formatCode="0">
                  <c:v>0</c:v>
                </c:pt>
                <c:pt idx="554" formatCode="0">
                  <c:v>0</c:v>
                </c:pt>
                <c:pt idx="555" formatCode="0">
                  <c:v>0</c:v>
                </c:pt>
                <c:pt idx="556" formatCode="0">
                  <c:v>0</c:v>
                </c:pt>
                <c:pt idx="557" formatCode="0">
                  <c:v>0</c:v>
                </c:pt>
                <c:pt idx="558" formatCode="0">
                  <c:v>0</c:v>
                </c:pt>
                <c:pt idx="559" formatCode="0">
                  <c:v>0</c:v>
                </c:pt>
                <c:pt idx="560" formatCode="0">
                  <c:v>0</c:v>
                </c:pt>
                <c:pt idx="561" formatCode="0">
                  <c:v>0</c:v>
                </c:pt>
                <c:pt idx="562" formatCode="0">
                  <c:v>0</c:v>
                </c:pt>
                <c:pt idx="563" formatCode="0">
                  <c:v>0</c:v>
                </c:pt>
                <c:pt idx="564" formatCode="0">
                  <c:v>0</c:v>
                </c:pt>
                <c:pt idx="565" formatCode="0">
                  <c:v>0</c:v>
                </c:pt>
                <c:pt idx="566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8E-9645-926E-3830DABCE972}"/>
            </c:ext>
          </c:extLst>
        </c:ser>
        <c:ser>
          <c:idx val="12"/>
          <c:order val="12"/>
          <c:tx>
            <c:strRef>
              <c:f>balance_sheet!$Q$5</c:f>
              <c:strCache>
                <c:ptCount val="1"/>
                <c:pt idx="0">
                  <c:v>Issue Department securities issued by Central Government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balance_sheet!$Q$6:$Q$1209</c:f>
              <c:numCache>
                <c:formatCode>0</c:formatCode>
                <c:ptCount val="1204"/>
                <c:pt idx="0">
                  <c:v>12936</c:v>
                </c:pt>
                <c:pt idx="1">
                  <c:v>13684</c:v>
                </c:pt>
                <c:pt idx="2">
                  <c:v>12763</c:v>
                </c:pt>
                <c:pt idx="3">
                  <c:v>10101</c:v>
                </c:pt>
                <c:pt idx="4">
                  <c:v>2683</c:v>
                </c:pt>
                <c:pt idx="5">
                  <c:v>1814</c:v>
                </c:pt>
                <c:pt idx="6">
                  <c:v>4808</c:v>
                </c:pt>
                <c:pt idx="7">
                  <c:v>3090</c:v>
                </c:pt>
                <c:pt idx="8">
                  <c:v>3223</c:v>
                </c:pt>
                <c:pt idx="9">
                  <c:v>6471</c:v>
                </c:pt>
                <c:pt idx="10">
                  <c:v>9301</c:v>
                </c:pt>
                <c:pt idx="11">
                  <c:v>8566</c:v>
                </c:pt>
                <c:pt idx="12">
                  <c:v>14699</c:v>
                </c:pt>
                <c:pt idx="13">
                  <c:v>16922</c:v>
                </c:pt>
                <c:pt idx="14">
                  <c:v>17292</c:v>
                </c:pt>
                <c:pt idx="15">
                  <c:v>13213</c:v>
                </c:pt>
                <c:pt idx="16">
                  <c:v>14819</c:v>
                </c:pt>
                <c:pt idx="17">
                  <c:v>13271</c:v>
                </c:pt>
                <c:pt idx="18">
                  <c:v>14646</c:v>
                </c:pt>
                <c:pt idx="19">
                  <c:v>15584</c:v>
                </c:pt>
                <c:pt idx="20">
                  <c:v>13708</c:v>
                </c:pt>
                <c:pt idx="21">
                  <c:v>13090</c:v>
                </c:pt>
                <c:pt idx="22">
                  <c:v>18917</c:v>
                </c:pt>
                <c:pt idx="23">
                  <c:v>21898</c:v>
                </c:pt>
                <c:pt idx="24">
                  <c:v>20297</c:v>
                </c:pt>
                <c:pt idx="25">
                  <c:v>20012</c:v>
                </c:pt>
                <c:pt idx="26">
                  <c:v>20685</c:v>
                </c:pt>
                <c:pt idx="27">
                  <c:v>21252</c:v>
                </c:pt>
                <c:pt idx="28">
                  <c:v>19286</c:v>
                </c:pt>
                <c:pt idx="29">
                  <c:v>19010</c:v>
                </c:pt>
                <c:pt idx="30">
                  <c:v>11246</c:v>
                </c:pt>
                <c:pt idx="31">
                  <c:v>12379</c:v>
                </c:pt>
                <c:pt idx="32">
                  <c:v>13686</c:v>
                </c:pt>
                <c:pt idx="33">
                  <c:v>13956</c:v>
                </c:pt>
                <c:pt idx="34">
                  <c:v>13458</c:v>
                </c:pt>
                <c:pt idx="35">
                  <c:v>15779</c:v>
                </c:pt>
                <c:pt idx="36">
                  <c:v>18514</c:v>
                </c:pt>
                <c:pt idx="37">
                  <c:v>16342</c:v>
                </c:pt>
                <c:pt idx="38">
                  <c:v>15247</c:v>
                </c:pt>
                <c:pt idx="39">
                  <c:v>10443</c:v>
                </c:pt>
                <c:pt idx="40">
                  <c:v>12180</c:v>
                </c:pt>
                <c:pt idx="41">
                  <c:v>8784</c:v>
                </c:pt>
                <c:pt idx="42">
                  <c:v>10360</c:v>
                </c:pt>
                <c:pt idx="43">
                  <c:v>6951</c:v>
                </c:pt>
                <c:pt idx="44">
                  <c:v>9458</c:v>
                </c:pt>
                <c:pt idx="45">
                  <c:v>11702</c:v>
                </c:pt>
                <c:pt idx="46">
                  <c:v>14175</c:v>
                </c:pt>
                <c:pt idx="47">
                  <c:v>11385</c:v>
                </c:pt>
                <c:pt idx="48">
                  <c:v>16046</c:v>
                </c:pt>
                <c:pt idx="49">
                  <c:v>15826</c:v>
                </c:pt>
                <c:pt idx="50">
                  <c:v>16220</c:v>
                </c:pt>
                <c:pt idx="51">
                  <c:v>15698</c:v>
                </c:pt>
                <c:pt idx="52">
                  <c:v>12652</c:v>
                </c:pt>
                <c:pt idx="53">
                  <c:v>13983</c:v>
                </c:pt>
                <c:pt idx="54">
                  <c:v>13648</c:v>
                </c:pt>
                <c:pt idx="55">
                  <c:v>11938</c:v>
                </c:pt>
                <c:pt idx="56">
                  <c:v>1099</c:v>
                </c:pt>
                <c:pt idx="57">
                  <c:v>2405</c:v>
                </c:pt>
                <c:pt idx="58">
                  <c:v>5570</c:v>
                </c:pt>
                <c:pt idx="59">
                  <c:v>4686</c:v>
                </c:pt>
                <c:pt idx="60">
                  <c:v>4768</c:v>
                </c:pt>
                <c:pt idx="61">
                  <c:v>7860</c:v>
                </c:pt>
                <c:pt idx="62">
                  <c:v>14782</c:v>
                </c:pt>
                <c:pt idx="63">
                  <c:v>12711</c:v>
                </c:pt>
                <c:pt idx="64">
                  <c:v>15526</c:v>
                </c:pt>
                <c:pt idx="65">
                  <c:v>18341</c:v>
                </c:pt>
                <c:pt idx="66">
                  <c:v>18857</c:v>
                </c:pt>
                <c:pt idx="67">
                  <c:v>14425</c:v>
                </c:pt>
                <c:pt idx="68">
                  <c:v>16182</c:v>
                </c:pt>
                <c:pt idx="69">
                  <c:v>13388</c:v>
                </c:pt>
                <c:pt idx="70">
                  <c:v>14339</c:v>
                </c:pt>
                <c:pt idx="71">
                  <c:v>16153</c:v>
                </c:pt>
                <c:pt idx="72">
                  <c:v>16172</c:v>
                </c:pt>
                <c:pt idx="73">
                  <c:v>12583</c:v>
                </c:pt>
                <c:pt idx="74">
                  <c:v>17758</c:v>
                </c:pt>
                <c:pt idx="75">
                  <c:v>19465</c:v>
                </c:pt>
                <c:pt idx="76">
                  <c:v>15570</c:v>
                </c:pt>
                <c:pt idx="77">
                  <c:v>14923</c:v>
                </c:pt>
                <c:pt idx="78">
                  <c:v>16715</c:v>
                </c:pt>
                <c:pt idx="79">
                  <c:v>18106</c:v>
                </c:pt>
                <c:pt idx="80">
                  <c:v>16046</c:v>
                </c:pt>
                <c:pt idx="81">
                  <c:v>15493</c:v>
                </c:pt>
                <c:pt idx="82">
                  <c:v>11478</c:v>
                </c:pt>
                <c:pt idx="83">
                  <c:v>18247</c:v>
                </c:pt>
                <c:pt idx="84">
                  <c:v>20287</c:v>
                </c:pt>
                <c:pt idx="85">
                  <c:v>18979</c:v>
                </c:pt>
                <c:pt idx="86">
                  <c:v>18393</c:v>
                </c:pt>
                <c:pt idx="87">
                  <c:v>19704</c:v>
                </c:pt>
                <c:pt idx="88">
                  <c:v>21705</c:v>
                </c:pt>
                <c:pt idx="89">
                  <c:v>21130</c:v>
                </c:pt>
                <c:pt idx="90">
                  <c:v>19545</c:v>
                </c:pt>
                <c:pt idx="91">
                  <c:v>12689</c:v>
                </c:pt>
                <c:pt idx="92">
                  <c:v>16060</c:v>
                </c:pt>
                <c:pt idx="93">
                  <c:v>12305</c:v>
                </c:pt>
                <c:pt idx="94">
                  <c:v>13417</c:v>
                </c:pt>
                <c:pt idx="95">
                  <c:v>9320</c:v>
                </c:pt>
                <c:pt idx="96">
                  <c:v>11380</c:v>
                </c:pt>
                <c:pt idx="97">
                  <c:v>14444</c:v>
                </c:pt>
                <c:pt idx="98">
                  <c:v>13123</c:v>
                </c:pt>
                <c:pt idx="99">
                  <c:v>9882</c:v>
                </c:pt>
                <c:pt idx="100">
                  <c:v>14998</c:v>
                </c:pt>
                <c:pt idx="101">
                  <c:v>17264</c:v>
                </c:pt>
                <c:pt idx="102">
                  <c:v>16436</c:v>
                </c:pt>
                <c:pt idx="103">
                  <c:v>18645</c:v>
                </c:pt>
                <c:pt idx="104">
                  <c:v>18577</c:v>
                </c:pt>
                <c:pt idx="105">
                  <c:v>16776</c:v>
                </c:pt>
                <c:pt idx="106">
                  <c:v>16816</c:v>
                </c:pt>
                <c:pt idx="107">
                  <c:v>14135</c:v>
                </c:pt>
                <c:pt idx="108">
                  <c:v>2955</c:v>
                </c:pt>
                <c:pt idx="109">
                  <c:v>3496</c:v>
                </c:pt>
                <c:pt idx="110">
                  <c:v>5891</c:v>
                </c:pt>
                <c:pt idx="111">
                  <c:v>4673</c:v>
                </c:pt>
                <c:pt idx="112">
                  <c:v>4104</c:v>
                </c:pt>
                <c:pt idx="113">
                  <c:v>11349</c:v>
                </c:pt>
                <c:pt idx="114">
                  <c:v>13155</c:v>
                </c:pt>
                <c:pt idx="115">
                  <c:v>11116</c:v>
                </c:pt>
                <c:pt idx="116">
                  <c:v>14850</c:v>
                </c:pt>
                <c:pt idx="117">
                  <c:v>13519</c:v>
                </c:pt>
                <c:pt idx="118">
                  <c:v>14535</c:v>
                </c:pt>
                <c:pt idx="119">
                  <c:v>15695</c:v>
                </c:pt>
                <c:pt idx="120">
                  <c:v>15520</c:v>
                </c:pt>
                <c:pt idx="121">
                  <c:v>13520</c:v>
                </c:pt>
                <c:pt idx="122">
                  <c:v>13521</c:v>
                </c:pt>
                <c:pt idx="123">
                  <c:v>13521</c:v>
                </c:pt>
                <c:pt idx="124">
                  <c:v>13608</c:v>
                </c:pt>
                <c:pt idx="125">
                  <c:v>13521</c:v>
                </c:pt>
                <c:pt idx="126">
                  <c:v>13521</c:v>
                </c:pt>
                <c:pt idx="127">
                  <c:v>13521</c:v>
                </c:pt>
                <c:pt idx="128">
                  <c:v>13532</c:v>
                </c:pt>
                <c:pt idx="129">
                  <c:v>13649</c:v>
                </c:pt>
                <c:pt idx="130">
                  <c:v>13522</c:v>
                </c:pt>
                <c:pt idx="131">
                  <c:v>13566</c:v>
                </c:pt>
                <c:pt idx="132">
                  <c:v>13566</c:v>
                </c:pt>
                <c:pt idx="133">
                  <c:v>13493</c:v>
                </c:pt>
                <c:pt idx="134">
                  <c:v>13493</c:v>
                </c:pt>
                <c:pt idx="135">
                  <c:v>13643</c:v>
                </c:pt>
                <c:pt idx="136">
                  <c:v>13494</c:v>
                </c:pt>
                <c:pt idx="137">
                  <c:v>13494</c:v>
                </c:pt>
                <c:pt idx="138">
                  <c:v>13494</c:v>
                </c:pt>
                <c:pt idx="139">
                  <c:v>13493</c:v>
                </c:pt>
                <c:pt idx="140">
                  <c:v>13528</c:v>
                </c:pt>
                <c:pt idx="141">
                  <c:v>13493</c:v>
                </c:pt>
                <c:pt idx="142">
                  <c:v>13493</c:v>
                </c:pt>
                <c:pt idx="143">
                  <c:v>13503</c:v>
                </c:pt>
                <c:pt idx="144">
                  <c:v>13494</c:v>
                </c:pt>
                <c:pt idx="145">
                  <c:v>13494</c:v>
                </c:pt>
                <c:pt idx="146">
                  <c:v>13494</c:v>
                </c:pt>
                <c:pt idx="147">
                  <c:v>13586</c:v>
                </c:pt>
                <c:pt idx="148">
                  <c:v>13494</c:v>
                </c:pt>
                <c:pt idx="149">
                  <c:v>13645</c:v>
                </c:pt>
                <c:pt idx="150">
                  <c:v>13498</c:v>
                </c:pt>
                <c:pt idx="151">
                  <c:v>13495</c:v>
                </c:pt>
                <c:pt idx="152">
                  <c:v>13498</c:v>
                </c:pt>
                <c:pt idx="153">
                  <c:v>13498</c:v>
                </c:pt>
                <c:pt idx="154">
                  <c:v>13498</c:v>
                </c:pt>
                <c:pt idx="155">
                  <c:v>13498</c:v>
                </c:pt>
                <c:pt idx="156">
                  <c:v>13498</c:v>
                </c:pt>
                <c:pt idx="157">
                  <c:v>13499</c:v>
                </c:pt>
                <c:pt idx="158">
                  <c:v>13499</c:v>
                </c:pt>
                <c:pt idx="159">
                  <c:v>13499</c:v>
                </c:pt>
                <c:pt idx="160">
                  <c:v>13574</c:v>
                </c:pt>
                <c:pt idx="161">
                  <c:v>13584</c:v>
                </c:pt>
                <c:pt idx="162">
                  <c:v>13500</c:v>
                </c:pt>
                <c:pt idx="163">
                  <c:v>13500</c:v>
                </c:pt>
                <c:pt idx="164">
                  <c:v>13500</c:v>
                </c:pt>
                <c:pt idx="165">
                  <c:v>13500</c:v>
                </c:pt>
                <c:pt idx="166">
                  <c:v>13500</c:v>
                </c:pt>
                <c:pt idx="167">
                  <c:v>13963</c:v>
                </c:pt>
                <c:pt idx="168">
                  <c:v>13497</c:v>
                </c:pt>
                <c:pt idx="169">
                  <c:v>13699</c:v>
                </c:pt>
                <c:pt idx="170">
                  <c:v>13497</c:v>
                </c:pt>
                <c:pt idx="171">
                  <c:v>13497</c:v>
                </c:pt>
                <c:pt idx="172">
                  <c:v>13498</c:v>
                </c:pt>
                <c:pt idx="173">
                  <c:v>13498</c:v>
                </c:pt>
                <c:pt idx="174">
                  <c:v>13498</c:v>
                </c:pt>
                <c:pt idx="175">
                  <c:v>13498</c:v>
                </c:pt>
                <c:pt idx="176">
                  <c:v>13498</c:v>
                </c:pt>
                <c:pt idx="177">
                  <c:v>13498</c:v>
                </c:pt>
                <c:pt idx="178">
                  <c:v>13494</c:v>
                </c:pt>
                <c:pt idx="179">
                  <c:v>13494</c:v>
                </c:pt>
                <c:pt idx="180">
                  <c:v>13494</c:v>
                </c:pt>
                <c:pt idx="181">
                  <c:v>13495</c:v>
                </c:pt>
                <c:pt idx="182">
                  <c:v>13495</c:v>
                </c:pt>
                <c:pt idx="183">
                  <c:v>13561</c:v>
                </c:pt>
                <c:pt idx="184">
                  <c:v>13965</c:v>
                </c:pt>
                <c:pt idx="185">
                  <c:v>13495</c:v>
                </c:pt>
                <c:pt idx="186">
                  <c:v>13495</c:v>
                </c:pt>
                <c:pt idx="187">
                  <c:v>13500</c:v>
                </c:pt>
                <c:pt idx="188">
                  <c:v>13493</c:v>
                </c:pt>
                <c:pt idx="189">
                  <c:v>13494</c:v>
                </c:pt>
                <c:pt idx="190">
                  <c:v>13494</c:v>
                </c:pt>
                <c:pt idx="191">
                  <c:v>13496</c:v>
                </c:pt>
                <c:pt idx="192">
                  <c:v>13496</c:v>
                </c:pt>
                <c:pt idx="193">
                  <c:v>13501</c:v>
                </c:pt>
                <c:pt idx="194">
                  <c:v>13545</c:v>
                </c:pt>
                <c:pt idx="195">
                  <c:v>13496</c:v>
                </c:pt>
                <c:pt idx="196">
                  <c:v>13496</c:v>
                </c:pt>
                <c:pt idx="197">
                  <c:v>13496</c:v>
                </c:pt>
                <c:pt idx="198">
                  <c:v>13496</c:v>
                </c:pt>
                <c:pt idx="199">
                  <c:v>13496</c:v>
                </c:pt>
                <c:pt idx="200">
                  <c:v>13590</c:v>
                </c:pt>
                <c:pt idx="201">
                  <c:v>13527</c:v>
                </c:pt>
                <c:pt idx="202">
                  <c:v>13497</c:v>
                </c:pt>
                <c:pt idx="203">
                  <c:v>13947</c:v>
                </c:pt>
                <c:pt idx="204">
                  <c:v>14045</c:v>
                </c:pt>
                <c:pt idx="205">
                  <c:v>13496</c:v>
                </c:pt>
                <c:pt idx="206">
                  <c:v>13996</c:v>
                </c:pt>
                <c:pt idx="207">
                  <c:v>13926</c:v>
                </c:pt>
                <c:pt idx="208">
                  <c:v>13926</c:v>
                </c:pt>
                <c:pt idx="209">
                  <c:v>13796</c:v>
                </c:pt>
                <c:pt idx="210">
                  <c:v>13883</c:v>
                </c:pt>
                <c:pt idx="211">
                  <c:v>13497</c:v>
                </c:pt>
                <c:pt idx="212">
                  <c:v>13553</c:v>
                </c:pt>
                <c:pt idx="213">
                  <c:v>13553</c:v>
                </c:pt>
                <c:pt idx="214">
                  <c:v>14133</c:v>
                </c:pt>
                <c:pt idx="215">
                  <c:v>13497</c:v>
                </c:pt>
                <c:pt idx="216">
                  <c:v>13497</c:v>
                </c:pt>
                <c:pt idx="217">
                  <c:v>13995</c:v>
                </c:pt>
                <c:pt idx="218">
                  <c:v>13503</c:v>
                </c:pt>
                <c:pt idx="219">
                  <c:v>13779</c:v>
                </c:pt>
                <c:pt idx="220">
                  <c:v>13494</c:v>
                </c:pt>
                <c:pt idx="221">
                  <c:v>13518</c:v>
                </c:pt>
                <c:pt idx="222">
                  <c:v>13639</c:v>
                </c:pt>
                <c:pt idx="223">
                  <c:v>13493</c:v>
                </c:pt>
                <c:pt idx="224">
                  <c:v>13492</c:v>
                </c:pt>
                <c:pt idx="225">
                  <c:v>13493</c:v>
                </c:pt>
                <c:pt idx="226">
                  <c:v>13493</c:v>
                </c:pt>
                <c:pt idx="227">
                  <c:v>13493</c:v>
                </c:pt>
                <c:pt idx="228">
                  <c:v>13493</c:v>
                </c:pt>
                <c:pt idx="229">
                  <c:v>13493</c:v>
                </c:pt>
                <c:pt idx="230">
                  <c:v>13493</c:v>
                </c:pt>
                <c:pt idx="231">
                  <c:v>13500</c:v>
                </c:pt>
                <c:pt idx="232">
                  <c:v>13491</c:v>
                </c:pt>
                <c:pt idx="233">
                  <c:v>13491</c:v>
                </c:pt>
                <c:pt idx="234">
                  <c:v>13491</c:v>
                </c:pt>
                <c:pt idx="235">
                  <c:v>13991</c:v>
                </c:pt>
                <c:pt idx="236">
                  <c:v>13491</c:v>
                </c:pt>
                <c:pt idx="237">
                  <c:v>14290</c:v>
                </c:pt>
                <c:pt idx="238">
                  <c:v>13492</c:v>
                </c:pt>
                <c:pt idx="239">
                  <c:v>13586</c:v>
                </c:pt>
                <c:pt idx="240">
                  <c:v>14342</c:v>
                </c:pt>
                <c:pt idx="241">
                  <c:v>14614</c:v>
                </c:pt>
                <c:pt idx="242">
                  <c:v>13884</c:v>
                </c:pt>
                <c:pt idx="243">
                  <c:v>13493</c:v>
                </c:pt>
                <c:pt idx="244">
                  <c:v>14348</c:v>
                </c:pt>
                <c:pt idx="245">
                  <c:v>14197</c:v>
                </c:pt>
                <c:pt idx="246">
                  <c:v>13843</c:v>
                </c:pt>
                <c:pt idx="247">
                  <c:v>14316</c:v>
                </c:pt>
                <c:pt idx="248">
                  <c:v>13496</c:v>
                </c:pt>
                <c:pt idx="249">
                  <c:v>13497</c:v>
                </c:pt>
                <c:pt idx="250">
                  <c:v>13797</c:v>
                </c:pt>
                <c:pt idx="251">
                  <c:v>13497</c:v>
                </c:pt>
                <c:pt idx="252">
                  <c:v>14029</c:v>
                </c:pt>
                <c:pt idx="253">
                  <c:v>13497</c:v>
                </c:pt>
                <c:pt idx="254">
                  <c:v>13797</c:v>
                </c:pt>
                <c:pt idx="255">
                  <c:v>13493</c:v>
                </c:pt>
                <c:pt idx="256">
                  <c:v>13976</c:v>
                </c:pt>
                <c:pt idx="257">
                  <c:v>13491</c:v>
                </c:pt>
                <c:pt idx="258">
                  <c:v>13741</c:v>
                </c:pt>
                <c:pt idx="259">
                  <c:v>13841</c:v>
                </c:pt>
                <c:pt idx="260">
                  <c:v>15429</c:v>
                </c:pt>
                <c:pt idx="261">
                  <c:v>15429</c:v>
                </c:pt>
                <c:pt idx="262">
                  <c:v>14011</c:v>
                </c:pt>
                <c:pt idx="263">
                  <c:v>14011</c:v>
                </c:pt>
                <c:pt idx="264">
                  <c:v>13492</c:v>
                </c:pt>
                <c:pt idx="265">
                  <c:v>13742</c:v>
                </c:pt>
                <c:pt idx="266">
                  <c:v>13487</c:v>
                </c:pt>
                <c:pt idx="267">
                  <c:v>13609</c:v>
                </c:pt>
                <c:pt idx="268">
                  <c:v>14376</c:v>
                </c:pt>
                <c:pt idx="269">
                  <c:v>14487</c:v>
                </c:pt>
                <c:pt idx="270">
                  <c:v>14097</c:v>
                </c:pt>
                <c:pt idx="271">
                  <c:v>13495</c:v>
                </c:pt>
                <c:pt idx="272">
                  <c:v>13490</c:v>
                </c:pt>
                <c:pt idx="273">
                  <c:v>13508</c:v>
                </c:pt>
                <c:pt idx="274">
                  <c:v>13568</c:v>
                </c:pt>
                <c:pt idx="275">
                  <c:v>13504</c:v>
                </c:pt>
                <c:pt idx="276">
                  <c:v>13651</c:v>
                </c:pt>
                <c:pt idx="277">
                  <c:v>13490</c:v>
                </c:pt>
                <c:pt idx="278">
                  <c:v>13748</c:v>
                </c:pt>
                <c:pt idx="279">
                  <c:v>13716</c:v>
                </c:pt>
                <c:pt idx="280">
                  <c:v>13542</c:v>
                </c:pt>
                <c:pt idx="281">
                  <c:v>13518</c:v>
                </c:pt>
                <c:pt idx="282">
                  <c:v>13491</c:v>
                </c:pt>
                <c:pt idx="283">
                  <c:v>13491</c:v>
                </c:pt>
                <c:pt idx="284">
                  <c:v>13491</c:v>
                </c:pt>
                <c:pt idx="285">
                  <c:v>13752</c:v>
                </c:pt>
                <c:pt idx="286">
                  <c:v>15123</c:v>
                </c:pt>
                <c:pt idx="287">
                  <c:v>13892</c:v>
                </c:pt>
                <c:pt idx="288">
                  <c:v>14087</c:v>
                </c:pt>
                <c:pt idx="289">
                  <c:v>13492</c:v>
                </c:pt>
                <c:pt idx="290">
                  <c:v>14048</c:v>
                </c:pt>
                <c:pt idx="291">
                  <c:v>13492</c:v>
                </c:pt>
                <c:pt idx="292">
                  <c:v>13492</c:v>
                </c:pt>
                <c:pt idx="293">
                  <c:v>13492</c:v>
                </c:pt>
                <c:pt idx="294">
                  <c:v>13492</c:v>
                </c:pt>
                <c:pt idx="295">
                  <c:v>13618</c:v>
                </c:pt>
                <c:pt idx="296">
                  <c:v>14595</c:v>
                </c:pt>
                <c:pt idx="297">
                  <c:v>15044</c:v>
                </c:pt>
                <c:pt idx="298">
                  <c:v>13598</c:v>
                </c:pt>
                <c:pt idx="299">
                  <c:v>13484</c:v>
                </c:pt>
                <c:pt idx="300">
                  <c:v>13483</c:v>
                </c:pt>
                <c:pt idx="301">
                  <c:v>15052</c:v>
                </c:pt>
                <c:pt idx="302">
                  <c:v>13942</c:v>
                </c:pt>
                <c:pt idx="303">
                  <c:v>13613</c:v>
                </c:pt>
                <c:pt idx="304">
                  <c:v>13485</c:v>
                </c:pt>
                <c:pt idx="305">
                  <c:v>13485</c:v>
                </c:pt>
                <c:pt idx="306">
                  <c:v>13956</c:v>
                </c:pt>
                <c:pt idx="307">
                  <c:v>13901</c:v>
                </c:pt>
                <c:pt idx="308">
                  <c:v>14187</c:v>
                </c:pt>
                <c:pt idx="309">
                  <c:v>13507</c:v>
                </c:pt>
                <c:pt idx="310">
                  <c:v>13513</c:v>
                </c:pt>
                <c:pt idx="311">
                  <c:v>13484</c:v>
                </c:pt>
                <c:pt idx="312">
                  <c:v>13734</c:v>
                </c:pt>
                <c:pt idx="313">
                  <c:v>13573</c:v>
                </c:pt>
                <c:pt idx="314">
                  <c:v>13632</c:v>
                </c:pt>
                <c:pt idx="315">
                  <c:v>13593</c:v>
                </c:pt>
                <c:pt idx="316">
                  <c:v>13680</c:v>
                </c:pt>
                <c:pt idx="317">
                  <c:v>13602</c:v>
                </c:pt>
                <c:pt idx="318">
                  <c:v>15449</c:v>
                </c:pt>
                <c:pt idx="319">
                  <c:v>16807</c:v>
                </c:pt>
                <c:pt idx="320">
                  <c:v>14885</c:v>
                </c:pt>
                <c:pt idx="321">
                  <c:v>13526</c:v>
                </c:pt>
                <c:pt idx="322">
                  <c:v>14700</c:v>
                </c:pt>
                <c:pt idx="323">
                  <c:v>14845</c:v>
                </c:pt>
                <c:pt idx="324">
                  <c:v>13740</c:v>
                </c:pt>
                <c:pt idx="325">
                  <c:v>13752</c:v>
                </c:pt>
                <c:pt idx="326">
                  <c:v>13480</c:v>
                </c:pt>
                <c:pt idx="327">
                  <c:v>13724</c:v>
                </c:pt>
                <c:pt idx="328">
                  <c:v>14710</c:v>
                </c:pt>
                <c:pt idx="329">
                  <c:v>14439</c:v>
                </c:pt>
                <c:pt idx="330">
                  <c:v>14700</c:v>
                </c:pt>
                <c:pt idx="331">
                  <c:v>14253</c:v>
                </c:pt>
                <c:pt idx="332">
                  <c:v>13824</c:v>
                </c:pt>
                <c:pt idx="333">
                  <c:v>13457</c:v>
                </c:pt>
                <c:pt idx="334">
                  <c:v>13457</c:v>
                </c:pt>
                <c:pt idx="335">
                  <c:v>13629</c:v>
                </c:pt>
                <c:pt idx="336">
                  <c:v>13547</c:v>
                </c:pt>
                <c:pt idx="337">
                  <c:v>13701</c:v>
                </c:pt>
                <c:pt idx="338">
                  <c:v>13455</c:v>
                </c:pt>
                <c:pt idx="339">
                  <c:v>13455</c:v>
                </c:pt>
                <c:pt idx="340">
                  <c:v>14314</c:v>
                </c:pt>
                <c:pt idx="341">
                  <c:v>13664</c:v>
                </c:pt>
                <c:pt idx="342">
                  <c:v>13608</c:v>
                </c:pt>
                <c:pt idx="343">
                  <c:v>14001</c:v>
                </c:pt>
                <c:pt idx="344">
                  <c:v>14463</c:v>
                </c:pt>
                <c:pt idx="345">
                  <c:v>15097</c:v>
                </c:pt>
                <c:pt idx="346">
                  <c:v>13648</c:v>
                </c:pt>
                <c:pt idx="347">
                  <c:v>13461</c:v>
                </c:pt>
                <c:pt idx="348">
                  <c:v>14476</c:v>
                </c:pt>
                <c:pt idx="349">
                  <c:v>13456</c:v>
                </c:pt>
                <c:pt idx="350">
                  <c:v>13456</c:v>
                </c:pt>
                <c:pt idx="351">
                  <c:v>13582</c:v>
                </c:pt>
                <c:pt idx="352">
                  <c:v>13456</c:v>
                </c:pt>
                <c:pt idx="353">
                  <c:v>13997</c:v>
                </c:pt>
                <c:pt idx="354">
                  <c:v>13722</c:v>
                </c:pt>
                <c:pt idx="355">
                  <c:v>13731</c:v>
                </c:pt>
                <c:pt idx="356">
                  <c:v>13529</c:v>
                </c:pt>
                <c:pt idx="357">
                  <c:v>13457</c:v>
                </c:pt>
                <c:pt idx="358">
                  <c:v>13761</c:v>
                </c:pt>
                <c:pt idx="359">
                  <c:v>13754</c:v>
                </c:pt>
                <c:pt idx="360">
                  <c:v>13455</c:v>
                </c:pt>
                <c:pt idx="361">
                  <c:v>13455</c:v>
                </c:pt>
                <c:pt idx="362">
                  <c:v>13455</c:v>
                </c:pt>
                <c:pt idx="363">
                  <c:v>13459</c:v>
                </c:pt>
                <c:pt idx="364">
                  <c:v>13459</c:v>
                </c:pt>
                <c:pt idx="365">
                  <c:v>14870</c:v>
                </c:pt>
                <c:pt idx="366">
                  <c:v>15570</c:v>
                </c:pt>
                <c:pt idx="367">
                  <c:v>14936</c:v>
                </c:pt>
                <c:pt idx="368">
                  <c:v>13779</c:v>
                </c:pt>
                <c:pt idx="369">
                  <c:v>13945</c:v>
                </c:pt>
                <c:pt idx="370">
                  <c:v>13370</c:v>
                </c:pt>
                <c:pt idx="371">
                  <c:v>13370</c:v>
                </c:pt>
                <c:pt idx="372">
                  <c:v>13370</c:v>
                </c:pt>
                <c:pt idx="373">
                  <c:v>13860</c:v>
                </c:pt>
                <c:pt idx="374">
                  <c:v>13370</c:v>
                </c:pt>
                <c:pt idx="375">
                  <c:v>13477</c:v>
                </c:pt>
                <c:pt idx="376">
                  <c:v>14161</c:v>
                </c:pt>
                <c:pt idx="377">
                  <c:v>13570</c:v>
                </c:pt>
                <c:pt idx="378">
                  <c:v>13370</c:v>
                </c:pt>
                <c:pt idx="379">
                  <c:v>13370</c:v>
                </c:pt>
                <c:pt idx="380">
                  <c:v>13370</c:v>
                </c:pt>
                <c:pt idx="381">
                  <c:v>13370</c:v>
                </c:pt>
                <c:pt idx="382">
                  <c:v>13370</c:v>
                </c:pt>
                <c:pt idx="383">
                  <c:v>13370</c:v>
                </c:pt>
                <c:pt idx="384">
                  <c:v>13370</c:v>
                </c:pt>
                <c:pt idx="385">
                  <c:v>13370</c:v>
                </c:pt>
                <c:pt idx="386">
                  <c:v>13370</c:v>
                </c:pt>
                <c:pt idx="387">
                  <c:v>13370</c:v>
                </c:pt>
                <c:pt idx="388">
                  <c:v>13370</c:v>
                </c:pt>
                <c:pt idx="389">
                  <c:v>13370</c:v>
                </c:pt>
                <c:pt idx="390">
                  <c:v>13370</c:v>
                </c:pt>
                <c:pt idx="391">
                  <c:v>13370</c:v>
                </c:pt>
                <c:pt idx="392">
                  <c:v>13370</c:v>
                </c:pt>
                <c:pt idx="393">
                  <c:v>13370</c:v>
                </c:pt>
                <c:pt idx="394">
                  <c:v>13370</c:v>
                </c:pt>
                <c:pt idx="395">
                  <c:v>13370</c:v>
                </c:pt>
                <c:pt idx="396">
                  <c:v>13370</c:v>
                </c:pt>
                <c:pt idx="397">
                  <c:v>13370</c:v>
                </c:pt>
                <c:pt idx="398">
                  <c:v>13370</c:v>
                </c:pt>
                <c:pt idx="399">
                  <c:v>13370</c:v>
                </c:pt>
                <c:pt idx="400">
                  <c:v>13370</c:v>
                </c:pt>
                <c:pt idx="401">
                  <c:v>13370</c:v>
                </c:pt>
                <c:pt idx="402">
                  <c:v>13370</c:v>
                </c:pt>
                <c:pt idx="403">
                  <c:v>13370</c:v>
                </c:pt>
                <c:pt idx="404">
                  <c:v>13370</c:v>
                </c:pt>
                <c:pt idx="405">
                  <c:v>13370</c:v>
                </c:pt>
                <c:pt idx="406">
                  <c:v>13370</c:v>
                </c:pt>
                <c:pt idx="407">
                  <c:v>13370</c:v>
                </c:pt>
                <c:pt idx="408">
                  <c:v>13370</c:v>
                </c:pt>
                <c:pt idx="409">
                  <c:v>13370</c:v>
                </c:pt>
                <c:pt idx="410">
                  <c:v>13370</c:v>
                </c:pt>
                <c:pt idx="411">
                  <c:v>13370</c:v>
                </c:pt>
                <c:pt idx="412">
                  <c:v>13370</c:v>
                </c:pt>
                <c:pt idx="413">
                  <c:v>13370</c:v>
                </c:pt>
                <c:pt idx="414">
                  <c:v>13370</c:v>
                </c:pt>
                <c:pt idx="415">
                  <c:v>13370</c:v>
                </c:pt>
                <c:pt idx="416">
                  <c:v>13370</c:v>
                </c:pt>
                <c:pt idx="417">
                  <c:v>13370</c:v>
                </c:pt>
                <c:pt idx="418">
                  <c:v>13370</c:v>
                </c:pt>
                <c:pt idx="419">
                  <c:v>13370</c:v>
                </c:pt>
                <c:pt idx="420">
                  <c:v>13370</c:v>
                </c:pt>
                <c:pt idx="421">
                  <c:v>13370</c:v>
                </c:pt>
                <c:pt idx="422">
                  <c:v>13370</c:v>
                </c:pt>
                <c:pt idx="423">
                  <c:v>13370</c:v>
                </c:pt>
                <c:pt idx="424">
                  <c:v>13370</c:v>
                </c:pt>
                <c:pt idx="425">
                  <c:v>13370</c:v>
                </c:pt>
                <c:pt idx="426">
                  <c:v>13370</c:v>
                </c:pt>
                <c:pt idx="427">
                  <c:v>13370</c:v>
                </c:pt>
                <c:pt idx="428">
                  <c:v>13370</c:v>
                </c:pt>
                <c:pt idx="429">
                  <c:v>13370</c:v>
                </c:pt>
                <c:pt idx="430">
                  <c:v>13370</c:v>
                </c:pt>
                <c:pt idx="431">
                  <c:v>13370</c:v>
                </c:pt>
                <c:pt idx="432">
                  <c:v>13370</c:v>
                </c:pt>
                <c:pt idx="433">
                  <c:v>13370</c:v>
                </c:pt>
                <c:pt idx="434">
                  <c:v>13370</c:v>
                </c:pt>
                <c:pt idx="435">
                  <c:v>13370</c:v>
                </c:pt>
                <c:pt idx="436">
                  <c:v>13370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8E-9645-926E-3830DABCE972}"/>
            </c:ext>
          </c:extLst>
        </c:ser>
        <c:ser>
          <c:idx val="13"/>
          <c:order val="13"/>
          <c:tx>
            <c:strRef>
              <c:f>balance_sheet!$R$5</c:f>
              <c:strCache>
                <c:ptCount val="1"/>
                <c:pt idx="0">
                  <c:v>Issue Department other securities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balance_sheet!$R$6:$R$1209</c:f>
              <c:numCache>
                <c:formatCode>0</c:formatCode>
                <c:ptCount val="1204"/>
                <c:pt idx="0">
                  <c:v>10024</c:v>
                </c:pt>
                <c:pt idx="1">
                  <c:v>8476</c:v>
                </c:pt>
                <c:pt idx="2">
                  <c:v>9237</c:v>
                </c:pt>
                <c:pt idx="3">
                  <c:v>11859</c:v>
                </c:pt>
                <c:pt idx="4">
                  <c:v>19397</c:v>
                </c:pt>
                <c:pt idx="5">
                  <c:v>20206</c:v>
                </c:pt>
                <c:pt idx="6">
                  <c:v>17222</c:v>
                </c:pt>
                <c:pt idx="7">
                  <c:v>19020</c:v>
                </c:pt>
                <c:pt idx="8">
                  <c:v>18957</c:v>
                </c:pt>
                <c:pt idx="9">
                  <c:v>15719</c:v>
                </c:pt>
                <c:pt idx="10">
                  <c:v>12819</c:v>
                </c:pt>
                <c:pt idx="11">
                  <c:v>13654</c:v>
                </c:pt>
                <c:pt idx="12">
                  <c:v>7771</c:v>
                </c:pt>
                <c:pt idx="13">
                  <c:v>6248</c:v>
                </c:pt>
                <c:pt idx="14">
                  <c:v>5878</c:v>
                </c:pt>
                <c:pt idx="15">
                  <c:v>9217</c:v>
                </c:pt>
                <c:pt idx="16">
                  <c:v>7841</c:v>
                </c:pt>
                <c:pt idx="17">
                  <c:v>9739</c:v>
                </c:pt>
                <c:pt idx="18">
                  <c:v>7874</c:v>
                </c:pt>
                <c:pt idx="19">
                  <c:v>7136</c:v>
                </c:pt>
                <c:pt idx="20">
                  <c:v>9452</c:v>
                </c:pt>
                <c:pt idx="21">
                  <c:v>9710</c:v>
                </c:pt>
                <c:pt idx="22">
                  <c:v>3843</c:v>
                </c:pt>
                <c:pt idx="23">
                  <c:v>892</c:v>
                </c:pt>
                <c:pt idx="24">
                  <c:v>2493</c:v>
                </c:pt>
                <c:pt idx="25">
                  <c:v>2918</c:v>
                </c:pt>
                <c:pt idx="26">
                  <c:v>2275</c:v>
                </c:pt>
                <c:pt idx="27">
                  <c:v>1748</c:v>
                </c:pt>
                <c:pt idx="28">
                  <c:v>3904</c:v>
                </c:pt>
                <c:pt idx="29">
                  <c:v>4300</c:v>
                </c:pt>
                <c:pt idx="30">
                  <c:v>12084</c:v>
                </c:pt>
                <c:pt idx="31">
                  <c:v>10921</c:v>
                </c:pt>
                <c:pt idx="32">
                  <c:v>9624</c:v>
                </c:pt>
                <c:pt idx="33">
                  <c:v>9584</c:v>
                </c:pt>
                <c:pt idx="34">
                  <c:v>10302</c:v>
                </c:pt>
                <c:pt idx="35">
                  <c:v>7391</c:v>
                </c:pt>
                <c:pt idx="36">
                  <c:v>4546</c:v>
                </c:pt>
                <c:pt idx="37">
                  <c:v>6788</c:v>
                </c:pt>
                <c:pt idx="38">
                  <c:v>7943</c:v>
                </c:pt>
                <c:pt idx="39">
                  <c:v>12647</c:v>
                </c:pt>
                <c:pt idx="40">
                  <c:v>10850</c:v>
                </c:pt>
                <c:pt idx="41">
                  <c:v>14266</c:v>
                </c:pt>
                <c:pt idx="42">
                  <c:v>12770</c:v>
                </c:pt>
                <c:pt idx="43">
                  <c:v>16259</c:v>
                </c:pt>
                <c:pt idx="44">
                  <c:v>13702</c:v>
                </c:pt>
                <c:pt idx="45">
                  <c:v>11498</c:v>
                </c:pt>
                <c:pt idx="46">
                  <c:v>9225</c:v>
                </c:pt>
                <c:pt idx="47">
                  <c:v>12385</c:v>
                </c:pt>
                <c:pt idx="48">
                  <c:v>7984</c:v>
                </c:pt>
                <c:pt idx="49">
                  <c:v>8754</c:v>
                </c:pt>
                <c:pt idx="50">
                  <c:v>9780</c:v>
                </c:pt>
                <c:pt idx="51">
                  <c:v>10032</c:v>
                </c:pt>
                <c:pt idx="52">
                  <c:v>11438</c:v>
                </c:pt>
                <c:pt idx="53">
                  <c:v>9367</c:v>
                </c:pt>
                <c:pt idx="54">
                  <c:v>9362</c:v>
                </c:pt>
                <c:pt idx="55">
                  <c:v>11042</c:v>
                </c:pt>
                <c:pt idx="56">
                  <c:v>21951</c:v>
                </c:pt>
                <c:pt idx="57">
                  <c:v>20625</c:v>
                </c:pt>
                <c:pt idx="58">
                  <c:v>17540</c:v>
                </c:pt>
                <c:pt idx="59">
                  <c:v>18444</c:v>
                </c:pt>
                <c:pt idx="60">
                  <c:v>18402</c:v>
                </c:pt>
                <c:pt idx="61">
                  <c:v>15290</c:v>
                </c:pt>
                <c:pt idx="62">
                  <c:v>8428</c:v>
                </c:pt>
                <c:pt idx="63">
                  <c:v>10629</c:v>
                </c:pt>
                <c:pt idx="64">
                  <c:v>8694</c:v>
                </c:pt>
                <c:pt idx="65">
                  <c:v>5919</c:v>
                </c:pt>
                <c:pt idx="66">
                  <c:v>4653</c:v>
                </c:pt>
                <c:pt idx="67">
                  <c:v>9025</c:v>
                </c:pt>
                <c:pt idx="68">
                  <c:v>7568</c:v>
                </c:pt>
                <c:pt idx="69">
                  <c:v>10792</c:v>
                </c:pt>
                <c:pt idx="70">
                  <c:v>9331</c:v>
                </c:pt>
                <c:pt idx="71">
                  <c:v>7517</c:v>
                </c:pt>
                <c:pt idx="72">
                  <c:v>7888</c:v>
                </c:pt>
                <c:pt idx="73">
                  <c:v>12077</c:v>
                </c:pt>
                <c:pt idx="74">
                  <c:v>6352</c:v>
                </c:pt>
                <c:pt idx="75">
                  <c:v>4505</c:v>
                </c:pt>
                <c:pt idx="76">
                  <c:v>8550</c:v>
                </c:pt>
                <c:pt idx="77">
                  <c:v>9337</c:v>
                </c:pt>
                <c:pt idx="78">
                  <c:v>7605</c:v>
                </c:pt>
                <c:pt idx="79">
                  <c:v>6264</c:v>
                </c:pt>
                <c:pt idx="80">
                  <c:v>8384</c:v>
                </c:pt>
                <c:pt idx="81">
                  <c:v>9187</c:v>
                </c:pt>
                <c:pt idx="82">
                  <c:v>13312</c:v>
                </c:pt>
                <c:pt idx="83">
                  <c:v>6563</c:v>
                </c:pt>
                <c:pt idx="84">
                  <c:v>4483</c:v>
                </c:pt>
                <c:pt idx="85">
                  <c:v>5791</c:v>
                </c:pt>
                <c:pt idx="86">
                  <c:v>6707</c:v>
                </c:pt>
                <c:pt idx="87">
                  <c:v>4896</c:v>
                </c:pt>
                <c:pt idx="88">
                  <c:v>2815</c:v>
                </c:pt>
                <c:pt idx="89">
                  <c:v>3450</c:v>
                </c:pt>
                <c:pt idx="90">
                  <c:v>5135</c:v>
                </c:pt>
                <c:pt idx="91">
                  <c:v>11981</c:v>
                </c:pt>
                <c:pt idx="92">
                  <c:v>8600</c:v>
                </c:pt>
                <c:pt idx="93">
                  <c:v>12335</c:v>
                </c:pt>
                <c:pt idx="94">
                  <c:v>11423</c:v>
                </c:pt>
                <c:pt idx="95">
                  <c:v>15580</c:v>
                </c:pt>
                <c:pt idx="96">
                  <c:v>13650</c:v>
                </c:pt>
                <c:pt idx="97">
                  <c:v>10806</c:v>
                </c:pt>
                <c:pt idx="98">
                  <c:v>12547</c:v>
                </c:pt>
                <c:pt idx="99">
                  <c:v>16228</c:v>
                </c:pt>
                <c:pt idx="100">
                  <c:v>11512</c:v>
                </c:pt>
                <c:pt idx="101">
                  <c:v>9976</c:v>
                </c:pt>
                <c:pt idx="102">
                  <c:v>12624</c:v>
                </c:pt>
                <c:pt idx="103">
                  <c:v>11645</c:v>
                </c:pt>
                <c:pt idx="104">
                  <c:v>10613</c:v>
                </c:pt>
                <c:pt idx="105">
                  <c:v>9984</c:v>
                </c:pt>
                <c:pt idx="106">
                  <c:v>8714</c:v>
                </c:pt>
                <c:pt idx="107">
                  <c:v>10995</c:v>
                </c:pt>
                <c:pt idx="108">
                  <c:v>22105</c:v>
                </c:pt>
                <c:pt idx="109">
                  <c:v>21484</c:v>
                </c:pt>
                <c:pt idx="110">
                  <c:v>19039</c:v>
                </c:pt>
                <c:pt idx="111">
                  <c:v>20407</c:v>
                </c:pt>
                <c:pt idx="112">
                  <c:v>21126</c:v>
                </c:pt>
                <c:pt idx="113">
                  <c:v>13851</c:v>
                </c:pt>
                <c:pt idx="114">
                  <c:v>11985</c:v>
                </c:pt>
                <c:pt idx="115">
                  <c:v>14024</c:v>
                </c:pt>
                <c:pt idx="116">
                  <c:v>10460</c:v>
                </c:pt>
                <c:pt idx="117">
                  <c:v>11861</c:v>
                </c:pt>
                <c:pt idx="118">
                  <c:v>10865</c:v>
                </c:pt>
                <c:pt idx="119">
                  <c:v>10515</c:v>
                </c:pt>
                <c:pt idx="120">
                  <c:v>11180</c:v>
                </c:pt>
                <c:pt idx="121">
                  <c:v>12780</c:v>
                </c:pt>
                <c:pt idx="122">
                  <c:v>12059</c:v>
                </c:pt>
                <c:pt idx="123">
                  <c:v>12019</c:v>
                </c:pt>
                <c:pt idx="124">
                  <c:v>12262</c:v>
                </c:pt>
                <c:pt idx="125">
                  <c:v>12869</c:v>
                </c:pt>
                <c:pt idx="126">
                  <c:v>12359</c:v>
                </c:pt>
                <c:pt idx="127">
                  <c:v>12329</c:v>
                </c:pt>
                <c:pt idx="128">
                  <c:v>12368</c:v>
                </c:pt>
                <c:pt idx="129">
                  <c:v>12351</c:v>
                </c:pt>
                <c:pt idx="130">
                  <c:v>12528</c:v>
                </c:pt>
                <c:pt idx="131">
                  <c:v>12524</c:v>
                </c:pt>
                <c:pt idx="132">
                  <c:v>12524</c:v>
                </c:pt>
                <c:pt idx="133">
                  <c:v>12807</c:v>
                </c:pt>
                <c:pt idx="134">
                  <c:v>13087</c:v>
                </c:pt>
                <c:pt idx="135">
                  <c:v>12747</c:v>
                </c:pt>
                <c:pt idx="136">
                  <c:v>12876</c:v>
                </c:pt>
                <c:pt idx="137">
                  <c:v>13086</c:v>
                </c:pt>
                <c:pt idx="138">
                  <c:v>13816</c:v>
                </c:pt>
                <c:pt idx="139">
                  <c:v>13117</c:v>
                </c:pt>
                <c:pt idx="140">
                  <c:v>13122</c:v>
                </c:pt>
                <c:pt idx="141">
                  <c:v>13567</c:v>
                </c:pt>
                <c:pt idx="142">
                  <c:v>13207</c:v>
                </c:pt>
                <c:pt idx="143">
                  <c:v>13367</c:v>
                </c:pt>
                <c:pt idx="144">
                  <c:v>13086</c:v>
                </c:pt>
                <c:pt idx="145">
                  <c:v>13066</c:v>
                </c:pt>
                <c:pt idx="146">
                  <c:v>13196</c:v>
                </c:pt>
                <c:pt idx="147">
                  <c:v>13364</c:v>
                </c:pt>
                <c:pt idx="148">
                  <c:v>13286</c:v>
                </c:pt>
                <c:pt idx="149">
                  <c:v>13265</c:v>
                </c:pt>
                <c:pt idx="150">
                  <c:v>13752</c:v>
                </c:pt>
                <c:pt idx="151">
                  <c:v>14325</c:v>
                </c:pt>
                <c:pt idx="152">
                  <c:v>14522</c:v>
                </c:pt>
                <c:pt idx="153">
                  <c:v>14882</c:v>
                </c:pt>
                <c:pt idx="154">
                  <c:v>15922</c:v>
                </c:pt>
                <c:pt idx="155">
                  <c:v>17202</c:v>
                </c:pt>
                <c:pt idx="156">
                  <c:v>15872</c:v>
                </c:pt>
                <c:pt idx="157">
                  <c:v>14251</c:v>
                </c:pt>
                <c:pt idx="158">
                  <c:v>13651</c:v>
                </c:pt>
                <c:pt idx="159">
                  <c:v>13421</c:v>
                </c:pt>
                <c:pt idx="160">
                  <c:v>13436</c:v>
                </c:pt>
                <c:pt idx="161">
                  <c:v>13306</c:v>
                </c:pt>
                <c:pt idx="162">
                  <c:v>13380</c:v>
                </c:pt>
                <c:pt idx="163">
                  <c:v>13490</c:v>
                </c:pt>
                <c:pt idx="164">
                  <c:v>13700</c:v>
                </c:pt>
                <c:pt idx="165">
                  <c:v>13750</c:v>
                </c:pt>
                <c:pt idx="166">
                  <c:v>13670</c:v>
                </c:pt>
                <c:pt idx="167">
                  <c:v>13077</c:v>
                </c:pt>
                <c:pt idx="168">
                  <c:v>13523</c:v>
                </c:pt>
                <c:pt idx="169">
                  <c:v>13481</c:v>
                </c:pt>
                <c:pt idx="170">
                  <c:v>14503</c:v>
                </c:pt>
                <c:pt idx="171">
                  <c:v>14553</c:v>
                </c:pt>
                <c:pt idx="172">
                  <c:v>13802</c:v>
                </c:pt>
                <c:pt idx="173">
                  <c:v>13982</c:v>
                </c:pt>
                <c:pt idx="174">
                  <c:v>14142</c:v>
                </c:pt>
                <c:pt idx="175">
                  <c:v>13672</c:v>
                </c:pt>
                <c:pt idx="176">
                  <c:v>13872</c:v>
                </c:pt>
                <c:pt idx="177">
                  <c:v>14702</c:v>
                </c:pt>
                <c:pt idx="178">
                  <c:v>14016</c:v>
                </c:pt>
                <c:pt idx="179">
                  <c:v>13916</c:v>
                </c:pt>
                <c:pt idx="180">
                  <c:v>13906</c:v>
                </c:pt>
                <c:pt idx="181">
                  <c:v>14135</c:v>
                </c:pt>
                <c:pt idx="182">
                  <c:v>14245</c:v>
                </c:pt>
                <c:pt idx="183">
                  <c:v>14199</c:v>
                </c:pt>
                <c:pt idx="184">
                  <c:v>13915</c:v>
                </c:pt>
                <c:pt idx="185">
                  <c:v>14545</c:v>
                </c:pt>
                <c:pt idx="186">
                  <c:v>14945</c:v>
                </c:pt>
                <c:pt idx="187">
                  <c:v>14710</c:v>
                </c:pt>
                <c:pt idx="188">
                  <c:v>14677</c:v>
                </c:pt>
                <c:pt idx="189">
                  <c:v>15056</c:v>
                </c:pt>
                <c:pt idx="190">
                  <c:v>15496</c:v>
                </c:pt>
                <c:pt idx="191">
                  <c:v>14944</c:v>
                </c:pt>
                <c:pt idx="192">
                  <c:v>14774</c:v>
                </c:pt>
                <c:pt idx="193">
                  <c:v>14739</c:v>
                </c:pt>
                <c:pt idx="194">
                  <c:v>14835</c:v>
                </c:pt>
                <c:pt idx="195">
                  <c:v>14934</c:v>
                </c:pt>
                <c:pt idx="196">
                  <c:v>14874</c:v>
                </c:pt>
                <c:pt idx="197">
                  <c:v>14864</c:v>
                </c:pt>
                <c:pt idx="198">
                  <c:v>14994</c:v>
                </c:pt>
                <c:pt idx="199">
                  <c:v>15194</c:v>
                </c:pt>
                <c:pt idx="200">
                  <c:v>15250</c:v>
                </c:pt>
                <c:pt idx="201">
                  <c:v>15473</c:v>
                </c:pt>
                <c:pt idx="202">
                  <c:v>15753</c:v>
                </c:pt>
                <c:pt idx="203">
                  <c:v>15973</c:v>
                </c:pt>
                <c:pt idx="204">
                  <c:v>16155</c:v>
                </c:pt>
                <c:pt idx="205">
                  <c:v>17084</c:v>
                </c:pt>
                <c:pt idx="206">
                  <c:v>18234</c:v>
                </c:pt>
                <c:pt idx="207">
                  <c:v>18974</c:v>
                </c:pt>
                <c:pt idx="208">
                  <c:v>18974</c:v>
                </c:pt>
                <c:pt idx="209">
                  <c:v>18324</c:v>
                </c:pt>
                <c:pt idx="210">
                  <c:v>16307</c:v>
                </c:pt>
                <c:pt idx="211">
                  <c:v>15823</c:v>
                </c:pt>
                <c:pt idx="212">
                  <c:v>15557</c:v>
                </c:pt>
                <c:pt idx="213">
                  <c:v>15587</c:v>
                </c:pt>
                <c:pt idx="214">
                  <c:v>14967</c:v>
                </c:pt>
                <c:pt idx="215">
                  <c:v>15343</c:v>
                </c:pt>
                <c:pt idx="216">
                  <c:v>15553</c:v>
                </c:pt>
                <c:pt idx="217">
                  <c:v>15035</c:v>
                </c:pt>
                <c:pt idx="218">
                  <c:v>15727</c:v>
                </c:pt>
                <c:pt idx="219">
                  <c:v>15211</c:v>
                </c:pt>
                <c:pt idx="220">
                  <c:v>15636</c:v>
                </c:pt>
                <c:pt idx="221">
                  <c:v>16622</c:v>
                </c:pt>
                <c:pt idx="222">
                  <c:v>16681</c:v>
                </c:pt>
                <c:pt idx="223">
                  <c:v>15947</c:v>
                </c:pt>
                <c:pt idx="224">
                  <c:v>15758</c:v>
                </c:pt>
                <c:pt idx="225">
                  <c:v>15807</c:v>
                </c:pt>
                <c:pt idx="226">
                  <c:v>16157</c:v>
                </c:pt>
                <c:pt idx="227">
                  <c:v>16607</c:v>
                </c:pt>
                <c:pt idx="228">
                  <c:v>16057</c:v>
                </c:pt>
                <c:pt idx="229">
                  <c:v>16077</c:v>
                </c:pt>
                <c:pt idx="230">
                  <c:v>17057</c:v>
                </c:pt>
                <c:pt idx="231">
                  <c:v>17880</c:v>
                </c:pt>
                <c:pt idx="232">
                  <c:v>16769</c:v>
                </c:pt>
                <c:pt idx="233">
                  <c:v>16459</c:v>
                </c:pt>
                <c:pt idx="234">
                  <c:v>16539</c:v>
                </c:pt>
                <c:pt idx="235">
                  <c:v>16159</c:v>
                </c:pt>
                <c:pt idx="236">
                  <c:v>16699</c:v>
                </c:pt>
                <c:pt idx="237">
                  <c:v>15940</c:v>
                </c:pt>
                <c:pt idx="238">
                  <c:v>16828</c:v>
                </c:pt>
                <c:pt idx="239">
                  <c:v>16854</c:v>
                </c:pt>
                <c:pt idx="240">
                  <c:v>16188</c:v>
                </c:pt>
                <c:pt idx="241">
                  <c:v>15966</c:v>
                </c:pt>
                <c:pt idx="242">
                  <c:v>17096</c:v>
                </c:pt>
                <c:pt idx="243">
                  <c:v>17917</c:v>
                </c:pt>
                <c:pt idx="244">
                  <c:v>16522</c:v>
                </c:pt>
                <c:pt idx="245">
                  <c:v>16403</c:v>
                </c:pt>
                <c:pt idx="246">
                  <c:v>16737</c:v>
                </c:pt>
                <c:pt idx="247">
                  <c:v>16354</c:v>
                </c:pt>
                <c:pt idx="248">
                  <c:v>17244</c:v>
                </c:pt>
                <c:pt idx="249">
                  <c:v>17323</c:v>
                </c:pt>
                <c:pt idx="250">
                  <c:v>17093</c:v>
                </c:pt>
                <c:pt idx="251">
                  <c:v>17413</c:v>
                </c:pt>
                <c:pt idx="252">
                  <c:v>16981</c:v>
                </c:pt>
                <c:pt idx="253">
                  <c:v>17513</c:v>
                </c:pt>
                <c:pt idx="254">
                  <c:v>17243</c:v>
                </c:pt>
                <c:pt idx="255">
                  <c:v>17747</c:v>
                </c:pt>
                <c:pt idx="256">
                  <c:v>17724</c:v>
                </c:pt>
                <c:pt idx="257">
                  <c:v>18689</c:v>
                </c:pt>
                <c:pt idx="258">
                  <c:v>18769</c:v>
                </c:pt>
                <c:pt idx="259">
                  <c:v>19799</c:v>
                </c:pt>
                <c:pt idx="260">
                  <c:v>19401</c:v>
                </c:pt>
                <c:pt idx="261">
                  <c:v>19401</c:v>
                </c:pt>
                <c:pt idx="262">
                  <c:v>19889</c:v>
                </c:pt>
                <c:pt idx="263">
                  <c:v>19889</c:v>
                </c:pt>
                <c:pt idx="264">
                  <c:v>18608</c:v>
                </c:pt>
                <c:pt idx="265">
                  <c:v>17528</c:v>
                </c:pt>
                <c:pt idx="266">
                  <c:v>17363</c:v>
                </c:pt>
                <c:pt idx="267">
                  <c:v>17501</c:v>
                </c:pt>
                <c:pt idx="268">
                  <c:v>16544</c:v>
                </c:pt>
                <c:pt idx="269">
                  <c:v>16403</c:v>
                </c:pt>
                <c:pt idx="270">
                  <c:v>16943</c:v>
                </c:pt>
                <c:pt idx="271">
                  <c:v>17515</c:v>
                </c:pt>
                <c:pt idx="272">
                  <c:v>17610</c:v>
                </c:pt>
                <c:pt idx="273">
                  <c:v>17712</c:v>
                </c:pt>
                <c:pt idx="274">
                  <c:v>17722</c:v>
                </c:pt>
                <c:pt idx="275">
                  <c:v>17916</c:v>
                </c:pt>
                <c:pt idx="276">
                  <c:v>18009</c:v>
                </c:pt>
                <c:pt idx="277">
                  <c:v>18280</c:v>
                </c:pt>
                <c:pt idx="278">
                  <c:v>19592</c:v>
                </c:pt>
                <c:pt idx="279">
                  <c:v>19734</c:v>
                </c:pt>
                <c:pt idx="280">
                  <c:v>19068</c:v>
                </c:pt>
                <c:pt idx="281">
                  <c:v>19422</c:v>
                </c:pt>
                <c:pt idx="282">
                  <c:v>18969</c:v>
                </c:pt>
                <c:pt idx="283">
                  <c:v>19229</c:v>
                </c:pt>
                <c:pt idx="284">
                  <c:v>19639</c:v>
                </c:pt>
                <c:pt idx="285">
                  <c:v>18668</c:v>
                </c:pt>
                <c:pt idx="286">
                  <c:v>17217</c:v>
                </c:pt>
                <c:pt idx="287">
                  <c:v>18438</c:v>
                </c:pt>
                <c:pt idx="288">
                  <c:v>18353</c:v>
                </c:pt>
                <c:pt idx="289">
                  <c:v>19078</c:v>
                </c:pt>
                <c:pt idx="290">
                  <c:v>18572</c:v>
                </c:pt>
                <c:pt idx="291">
                  <c:v>19178</c:v>
                </c:pt>
                <c:pt idx="292">
                  <c:v>19368</c:v>
                </c:pt>
                <c:pt idx="293">
                  <c:v>19608</c:v>
                </c:pt>
                <c:pt idx="294">
                  <c:v>19668</c:v>
                </c:pt>
                <c:pt idx="295">
                  <c:v>19442</c:v>
                </c:pt>
                <c:pt idx="296">
                  <c:v>18855</c:v>
                </c:pt>
                <c:pt idx="297">
                  <c:v>18996</c:v>
                </c:pt>
                <c:pt idx="298">
                  <c:v>19792</c:v>
                </c:pt>
                <c:pt idx="299">
                  <c:v>19636</c:v>
                </c:pt>
                <c:pt idx="300">
                  <c:v>19717</c:v>
                </c:pt>
                <c:pt idx="301">
                  <c:v>18098</c:v>
                </c:pt>
                <c:pt idx="302">
                  <c:v>19318</c:v>
                </c:pt>
                <c:pt idx="303">
                  <c:v>19487</c:v>
                </c:pt>
                <c:pt idx="304">
                  <c:v>19625</c:v>
                </c:pt>
                <c:pt idx="305">
                  <c:v>19635</c:v>
                </c:pt>
                <c:pt idx="306">
                  <c:v>19404</c:v>
                </c:pt>
                <c:pt idx="307">
                  <c:v>19559</c:v>
                </c:pt>
                <c:pt idx="308">
                  <c:v>19393</c:v>
                </c:pt>
                <c:pt idx="309">
                  <c:v>20303</c:v>
                </c:pt>
                <c:pt idx="310">
                  <c:v>20807</c:v>
                </c:pt>
                <c:pt idx="311">
                  <c:v>21236</c:v>
                </c:pt>
                <c:pt idx="312">
                  <c:v>21186</c:v>
                </c:pt>
                <c:pt idx="313">
                  <c:v>21957</c:v>
                </c:pt>
                <c:pt idx="314">
                  <c:v>26478</c:v>
                </c:pt>
                <c:pt idx="315">
                  <c:v>23017</c:v>
                </c:pt>
                <c:pt idx="316">
                  <c:v>21250</c:v>
                </c:pt>
                <c:pt idx="317">
                  <c:v>20178</c:v>
                </c:pt>
                <c:pt idx="318">
                  <c:v>18031</c:v>
                </c:pt>
                <c:pt idx="319">
                  <c:v>16523</c:v>
                </c:pt>
                <c:pt idx="320">
                  <c:v>18495</c:v>
                </c:pt>
                <c:pt idx="321">
                  <c:v>19604</c:v>
                </c:pt>
                <c:pt idx="322">
                  <c:v>18320</c:v>
                </c:pt>
                <c:pt idx="323">
                  <c:v>18415</c:v>
                </c:pt>
                <c:pt idx="324">
                  <c:v>19590</c:v>
                </c:pt>
                <c:pt idx="325">
                  <c:v>19518</c:v>
                </c:pt>
                <c:pt idx="326">
                  <c:v>19890</c:v>
                </c:pt>
                <c:pt idx="327">
                  <c:v>19806</c:v>
                </c:pt>
                <c:pt idx="328">
                  <c:v>19160</c:v>
                </c:pt>
                <c:pt idx="329">
                  <c:v>20281</c:v>
                </c:pt>
                <c:pt idx="330">
                  <c:v>20390</c:v>
                </c:pt>
                <c:pt idx="331">
                  <c:v>19707</c:v>
                </c:pt>
                <c:pt idx="332">
                  <c:v>20386</c:v>
                </c:pt>
                <c:pt idx="333">
                  <c:v>21273</c:v>
                </c:pt>
                <c:pt idx="334">
                  <c:v>20583</c:v>
                </c:pt>
                <c:pt idx="335">
                  <c:v>20491</c:v>
                </c:pt>
                <c:pt idx="336">
                  <c:v>20963</c:v>
                </c:pt>
                <c:pt idx="337">
                  <c:v>21509</c:v>
                </c:pt>
                <c:pt idx="338">
                  <c:v>21025</c:v>
                </c:pt>
                <c:pt idx="339">
                  <c:v>20955</c:v>
                </c:pt>
                <c:pt idx="340">
                  <c:v>20126</c:v>
                </c:pt>
                <c:pt idx="341">
                  <c:v>20976</c:v>
                </c:pt>
                <c:pt idx="342">
                  <c:v>21052</c:v>
                </c:pt>
                <c:pt idx="343">
                  <c:v>20699</c:v>
                </c:pt>
                <c:pt idx="344">
                  <c:v>20297</c:v>
                </c:pt>
                <c:pt idx="345">
                  <c:v>19863</c:v>
                </c:pt>
                <c:pt idx="346">
                  <c:v>21462</c:v>
                </c:pt>
                <c:pt idx="347">
                  <c:v>21519</c:v>
                </c:pt>
                <c:pt idx="348">
                  <c:v>20474</c:v>
                </c:pt>
                <c:pt idx="349">
                  <c:v>21894</c:v>
                </c:pt>
                <c:pt idx="350">
                  <c:v>22494</c:v>
                </c:pt>
                <c:pt idx="351">
                  <c:v>21578</c:v>
                </c:pt>
                <c:pt idx="352">
                  <c:v>21674</c:v>
                </c:pt>
                <c:pt idx="353">
                  <c:v>21093</c:v>
                </c:pt>
                <c:pt idx="354">
                  <c:v>21548</c:v>
                </c:pt>
                <c:pt idx="355">
                  <c:v>21499</c:v>
                </c:pt>
                <c:pt idx="356">
                  <c:v>21671</c:v>
                </c:pt>
                <c:pt idx="357">
                  <c:v>21793</c:v>
                </c:pt>
                <c:pt idx="358">
                  <c:v>21659</c:v>
                </c:pt>
                <c:pt idx="359">
                  <c:v>21676</c:v>
                </c:pt>
                <c:pt idx="360">
                  <c:v>21995</c:v>
                </c:pt>
                <c:pt idx="361">
                  <c:v>22295</c:v>
                </c:pt>
                <c:pt idx="362">
                  <c:v>22755</c:v>
                </c:pt>
                <c:pt idx="363">
                  <c:v>23151</c:v>
                </c:pt>
                <c:pt idx="364">
                  <c:v>23301</c:v>
                </c:pt>
                <c:pt idx="365">
                  <c:v>22350</c:v>
                </c:pt>
                <c:pt idx="366">
                  <c:v>22960</c:v>
                </c:pt>
                <c:pt idx="367">
                  <c:v>24194</c:v>
                </c:pt>
                <c:pt idx="368">
                  <c:v>24121</c:v>
                </c:pt>
                <c:pt idx="369">
                  <c:v>21935</c:v>
                </c:pt>
                <c:pt idx="370">
                  <c:v>21880</c:v>
                </c:pt>
                <c:pt idx="371">
                  <c:v>21830</c:v>
                </c:pt>
                <c:pt idx="372">
                  <c:v>21870</c:v>
                </c:pt>
                <c:pt idx="373">
                  <c:v>21220</c:v>
                </c:pt>
                <c:pt idx="374">
                  <c:v>21660</c:v>
                </c:pt>
                <c:pt idx="375">
                  <c:v>21643</c:v>
                </c:pt>
                <c:pt idx="376">
                  <c:v>21019</c:v>
                </c:pt>
                <c:pt idx="377">
                  <c:v>21550</c:v>
                </c:pt>
                <c:pt idx="378">
                  <c:v>21870</c:v>
                </c:pt>
                <c:pt idx="379">
                  <c:v>22930</c:v>
                </c:pt>
                <c:pt idx="380">
                  <c:v>23480</c:v>
                </c:pt>
                <c:pt idx="381">
                  <c:v>22460</c:v>
                </c:pt>
                <c:pt idx="382">
                  <c:v>22110</c:v>
                </c:pt>
                <c:pt idx="383">
                  <c:v>21920</c:v>
                </c:pt>
                <c:pt idx="384">
                  <c:v>22220</c:v>
                </c:pt>
                <c:pt idx="385">
                  <c:v>22860</c:v>
                </c:pt>
                <c:pt idx="386">
                  <c:v>22150</c:v>
                </c:pt>
                <c:pt idx="387">
                  <c:v>22040</c:v>
                </c:pt>
                <c:pt idx="388">
                  <c:v>22350</c:v>
                </c:pt>
                <c:pt idx="389">
                  <c:v>23180</c:v>
                </c:pt>
                <c:pt idx="390">
                  <c:v>22550</c:v>
                </c:pt>
                <c:pt idx="391">
                  <c:v>22360</c:v>
                </c:pt>
                <c:pt idx="392">
                  <c:v>22470</c:v>
                </c:pt>
                <c:pt idx="393">
                  <c:v>22680</c:v>
                </c:pt>
                <c:pt idx="394">
                  <c:v>22710</c:v>
                </c:pt>
                <c:pt idx="395">
                  <c:v>23030</c:v>
                </c:pt>
                <c:pt idx="396">
                  <c:v>23060</c:v>
                </c:pt>
                <c:pt idx="397">
                  <c:v>23330</c:v>
                </c:pt>
                <c:pt idx="398">
                  <c:v>23320</c:v>
                </c:pt>
                <c:pt idx="399">
                  <c:v>23220</c:v>
                </c:pt>
                <c:pt idx="400">
                  <c:v>23240</c:v>
                </c:pt>
                <c:pt idx="401">
                  <c:v>23570</c:v>
                </c:pt>
                <c:pt idx="402">
                  <c:v>24430</c:v>
                </c:pt>
                <c:pt idx="403">
                  <c:v>23470</c:v>
                </c:pt>
                <c:pt idx="404">
                  <c:v>23290</c:v>
                </c:pt>
                <c:pt idx="405">
                  <c:v>23180</c:v>
                </c:pt>
                <c:pt idx="406">
                  <c:v>23250</c:v>
                </c:pt>
                <c:pt idx="407">
                  <c:v>23270</c:v>
                </c:pt>
                <c:pt idx="408">
                  <c:v>23150</c:v>
                </c:pt>
                <c:pt idx="409">
                  <c:v>23110</c:v>
                </c:pt>
                <c:pt idx="410">
                  <c:v>23260</c:v>
                </c:pt>
                <c:pt idx="411">
                  <c:v>23410</c:v>
                </c:pt>
                <c:pt idx="412">
                  <c:v>23530</c:v>
                </c:pt>
                <c:pt idx="413">
                  <c:v>23630</c:v>
                </c:pt>
                <c:pt idx="414">
                  <c:v>24160</c:v>
                </c:pt>
                <c:pt idx="415">
                  <c:v>24640</c:v>
                </c:pt>
                <c:pt idx="416">
                  <c:v>24870</c:v>
                </c:pt>
                <c:pt idx="417">
                  <c:v>25130</c:v>
                </c:pt>
                <c:pt idx="418">
                  <c:v>25960</c:v>
                </c:pt>
                <c:pt idx="419">
                  <c:v>26910</c:v>
                </c:pt>
                <c:pt idx="420">
                  <c:v>25900</c:v>
                </c:pt>
                <c:pt idx="421">
                  <c:v>24100</c:v>
                </c:pt>
                <c:pt idx="422">
                  <c:v>23480</c:v>
                </c:pt>
                <c:pt idx="423">
                  <c:v>23240</c:v>
                </c:pt>
                <c:pt idx="424">
                  <c:v>23490</c:v>
                </c:pt>
                <c:pt idx="425">
                  <c:v>23360</c:v>
                </c:pt>
                <c:pt idx="426">
                  <c:v>23430</c:v>
                </c:pt>
                <c:pt idx="427">
                  <c:v>23470</c:v>
                </c:pt>
                <c:pt idx="428">
                  <c:v>23670</c:v>
                </c:pt>
                <c:pt idx="429">
                  <c:v>23600</c:v>
                </c:pt>
                <c:pt idx="430">
                  <c:v>23620</c:v>
                </c:pt>
                <c:pt idx="431">
                  <c:v>23670</c:v>
                </c:pt>
                <c:pt idx="432">
                  <c:v>23910</c:v>
                </c:pt>
                <c:pt idx="433">
                  <c:v>24160</c:v>
                </c:pt>
                <c:pt idx="434">
                  <c:v>24990</c:v>
                </c:pt>
                <c:pt idx="435">
                  <c:v>25520</c:v>
                </c:pt>
                <c:pt idx="436">
                  <c:v>24440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E8E-9645-926E-3830DABCE972}"/>
            </c:ext>
          </c:extLst>
        </c:ser>
        <c:ser>
          <c:idx val="14"/>
          <c:order val="14"/>
          <c:tx>
            <c:strRef>
              <c:f>balance_sheet!$S$5</c:f>
              <c:strCache>
                <c:ptCount val="1"/>
                <c:pt idx="0">
                  <c:v>Banking Department securities (inc. treasury bills) issued by Central Government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balance_sheet!$S$6:$S$1209</c:f>
              <c:numCache>
                <c:formatCode>0</c:formatCode>
                <c:ptCount val="1204"/>
                <c:pt idx="0">
                  <c:v>1371</c:v>
                </c:pt>
                <c:pt idx="1">
                  <c:v>1369</c:v>
                </c:pt>
                <c:pt idx="2">
                  <c:v>1369</c:v>
                </c:pt>
                <c:pt idx="3">
                  <c:v>1369</c:v>
                </c:pt>
                <c:pt idx="4">
                  <c:v>1369</c:v>
                </c:pt>
                <c:pt idx="5">
                  <c:v>1368</c:v>
                </c:pt>
                <c:pt idx="6">
                  <c:v>1366</c:v>
                </c:pt>
                <c:pt idx="7">
                  <c:v>1366</c:v>
                </c:pt>
                <c:pt idx="8">
                  <c:v>1368</c:v>
                </c:pt>
                <c:pt idx="9">
                  <c:v>1363</c:v>
                </c:pt>
                <c:pt idx="10">
                  <c:v>1376</c:v>
                </c:pt>
                <c:pt idx="11">
                  <c:v>1376</c:v>
                </c:pt>
                <c:pt idx="12">
                  <c:v>1377</c:v>
                </c:pt>
                <c:pt idx="13">
                  <c:v>1364</c:v>
                </c:pt>
                <c:pt idx="14">
                  <c:v>1364</c:v>
                </c:pt>
                <c:pt idx="15">
                  <c:v>1367</c:v>
                </c:pt>
                <c:pt idx="16">
                  <c:v>1366</c:v>
                </c:pt>
                <c:pt idx="17">
                  <c:v>1365</c:v>
                </c:pt>
                <c:pt idx="18">
                  <c:v>1369</c:v>
                </c:pt>
                <c:pt idx="19">
                  <c:v>1364</c:v>
                </c:pt>
                <c:pt idx="20">
                  <c:v>1356</c:v>
                </c:pt>
                <c:pt idx="21">
                  <c:v>1360</c:v>
                </c:pt>
                <c:pt idx="22">
                  <c:v>1361</c:v>
                </c:pt>
                <c:pt idx="23">
                  <c:v>1367</c:v>
                </c:pt>
                <c:pt idx="24">
                  <c:v>1369</c:v>
                </c:pt>
                <c:pt idx="25">
                  <c:v>1360</c:v>
                </c:pt>
                <c:pt idx="26">
                  <c:v>1361</c:v>
                </c:pt>
                <c:pt idx="27">
                  <c:v>1359</c:v>
                </c:pt>
                <c:pt idx="28">
                  <c:v>1359</c:v>
                </c:pt>
                <c:pt idx="29">
                  <c:v>1363</c:v>
                </c:pt>
                <c:pt idx="30">
                  <c:v>1382</c:v>
                </c:pt>
                <c:pt idx="31">
                  <c:v>1357</c:v>
                </c:pt>
                <c:pt idx="32">
                  <c:v>1358</c:v>
                </c:pt>
                <c:pt idx="33">
                  <c:v>1371</c:v>
                </c:pt>
                <c:pt idx="34">
                  <c:v>1378</c:v>
                </c:pt>
                <c:pt idx="35">
                  <c:v>1362</c:v>
                </c:pt>
                <c:pt idx="36">
                  <c:v>1363</c:v>
                </c:pt>
                <c:pt idx="37">
                  <c:v>1364</c:v>
                </c:pt>
                <c:pt idx="38">
                  <c:v>1368</c:v>
                </c:pt>
                <c:pt idx="39">
                  <c:v>1360</c:v>
                </c:pt>
                <c:pt idx="40">
                  <c:v>1359</c:v>
                </c:pt>
                <c:pt idx="41">
                  <c:v>1359</c:v>
                </c:pt>
                <c:pt idx="42">
                  <c:v>1374</c:v>
                </c:pt>
                <c:pt idx="43">
                  <c:v>1375</c:v>
                </c:pt>
                <c:pt idx="44">
                  <c:v>1360</c:v>
                </c:pt>
                <c:pt idx="45">
                  <c:v>1373</c:v>
                </c:pt>
                <c:pt idx="46">
                  <c:v>1368</c:v>
                </c:pt>
                <c:pt idx="47">
                  <c:v>1371</c:v>
                </c:pt>
                <c:pt idx="48">
                  <c:v>1361</c:v>
                </c:pt>
                <c:pt idx="49">
                  <c:v>1352</c:v>
                </c:pt>
                <c:pt idx="50">
                  <c:v>1352</c:v>
                </c:pt>
                <c:pt idx="51">
                  <c:v>1352</c:v>
                </c:pt>
                <c:pt idx="52">
                  <c:v>1356</c:v>
                </c:pt>
                <c:pt idx="53">
                  <c:v>1357</c:v>
                </c:pt>
                <c:pt idx="54">
                  <c:v>1357</c:v>
                </c:pt>
                <c:pt idx="55">
                  <c:v>1357</c:v>
                </c:pt>
                <c:pt idx="56">
                  <c:v>1353</c:v>
                </c:pt>
                <c:pt idx="57">
                  <c:v>1366</c:v>
                </c:pt>
                <c:pt idx="58">
                  <c:v>1366</c:v>
                </c:pt>
                <c:pt idx="59">
                  <c:v>1368</c:v>
                </c:pt>
                <c:pt idx="60">
                  <c:v>1358</c:v>
                </c:pt>
                <c:pt idx="61">
                  <c:v>1361</c:v>
                </c:pt>
                <c:pt idx="62">
                  <c:v>1362</c:v>
                </c:pt>
                <c:pt idx="63">
                  <c:v>1370</c:v>
                </c:pt>
                <c:pt idx="64">
                  <c:v>1255</c:v>
                </c:pt>
                <c:pt idx="65">
                  <c:v>1250</c:v>
                </c:pt>
                <c:pt idx="66">
                  <c:v>1250</c:v>
                </c:pt>
                <c:pt idx="67">
                  <c:v>1251</c:v>
                </c:pt>
                <c:pt idx="68">
                  <c:v>1251</c:v>
                </c:pt>
                <c:pt idx="69">
                  <c:v>1251</c:v>
                </c:pt>
                <c:pt idx="70">
                  <c:v>1260</c:v>
                </c:pt>
                <c:pt idx="71">
                  <c:v>1221</c:v>
                </c:pt>
                <c:pt idx="72">
                  <c:v>1223</c:v>
                </c:pt>
                <c:pt idx="73">
                  <c:v>1227</c:v>
                </c:pt>
                <c:pt idx="74">
                  <c:v>1214</c:v>
                </c:pt>
                <c:pt idx="75">
                  <c:v>1214</c:v>
                </c:pt>
                <c:pt idx="76">
                  <c:v>1214</c:v>
                </c:pt>
                <c:pt idx="77">
                  <c:v>1231</c:v>
                </c:pt>
                <c:pt idx="78">
                  <c:v>1213</c:v>
                </c:pt>
                <c:pt idx="79">
                  <c:v>1213</c:v>
                </c:pt>
                <c:pt idx="80">
                  <c:v>1514</c:v>
                </c:pt>
                <c:pt idx="81">
                  <c:v>1749</c:v>
                </c:pt>
                <c:pt idx="82">
                  <c:v>1525</c:v>
                </c:pt>
                <c:pt idx="83">
                  <c:v>1222</c:v>
                </c:pt>
                <c:pt idx="84">
                  <c:v>1214</c:v>
                </c:pt>
                <c:pt idx="85">
                  <c:v>1213</c:v>
                </c:pt>
                <c:pt idx="86">
                  <c:v>1213</c:v>
                </c:pt>
                <c:pt idx="87">
                  <c:v>1215</c:v>
                </c:pt>
                <c:pt idx="88">
                  <c:v>1219</c:v>
                </c:pt>
                <c:pt idx="89">
                  <c:v>1214</c:v>
                </c:pt>
                <c:pt idx="90">
                  <c:v>1219</c:v>
                </c:pt>
                <c:pt idx="91">
                  <c:v>1242</c:v>
                </c:pt>
                <c:pt idx="92">
                  <c:v>1278</c:v>
                </c:pt>
                <c:pt idx="93">
                  <c:v>1290</c:v>
                </c:pt>
                <c:pt idx="94">
                  <c:v>1311</c:v>
                </c:pt>
                <c:pt idx="95">
                  <c:v>1308</c:v>
                </c:pt>
                <c:pt idx="96">
                  <c:v>1308</c:v>
                </c:pt>
                <c:pt idx="97">
                  <c:v>1308</c:v>
                </c:pt>
                <c:pt idx="98">
                  <c:v>1280</c:v>
                </c:pt>
                <c:pt idx="99">
                  <c:v>1314</c:v>
                </c:pt>
                <c:pt idx="100">
                  <c:v>1315</c:v>
                </c:pt>
                <c:pt idx="101">
                  <c:v>1444</c:v>
                </c:pt>
                <c:pt idx="102">
                  <c:v>1317</c:v>
                </c:pt>
                <c:pt idx="103">
                  <c:v>1318</c:v>
                </c:pt>
                <c:pt idx="104">
                  <c:v>1317</c:v>
                </c:pt>
                <c:pt idx="105">
                  <c:v>1326</c:v>
                </c:pt>
                <c:pt idx="106">
                  <c:v>1351</c:v>
                </c:pt>
                <c:pt idx="107">
                  <c:v>1363</c:v>
                </c:pt>
                <c:pt idx="108">
                  <c:v>1363</c:v>
                </c:pt>
                <c:pt idx="109">
                  <c:v>1364</c:v>
                </c:pt>
                <c:pt idx="110">
                  <c:v>1364</c:v>
                </c:pt>
                <c:pt idx="111">
                  <c:v>1380</c:v>
                </c:pt>
                <c:pt idx="112">
                  <c:v>1406</c:v>
                </c:pt>
                <c:pt idx="113">
                  <c:v>1363</c:v>
                </c:pt>
                <c:pt idx="114">
                  <c:v>1358</c:v>
                </c:pt>
                <c:pt idx="115">
                  <c:v>1380</c:v>
                </c:pt>
                <c:pt idx="116">
                  <c:v>1380</c:v>
                </c:pt>
                <c:pt idx="117">
                  <c:v>1376</c:v>
                </c:pt>
                <c:pt idx="118">
                  <c:v>1376</c:v>
                </c:pt>
                <c:pt idx="119">
                  <c:v>1376</c:v>
                </c:pt>
                <c:pt idx="120">
                  <c:v>1376</c:v>
                </c:pt>
                <c:pt idx="121">
                  <c:v>1376</c:v>
                </c:pt>
                <c:pt idx="122">
                  <c:v>1376</c:v>
                </c:pt>
                <c:pt idx="123">
                  <c:v>1387</c:v>
                </c:pt>
                <c:pt idx="124">
                  <c:v>1409</c:v>
                </c:pt>
                <c:pt idx="125">
                  <c:v>1409</c:v>
                </c:pt>
                <c:pt idx="126">
                  <c:v>1408</c:v>
                </c:pt>
                <c:pt idx="127">
                  <c:v>1408</c:v>
                </c:pt>
                <c:pt idx="128">
                  <c:v>1408</c:v>
                </c:pt>
                <c:pt idx="129">
                  <c:v>1430</c:v>
                </c:pt>
                <c:pt idx="130">
                  <c:v>1430</c:v>
                </c:pt>
                <c:pt idx="131">
                  <c:v>1454</c:v>
                </c:pt>
                <c:pt idx="132">
                  <c:v>1431</c:v>
                </c:pt>
                <c:pt idx="133">
                  <c:v>1431</c:v>
                </c:pt>
                <c:pt idx="134">
                  <c:v>1453</c:v>
                </c:pt>
                <c:pt idx="135">
                  <c:v>1453</c:v>
                </c:pt>
                <c:pt idx="136">
                  <c:v>1464</c:v>
                </c:pt>
                <c:pt idx="137">
                  <c:v>1477</c:v>
                </c:pt>
                <c:pt idx="138">
                  <c:v>1477</c:v>
                </c:pt>
                <c:pt idx="139">
                  <c:v>1490</c:v>
                </c:pt>
                <c:pt idx="140">
                  <c:v>1503</c:v>
                </c:pt>
                <c:pt idx="141">
                  <c:v>1581</c:v>
                </c:pt>
                <c:pt idx="142">
                  <c:v>1503</c:v>
                </c:pt>
                <c:pt idx="143">
                  <c:v>1502</c:v>
                </c:pt>
                <c:pt idx="144">
                  <c:v>1502</c:v>
                </c:pt>
                <c:pt idx="145">
                  <c:v>1503</c:v>
                </c:pt>
                <c:pt idx="146">
                  <c:v>1503</c:v>
                </c:pt>
                <c:pt idx="147">
                  <c:v>1503</c:v>
                </c:pt>
                <c:pt idx="148">
                  <c:v>1501</c:v>
                </c:pt>
                <c:pt idx="149">
                  <c:v>1502</c:v>
                </c:pt>
                <c:pt idx="150">
                  <c:v>1507</c:v>
                </c:pt>
                <c:pt idx="151">
                  <c:v>1502</c:v>
                </c:pt>
                <c:pt idx="152">
                  <c:v>1502</c:v>
                </c:pt>
                <c:pt idx="153">
                  <c:v>1501</c:v>
                </c:pt>
                <c:pt idx="154">
                  <c:v>1504</c:v>
                </c:pt>
                <c:pt idx="155">
                  <c:v>1504</c:v>
                </c:pt>
                <c:pt idx="156">
                  <c:v>1504</c:v>
                </c:pt>
                <c:pt idx="157">
                  <c:v>1502</c:v>
                </c:pt>
                <c:pt idx="158">
                  <c:v>1502</c:v>
                </c:pt>
                <c:pt idx="159">
                  <c:v>1502</c:v>
                </c:pt>
                <c:pt idx="160">
                  <c:v>1527</c:v>
                </c:pt>
                <c:pt idx="161">
                  <c:v>1527</c:v>
                </c:pt>
                <c:pt idx="162">
                  <c:v>1550</c:v>
                </c:pt>
                <c:pt idx="163">
                  <c:v>1561</c:v>
                </c:pt>
                <c:pt idx="164">
                  <c:v>1610</c:v>
                </c:pt>
                <c:pt idx="165">
                  <c:v>1604</c:v>
                </c:pt>
                <c:pt idx="166">
                  <c:v>1604</c:v>
                </c:pt>
                <c:pt idx="167">
                  <c:v>1521</c:v>
                </c:pt>
                <c:pt idx="168">
                  <c:v>1521</c:v>
                </c:pt>
                <c:pt idx="169">
                  <c:v>1510</c:v>
                </c:pt>
                <c:pt idx="170">
                  <c:v>1966</c:v>
                </c:pt>
                <c:pt idx="171">
                  <c:v>1592</c:v>
                </c:pt>
                <c:pt idx="172">
                  <c:v>1618</c:v>
                </c:pt>
                <c:pt idx="173">
                  <c:v>1643</c:v>
                </c:pt>
                <c:pt idx="174">
                  <c:v>1643</c:v>
                </c:pt>
                <c:pt idx="175">
                  <c:v>1668</c:v>
                </c:pt>
                <c:pt idx="176">
                  <c:v>1694</c:v>
                </c:pt>
                <c:pt idx="177">
                  <c:v>1733</c:v>
                </c:pt>
                <c:pt idx="178">
                  <c:v>1733</c:v>
                </c:pt>
                <c:pt idx="179">
                  <c:v>1746</c:v>
                </c:pt>
                <c:pt idx="180">
                  <c:v>1746</c:v>
                </c:pt>
                <c:pt idx="181">
                  <c:v>1759</c:v>
                </c:pt>
                <c:pt idx="182">
                  <c:v>1798</c:v>
                </c:pt>
                <c:pt idx="183">
                  <c:v>1798</c:v>
                </c:pt>
                <c:pt idx="184">
                  <c:v>1798</c:v>
                </c:pt>
                <c:pt idx="185">
                  <c:v>1798</c:v>
                </c:pt>
                <c:pt idx="186">
                  <c:v>1798</c:v>
                </c:pt>
                <c:pt idx="187">
                  <c:v>1798</c:v>
                </c:pt>
                <c:pt idx="188">
                  <c:v>1798</c:v>
                </c:pt>
                <c:pt idx="189">
                  <c:v>1798</c:v>
                </c:pt>
                <c:pt idx="190">
                  <c:v>1798</c:v>
                </c:pt>
                <c:pt idx="191">
                  <c:v>1796</c:v>
                </c:pt>
                <c:pt idx="192">
                  <c:v>1796</c:v>
                </c:pt>
                <c:pt idx="193">
                  <c:v>1796</c:v>
                </c:pt>
                <c:pt idx="194">
                  <c:v>1796</c:v>
                </c:pt>
                <c:pt idx="195">
                  <c:v>1796</c:v>
                </c:pt>
                <c:pt idx="196">
                  <c:v>1796</c:v>
                </c:pt>
                <c:pt idx="197">
                  <c:v>1796</c:v>
                </c:pt>
                <c:pt idx="198">
                  <c:v>1796</c:v>
                </c:pt>
                <c:pt idx="199">
                  <c:v>1796</c:v>
                </c:pt>
                <c:pt idx="200">
                  <c:v>1796</c:v>
                </c:pt>
                <c:pt idx="201">
                  <c:v>1796</c:v>
                </c:pt>
                <c:pt idx="202">
                  <c:v>1796</c:v>
                </c:pt>
                <c:pt idx="203">
                  <c:v>1796</c:v>
                </c:pt>
                <c:pt idx="204">
                  <c:v>1795</c:v>
                </c:pt>
                <c:pt idx="205">
                  <c:v>1795</c:v>
                </c:pt>
                <c:pt idx="206">
                  <c:v>1795</c:v>
                </c:pt>
                <c:pt idx="207">
                  <c:v>1795</c:v>
                </c:pt>
                <c:pt idx="208">
                  <c:v>1795</c:v>
                </c:pt>
                <c:pt idx="209">
                  <c:v>1801</c:v>
                </c:pt>
                <c:pt idx="210">
                  <c:v>1801</c:v>
                </c:pt>
                <c:pt idx="211">
                  <c:v>1801</c:v>
                </c:pt>
                <c:pt idx="212">
                  <c:v>1801</c:v>
                </c:pt>
                <c:pt idx="213">
                  <c:v>1801</c:v>
                </c:pt>
                <c:pt idx="214">
                  <c:v>1801</c:v>
                </c:pt>
                <c:pt idx="215">
                  <c:v>1801</c:v>
                </c:pt>
                <c:pt idx="216">
                  <c:v>1801</c:v>
                </c:pt>
                <c:pt idx="217">
                  <c:v>1801</c:v>
                </c:pt>
                <c:pt idx="218">
                  <c:v>1799</c:v>
                </c:pt>
                <c:pt idx="219">
                  <c:v>1799</c:v>
                </c:pt>
                <c:pt idx="220">
                  <c:v>1799</c:v>
                </c:pt>
                <c:pt idx="221">
                  <c:v>1799</c:v>
                </c:pt>
                <c:pt idx="222">
                  <c:v>1799</c:v>
                </c:pt>
                <c:pt idx="223">
                  <c:v>1799</c:v>
                </c:pt>
                <c:pt idx="224">
                  <c:v>1780</c:v>
                </c:pt>
                <c:pt idx="225">
                  <c:v>1781</c:v>
                </c:pt>
                <c:pt idx="226">
                  <c:v>1761</c:v>
                </c:pt>
                <c:pt idx="227">
                  <c:v>1761</c:v>
                </c:pt>
                <c:pt idx="228">
                  <c:v>1761</c:v>
                </c:pt>
                <c:pt idx="229">
                  <c:v>1760</c:v>
                </c:pt>
                <c:pt idx="230">
                  <c:v>1760</c:v>
                </c:pt>
                <c:pt idx="231">
                  <c:v>1760</c:v>
                </c:pt>
                <c:pt idx="232">
                  <c:v>1760</c:v>
                </c:pt>
                <c:pt idx="233">
                  <c:v>1760</c:v>
                </c:pt>
                <c:pt idx="234">
                  <c:v>1757</c:v>
                </c:pt>
                <c:pt idx="235">
                  <c:v>1757</c:v>
                </c:pt>
                <c:pt idx="236">
                  <c:v>1757</c:v>
                </c:pt>
                <c:pt idx="237">
                  <c:v>1756</c:v>
                </c:pt>
                <c:pt idx="238">
                  <c:v>1756</c:v>
                </c:pt>
                <c:pt idx="239">
                  <c:v>1756</c:v>
                </c:pt>
                <c:pt idx="240">
                  <c:v>1756</c:v>
                </c:pt>
                <c:pt idx="241">
                  <c:v>1756</c:v>
                </c:pt>
                <c:pt idx="242">
                  <c:v>1756</c:v>
                </c:pt>
                <c:pt idx="243">
                  <c:v>1686</c:v>
                </c:pt>
                <c:pt idx="244">
                  <c:v>1686</c:v>
                </c:pt>
                <c:pt idx="245">
                  <c:v>1685</c:v>
                </c:pt>
                <c:pt idx="246">
                  <c:v>1685</c:v>
                </c:pt>
                <c:pt idx="247">
                  <c:v>1685</c:v>
                </c:pt>
                <c:pt idx="248">
                  <c:v>1685</c:v>
                </c:pt>
                <c:pt idx="249">
                  <c:v>1592</c:v>
                </c:pt>
                <c:pt idx="250">
                  <c:v>1592</c:v>
                </c:pt>
                <c:pt idx="251">
                  <c:v>1592</c:v>
                </c:pt>
                <c:pt idx="252">
                  <c:v>1592</c:v>
                </c:pt>
                <c:pt idx="253">
                  <c:v>1592</c:v>
                </c:pt>
                <c:pt idx="254">
                  <c:v>1591</c:v>
                </c:pt>
                <c:pt idx="255">
                  <c:v>1591</c:v>
                </c:pt>
                <c:pt idx="256">
                  <c:v>1510</c:v>
                </c:pt>
                <c:pt idx="257">
                  <c:v>1510</c:v>
                </c:pt>
                <c:pt idx="258">
                  <c:v>1510</c:v>
                </c:pt>
                <c:pt idx="259">
                  <c:v>1510</c:v>
                </c:pt>
                <c:pt idx="260">
                  <c:v>1510</c:v>
                </c:pt>
                <c:pt idx="261">
                  <c:v>1510</c:v>
                </c:pt>
                <c:pt idx="262">
                  <c:v>1510</c:v>
                </c:pt>
                <c:pt idx="263">
                  <c:v>1510</c:v>
                </c:pt>
                <c:pt idx="264">
                  <c:v>1510</c:v>
                </c:pt>
                <c:pt idx="265">
                  <c:v>1510</c:v>
                </c:pt>
                <c:pt idx="266">
                  <c:v>1509</c:v>
                </c:pt>
                <c:pt idx="267">
                  <c:v>1509</c:v>
                </c:pt>
                <c:pt idx="268">
                  <c:v>1509</c:v>
                </c:pt>
                <c:pt idx="269">
                  <c:v>1538</c:v>
                </c:pt>
                <c:pt idx="270">
                  <c:v>1638</c:v>
                </c:pt>
                <c:pt idx="271">
                  <c:v>1699</c:v>
                </c:pt>
                <c:pt idx="272">
                  <c:v>1699</c:v>
                </c:pt>
                <c:pt idx="273">
                  <c:v>1699</c:v>
                </c:pt>
                <c:pt idx="274">
                  <c:v>1698</c:v>
                </c:pt>
                <c:pt idx="275">
                  <c:v>1698</c:v>
                </c:pt>
                <c:pt idx="276">
                  <c:v>1698</c:v>
                </c:pt>
                <c:pt idx="277">
                  <c:v>1704</c:v>
                </c:pt>
                <c:pt idx="278">
                  <c:v>1704</c:v>
                </c:pt>
                <c:pt idx="279">
                  <c:v>1704</c:v>
                </c:pt>
                <c:pt idx="280">
                  <c:v>1704</c:v>
                </c:pt>
                <c:pt idx="281">
                  <c:v>1703</c:v>
                </c:pt>
                <c:pt idx="282">
                  <c:v>1703</c:v>
                </c:pt>
                <c:pt idx="283">
                  <c:v>1633</c:v>
                </c:pt>
                <c:pt idx="284">
                  <c:v>1633</c:v>
                </c:pt>
                <c:pt idx="285">
                  <c:v>1633</c:v>
                </c:pt>
                <c:pt idx="286">
                  <c:v>1613</c:v>
                </c:pt>
                <c:pt idx="287">
                  <c:v>1612</c:v>
                </c:pt>
                <c:pt idx="288">
                  <c:v>1612</c:v>
                </c:pt>
                <c:pt idx="289">
                  <c:v>1632</c:v>
                </c:pt>
                <c:pt idx="290">
                  <c:v>1632</c:v>
                </c:pt>
                <c:pt idx="291">
                  <c:v>1632</c:v>
                </c:pt>
                <c:pt idx="292">
                  <c:v>1632</c:v>
                </c:pt>
                <c:pt idx="293">
                  <c:v>1638</c:v>
                </c:pt>
                <c:pt idx="294">
                  <c:v>1670</c:v>
                </c:pt>
                <c:pt idx="295">
                  <c:v>1670</c:v>
                </c:pt>
                <c:pt idx="296">
                  <c:v>1676</c:v>
                </c:pt>
                <c:pt idx="297">
                  <c:v>1676</c:v>
                </c:pt>
                <c:pt idx="298">
                  <c:v>1676</c:v>
                </c:pt>
                <c:pt idx="299">
                  <c:v>1676</c:v>
                </c:pt>
                <c:pt idx="300">
                  <c:v>1675</c:v>
                </c:pt>
                <c:pt idx="301">
                  <c:v>1675</c:v>
                </c:pt>
                <c:pt idx="302">
                  <c:v>1675</c:v>
                </c:pt>
                <c:pt idx="303">
                  <c:v>1675</c:v>
                </c:pt>
                <c:pt idx="304">
                  <c:v>1674</c:v>
                </c:pt>
                <c:pt idx="305">
                  <c:v>1674</c:v>
                </c:pt>
                <c:pt idx="306">
                  <c:v>1674</c:v>
                </c:pt>
                <c:pt idx="307">
                  <c:v>1674</c:v>
                </c:pt>
                <c:pt idx="308">
                  <c:v>1674</c:v>
                </c:pt>
                <c:pt idx="309">
                  <c:v>1673</c:v>
                </c:pt>
                <c:pt idx="310">
                  <c:v>1673</c:v>
                </c:pt>
                <c:pt idx="311">
                  <c:v>1673</c:v>
                </c:pt>
                <c:pt idx="312">
                  <c:v>1673</c:v>
                </c:pt>
                <c:pt idx="313">
                  <c:v>1672</c:v>
                </c:pt>
                <c:pt idx="314">
                  <c:v>1672</c:v>
                </c:pt>
                <c:pt idx="315">
                  <c:v>1672</c:v>
                </c:pt>
                <c:pt idx="316">
                  <c:v>1672</c:v>
                </c:pt>
                <c:pt idx="317">
                  <c:v>1671</c:v>
                </c:pt>
                <c:pt idx="318">
                  <c:v>1726</c:v>
                </c:pt>
                <c:pt idx="319">
                  <c:v>1671</c:v>
                </c:pt>
                <c:pt idx="320">
                  <c:v>1698</c:v>
                </c:pt>
                <c:pt idx="321">
                  <c:v>1712</c:v>
                </c:pt>
                <c:pt idx="322">
                  <c:v>1726</c:v>
                </c:pt>
                <c:pt idx="323">
                  <c:v>1760</c:v>
                </c:pt>
                <c:pt idx="324">
                  <c:v>1760</c:v>
                </c:pt>
                <c:pt idx="325">
                  <c:v>1760</c:v>
                </c:pt>
                <c:pt idx="326">
                  <c:v>1759</c:v>
                </c:pt>
                <c:pt idx="327">
                  <c:v>1774</c:v>
                </c:pt>
                <c:pt idx="328">
                  <c:v>1774</c:v>
                </c:pt>
                <c:pt idx="329">
                  <c:v>1774</c:v>
                </c:pt>
                <c:pt idx="330">
                  <c:v>1773</c:v>
                </c:pt>
                <c:pt idx="331">
                  <c:v>1773</c:v>
                </c:pt>
                <c:pt idx="332">
                  <c:v>1788</c:v>
                </c:pt>
                <c:pt idx="333">
                  <c:v>1787</c:v>
                </c:pt>
                <c:pt idx="334">
                  <c:v>1787</c:v>
                </c:pt>
                <c:pt idx="335">
                  <c:v>1787</c:v>
                </c:pt>
                <c:pt idx="336">
                  <c:v>1802</c:v>
                </c:pt>
                <c:pt idx="337">
                  <c:v>1801</c:v>
                </c:pt>
                <c:pt idx="338">
                  <c:v>1801</c:v>
                </c:pt>
                <c:pt idx="339">
                  <c:v>1801</c:v>
                </c:pt>
                <c:pt idx="340">
                  <c:v>1816</c:v>
                </c:pt>
                <c:pt idx="341">
                  <c:v>1816</c:v>
                </c:pt>
                <c:pt idx="342">
                  <c:v>1816</c:v>
                </c:pt>
                <c:pt idx="343">
                  <c:v>1816</c:v>
                </c:pt>
                <c:pt idx="344">
                  <c:v>1815</c:v>
                </c:pt>
                <c:pt idx="345">
                  <c:v>1831</c:v>
                </c:pt>
                <c:pt idx="346">
                  <c:v>1831</c:v>
                </c:pt>
                <c:pt idx="347">
                  <c:v>1830</c:v>
                </c:pt>
                <c:pt idx="348">
                  <c:v>1830</c:v>
                </c:pt>
                <c:pt idx="349">
                  <c:v>1830</c:v>
                </c:pt>
                <c:pt idx="350">
                  <c:v>1846</c:v>
                </c:pt>
                <c:pt idx="351">
                  <c:v>1845</c:v>
                </c:pt>
                <c:pt idx="352">
                  <c:v>1845</c:v>
                </c:pt>
                <c:pt idx="353">
                  <c:v>1845</c:v>
                </c:pt>
                <c:pt idx="354">
                  <c:v>1861</c:v>
                </c:pt>
                <c:pt idx="355">
                  <c:v>1860</c:v>
                </c:pt>
                <c:pt idx="356">
                  <c:v>1860</c:v>
                </c:pt>
                <c:pt idx="357">
                  <c:v>1860</c:v>
                </c:pt>
                <c:pt idx="358">
                  <c:v>1796</c:v>
                </c:pt>
                <c:pt idx="359">
                  <c:v>1796</c:v>
                </c:pt>
                <c:pt idx="360">
                  <c:v>1796</c:v>
                </c:pt>
                <c:pt idx="361">
                  <c:v>1795</c:v>
                </c:pt>
                <c:pt idx="362">
                  <c:v>1795</c:v>
                </c:pt>
                <c:pt idx="363">
                  <c:v>1811</c:v>
                </c:pt>
                <c:pt idx="364">
                  <c:v>1811</c:v>
                </c:pt>
                <c:pt idx="365">
                  <c:v>1810</c:v>
                </c:pt>
                <c:pt idx="366">
                  <c:v>1810</c:v>
                </c:pt>
                <c:pt idx="367">
                  <c:v>1810</c:v>
                </c:pt>
                <c:pt idx="368">
                  <c:v>1809</c:v>
                </c:pt>
                <c:pt idx="369">
                  <c:v>1809</c:v>
                </c:pt>
                <c:pt idx="370">
                  <c:v>1809</c:v>
                </c:pt>
                <c:pt idx="371">
                  <c:v>1808</c:v>
                </c:pt>
                <c:pt idx="372">
                  <c:v>1824</c:v>
                </c:pt>
                <c:pt idx="373">
                  <c:v>1824</c:v>
                </c:pt>
                <c:pt idx="374">
                  <c:v>1823</c:v>
                </c:pt>
                <c:pt idx="375">
                  <c:v>1823</c:v>
                </c:pt>
                <c:pt idx="376">
                  <c:v>1839</c:v>
                </c:pt>
                <c:pt idx="377">
                  <c:v>1838</c:v>
                </c:pt>
                <c:pt idx="378">
                  <c:v>1838</c:v>
                </c:pt>
                <c:pt idx="379">
                  <c:v>1838</c:v>
                </c:pt>
                <c:pt idx="380">
                  <c:v>1838</c:v>
                </c:pt>
                <c:pt idx="381">
                  <c:v>1869</c:v>
                </c:pt>
                <c:pt idx="382">
                  <c:v>1868</c:v>
                </c:pt>
                <c:pt idx="383">
                  <c:v>1749</c:v>
                </c:pt>
                <c:pt idx="384">
                  <c:v>1780</c:v>
                </c:pt>
                <c:pt idx="385">
                  <c:v>1780</c:v>
                </c:pt>
                <c:pt idx="386">
                  <c:v>1780</c:v>
                </c:pt>
                <c:pt idx="387">
                  <c:v>1779</c:v>
                </c:pt>
                <c:pt idx="388">
                  <c:v>1779</c:v>
                </c:pt>
                <c:pt idx="389">
                  <c:v>1810</c:v>
                </c:pt>
                <c:pt idx="390">
                  <c:v>1810</c:v>
                </c:pt>
                <c:pt idx="391">
                  <c:v>1809</c:v>
                </c:pt>
                <c:pt idx="392">
                  <c:v>1809</c:v>
                </c:pt>
                <c:pt idx="393">
                  <c:v>1840</c:v>
                </c:pt>
                <c:pt idx="394">
                  <c:v>1840</c:v>
                </c:pt>
                <c:pt idx="395">
                  <c:v>1839</c:v>
                </c:pt>
                <c:pt idx="396">
                  <c:v>1839</c:v>
                </c:pt>
                <c:pt idx="397">
                  <c:v>1870</c:v>
                </c:pt>
                <c:pt idx="398">
                  <c:v>1870</c:v>
                </c:pt>
                <c:pt idx="399">
                  <c:v>1869</c:v>
                </c:pt>
                <c:pt idx="400">
                  <c:v>1869</c:v>
                </c:pt>
                <c:pt idx="401">
                  <c:v>1869</c:v>
                </c:pt>
                <c:pt idx="402">
                  <c:v>1900</c:v>
                </c:pt>
                <c:pt idx="403">
                  <c:v>1899</c:v>
                </c:pt>
                <c:pt idx="404">
                  <c:v>1899</c:v>
                </c:pt>
                <c:pt idx="405">
                  <c:v>1899</c:v>
                </c:pt>
                <c:pt idx="406">
                  <c:v>1898</c:v>
                </c:pt>
                <c:pt idx="407">
                  <c:v>1929</c:v>
                </c:pt>
                <c:pt idx="408">
                  <c:v>1929</c:v>
                </c:pt>
                <c:pt idx="409">
                  <c:v>1929</c:v>
                </c:pt>
                <c:pt idx="410">
                  <c:v>2052</c:v>
                </c:pt>
                <c:pt idx="411">
                  <c:v>2083</c:v>
                </c:pt>
                <c:pt idx="412">
                  <c:v>2079</c:v>
                </c:pt>
                <c:pt idx="413">
                  <c:v>2099</c:v>
                </c:pt>
                <c:pt idx="414">
                  <c:v>2096</c:v>
                </c:pt>
                <c:pt idx="415">
                  <c:v>2127</c:v>
                </c:pt>
                <c:pt idx="416">
                  <c:v>2120</c:v>
                </c:pt>
                <c:pt idx="417">
                  <c:v>2119</c:v>
                </c:pt>
                <c:pt idx="418">
                  <c:v>2126</c:v>
                </c:pt>
                <c:pt idx="419">
                  <c:v>2129</c:v>
                </c:pt>
                <c:pt idx="420">
                  <c:v>2137</c:v>
                </c:pt>
                <c:pt idx="421">
                  <c:v>2131</c:v>
                </c:pt>
                <c:pt idx="422">
                  <c:v>2142</c:v>
                </c:pt>
                <c:pt idx="423">
                  <c:v>2127</c:v>
                </c:pt>
                <c:pt idx="424">
                  <c:v>2167</c:v>
                </c:pt>
                <c:pt idx="425">
                  <c:v>2166</c:v>
                </c:pt>
                <c:pt idx="426">
                  <c:v>2168</c:v>
                </c:pt>
                <c:pt idx="427">
                  <c:v>2173</c:v>
                </c:pt>
                <c:pt idx="428">
                  <c:v>2213</c:v>
                </c:pt>
                <c:pt idx="429">
                  <c:v>2202</c:v>
                </c:pt>
                <c:pt idx="430">
                  <c:v>2197</c:v>
                </c:pt>
                <c:pt idx="431">
                  <c:v>2196</c:v>
                </c:pt>
                <c:pt idx="432">
                  <c:v>2226</c:v>
                </c:pt>
                <c:pt idx="433">
                  <c:v>2227</c:v>
                </c:pt>
                <c:pt idx="434">
                  <c:v>2219</c:v>
                </c:pt>
                <c:pt idx="435">
                  <c:v>2212</c:v>
                </c:pt>
                <c:pt idx="436">
                  <c:v>2194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8E-9645-926E-3830DABCE972}"/>
            </c:ext>
          </c:extLst>
        </c:ser>
        <c:ser>
          <c:idx val="15"/>
          <c:order val="15"/>
          <c:tx>
            <c:strRef>
              <c:f>balance_sheet!$T$5</c:f>
              <c:strCache>
                <c:ptCount val="1"/>
                <c:pt idx="0">
                  <c:v>Advances and other account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balance_sheet!$T$6:$T$1209</c:f>
              <c:numCache>
                <c:formatCode>0</c:formatCode>
                <c:ptCount val="1204"/>
                <c:pt idx="0">
                  <c:v>6930</c:v>
                </c:pt>
                <c:pt idx="1">
                  <c:v>6617</c:v>
                </c:pt>
                <c:pt idx="2">
                  <c:v>6837</c:v>
                </c:pt>
                <c:pt idx="3">
                  <c:v>6637</c:v>
                </c:pt>
                <c:pt idx="4">
                  <c:v>8691</c:v>
                </c:pt>
                <c:pt idx="5">
                  <c:v>8809</c:v>
                </c:pt>
                <c:pt idx="6">
                  <c:v>8829</c:v>
                </c:pt>
                <c:pt idx="7">
                  <c:v>8650</c:v>
                </c:pt>
                <c:pt idx="8">
                  <c:v>8555</c:v>
                </c:pt>
                <c:pt idx="9">
                  <c:v>7477</c:v>
                </c:pt>
                <c:pt idx="10">
                  <c:v>5982</c:v>
                </c:pt>
                <c:pt idx="11">
                  <c:v>5016</c:v>
                </c:pt>
                <c:pt idx="12">
                  <c:v>3667</c:v>
                </c:pt>
                <c:pt idx="13">
                  <c:v>4227</c:v>
                </c:pt>
                <c:pt idx="14">
                  <c:v>4447</c:v>
                </c:pt>
                <c:pt idx="15">
                  <c:v>4384</c:v>
                </c:pt>
                <c:pt idx="16">
                  <c:v>4520</c:v>
                </c:pt>
                <c:pt idx="17">
                  <c:v>4563</c:v>
                </c:pt>
                <c:pt idx="18">
                  <c:v>3011</c:v>
                </c:pt>
                <c:pt idx="19">
                  <c:v>3941</c:v>
                </c:pt>
                <c:pt idx="20">
                  <c:v>4001</c:v>
                </c:pt>
                <c:pt idx="21">
                  <c:v>3649</c:v>
                </c:pt>
                <c:pt idx="22">
                  <c:v>4176</c:v>
                </c:pt>
                <c:pt idx="23">
                  <c:v>3149</c:v>
                </c:pt>
                <c:pt idx="24">
                  <c:v>3134</c:v>
                </c:pt>
                <c:pt idx="25">
                  <c:v>3336</c:v>
                </c:pt>
                <c:pt idx="26">
                  <c:v>3806</c:v>
                </c:pt>
                <c:pt idx="27">
                  <c:v>4126</c:v>
                </c:pt>
                <c:pt idx="28">
                  <c:v>3542</c:v>
                </c:pt>
                <c:pt idx="29">
                  <c:v>3582</c:v>
                </c:pt>
                <c:pt idx="30">
                  <c:v>4643</c:v>
                </c:pt>
                <c:pt idx="31">
                  <c:v>3477</c:v>
                </c:pt>
                <c:pt idx="32">
                  <c:v>3668</c:v>
                </c:pt>
                <c:pt idx="33">
                  <c:v>3676</c:v>
                </c:pt>
                <c:pt idx="34">
                  <c:v>4297</c:v>
                </c:pt>
                <c:pt idx="35">
                  <c:v>4217</c:v>
                </c:pt>
                <c:pt idx="36">
                  <c:v>3609</c:v>
                </c:pt>
                <c:pt idx="37">
                  <c:v>3517</c:v>
                </c:pt>
                <c:pt idx="38">
                  <c:v>3586</c:v>
                </c:pt>
                <c:pt idx="39">
                  <c:v>6850</c:v>
                </c:pt>
                <c:pt idx="40">
                  <c:v>3863</c:v>
                </c:pt>
                <c:pt idx="41">
                  <c:v>4333</c:v>
                </c:pt>
                <c:pt idx="42">
                  <c:v>4220</c:v>
                </c:pt>
                <c:pt idx="43">
                  <c:v>7177</c:v>
                </c:pt>
                <c:pt idx="44">
                  <c:v>4652</c:v>
                </c:pt>
                <c:pt idx="45">
                  <c:v>4547</c:v>
                </c:pt>
                <c:pt idx="46">
                  <c:v>4484</c:v>
                </c:pt>
                <c:pt idx="47">
                  <c:v>4313</c:v>
                </c:pt>
                <c:pt idx="48">
                  <c:v>3111</c:v>
                </c:pt>
                <c:pt idx="49">
                  <c:v>3302</c:v>
                </c:pt>
                <c:pt idx="50">
                  <c:v>4250</c:v>
                </c:pt>
                <c:pt idx="51">
                  <c:v>4992</c:v>
                </c:pt>
                <c:pt idx="52">
                  <c:v>17543</c:v>
                </c:pt>
                <c:pt idx="53">
                  <c:v>29789</c:v>
                </c:pt>
                <c:pt idx="54">
                  <c:v>41412</c:v>
                </c:pt>
                <c:pt idx="55">
                  <c:v>46941</c:v>
                </c:pt>
                <c:pt idx="56">
                  <c:v>61456</c:v>
                </c:pt>
                <c:pt idx="57">
                  <c:v>70184</c:v>
                </c:pt>
                <c:pt idx="58">
                  <c:v>74648</c:v>
                </c:pt>
                <c:pt idx="59">
                  <c:v>33163</c:v>
                </c:pt>
                <c:pt idx="60">
                  <c:v>18024</c:v>
                </c:pt>
                <c:pt idx="61">
                  <c:v>27521</c:v>
                </c:pt>
                <c:pt idx="62">
                  <c:v>27806</c:v>
                </c:pt>
                <c:pt idx="63">
                  <c:v>31215</c:v>
                </c:pt>
                <c:pt idx="64">
                  <c:v>44042</c:v>
                </c:pt>
                <c:pt idx="65">
                  <c:v>51380</c:v>
                </c:pt>
                <c:pt idx="66">
                  <c:v>61191</c:v>
                </c:pt>
                <c:pt idx="67">
                  <c:v>44575</c:v>
                </c:pt>
                <c:pt idx="68">
                  <c:v>42777</c:v>
                </c:pt>
                <c:pt idx="69">
                  <c:v>50976</c:v>
                </c:pt>
                <c:pt idx="70">
                  <c:v>63229</c:v>
                </c:pt>
                <c:pt idx="71">
                  <c:v>75266</c:v>
                </c:pt>
                <c:pt idx="72">
                  <c:v>83940</c:v>
                </c:pt>
                <c:pt idx="73">
                  <c:v>20572</c:v>
                </c:pt>
                <c:pt idx="74">
                  <c:v>32864</c:v>
                </c:pt>
                <c:pt idx="75">
                  <c:v>46182</c:v>
                </c:pt>
                <c:pt idx="76">
                  <c:v>65654</c:v>
                </c:pt>
                <c:pt idx="77">
                  <c:v>79634</c:v>
                </c:pt>
                <c:pt idx="78">
                  <c:v>93972</c:v>
                </c:pt>
                <c:pt idx="79">
                  <c:v>16382</c:v>
                </c:pt>
                <c:pt idx="80">
                  <c:v>21110</c:v>
                </c:pt>
                <c:pt idx="81">
                  <c:v>37230</c:v>
                </c:pt>
                <c:pt idx="82">
                  <c:v>51807</c:v>
                </c:pt>
                <c:pt idx="83">
                  <c:v>58956</c:v>
                </c:pt>
                <c:pt idx="84">
                  <c:v>69015</c:v>
                </c:pt>
                <c:pt idx="85">
                  <c:v>23487</c:v>
                </c:pt>
                <c:pt idx="86">
                  <c:v>34243</c:v>
                </c:pt>
                <c:pt idx="87">
                  <c:v>39925</c:v>
                </c:pt>
                <c:pt idx="88">
                  <c:v>49035</c:v>
                </c:pt>
                <c:pt idx="89">
                  <c:v>63264</c:v>
                </c:pt>
                <c:pt idx="90">
                  <c:v>26460</c:v>
                </c:pt>
                <c:pt idx="91">
                  <c:v>38223</c:v>
                </c:pt>
                <c:pt idx="92">
                  <c:v>53399</c:v>
                </c:pt>
                <c:pt idx="93">
                  <c:v>61077</c:v>
                </c:pt>
                <c:pt idx="94">
                  <c:v>26142</c:v>
                </c:pt>
                <c:pt idx="95">
                  <c:v>35346</c:v>
                </c:pt>
                <c:pt idx="96">
                  <c:v>48071</c:v>
                </c:pt>
                <c:pt idx="97">
                  <c:v>54553</c:v>
                </c:pt>
                <c:pt idx="98">
                  <c:v>16612</c:v>
                </c:pt>
                <c:pt idx="99">
                  <c:v>22336</c:v>
                </c:pt>
                <c:pt idx="100">
                  <c:v>35016</c:v>
                </c:pt>
                <c:pt idx="101">
                  <c:v>46895</c:v>
                </c:pt>
                <c:pt idx="102">
                  <c:v>17982</c:v>
                </c:pt>
                <c:pt idx="103">
                  <c:v>8896</c:v>
                </c:pt>
                <c:pt idx="104">
                  <c:v>11882</c:v>
                </c:pt>
                <c:pt idx="105">
                  <c:v>24727</c:v>
                </c:pt>
                <c:pt idx="106">
                  <c:v>37325</c:v>
                </c:pt>
                <c:pt idx="107">
                  <c:v>18727</c:v>
                </c:pt>
                <c:pt idx="108">
                  <c:v>29812</c:v>
                </c:pt>
                <c:pt idx="109">
                  <c:v>45894</c:v>
                </c:pt>
                <c:pt idx="110">
                  <c:v>51953</c:v>
                </c:pt>
                <c:pt idx="111">
                  <c:v>60195</c:v>
                </c:pt>
                <c:pt idx="112">
                  <c:v>19265</c:v>
                </c:pt>
                <c:pt idx="113">
                  <c:v>31103</c:v>
                </c:pt>
                <c:pt idx="114">
                  <c:v>40997</c:v>
                </c:pt>
                <c:pt idx="115">
                  <c:v>55927</c:v>
                </c:pt>
                <c:pt idx="116">
                  <c:v>18998</c:v>
                </c:pt>
                <c:pt idx="117">
                  <c:v>31556</c:v>
                </c:pt>
                <c:pt idx="118">
                  <c:v>36251</c:v>
                </c:pt>
                <c:pt idx="119">
                  <c:v>49710</c:v>
                </c:pt>
                <c:pt idx="120">
                  <c:v>55692</c:v>
                </c:pt>
                <c:pt idx="121">
                  <c:v>23136</c:v>
                </c:pt>
                <c:pt idx="122">
                  <c:v>28468</c:v>
                </c:pt>
                <c:pt idx="123">
                  <c:v>39831</c:v>
                </c:pt>
                <c:pt idx="124">
                  <c:v>49110</c:v>
                </c:pt>
                <c:pt idx="125">
                  <c:v>25548</c:v>
                </c:pt>
                <c:pt idx="126">
                  <c:v>39078</c:v>
                </c:pt>
                <c:pt idx="127">
                  <c:v>50642</c:v>
                </c:pt>
                <c:pt idx="128">
                  <c:v>60060</c:v>
                </c:pt>
                <c:pt idx="129">
                  <c:v>24447</c:v>
                </c:pt>
                <c:pt idx="130">
                  <c:v>34007</c:v>
                </c:pt>
                <c:pt idx="131">
                  <c:v>46646</c:v>
                </c:pt>
                <c:pt idx="132">
                  <c:v>56604</c:v>
                </c:pt>
                <c:pt idx="133">
                  <c:v>17232</c:v>
                </c:pt>
                <c:pt idx="134">
                  <c:v>31706</c:v>
                </c:pt>
                <c:pt idx="135">
                  <c:v>42818</c:v>
                </c:pt>
                <c:pt idx="136">
                  <c:v>50968</c:v>
                </c:pt>
                <c:pt idx="137">
                  <c:v>57903</c:v>
                </c:pt>
                <c:pt idx="138">
                  <c:v>17375</c:v>
                </c:pt>
                <c:pt idx="139">
                  <c:v>32521</c:v>
                </c:pt>
                <c:pt idx="140">
                  <c:v>42749</c:v>
                </c:pt>
                <c:pt idx="141">
                  <c:v>53271</c:v>
                </c:pt>
                <c:pt idx="142">
                  <c:v>19184</c:v>
                </c:pt>
                <c:pt idx="143">
                  <c:v>25873</c:v>
                </c:pt>
                <c:pt idx="144">
                  <c:v>37715</c:v>
                </c:pt>
                <c:pt idx="145">
                  <c:v>45004</c:v>
                </c:pt>
                <c:pt idx="146">
                  <c:v>54818</c:v>
                </c:pt>
                <c:pt idx="147">
                  <c:v>19327</c:v>
                </c:pt>
                <c:pt idx="148">
                  <c:v>27226</c:v>
                </c:pt>
                <c:pt idx="149">
                  <c:v>33546</c:v>
                </c:pt>
                <c:pt idx="150">
                  <c:v>55011</c:v>
                </c:pt>
                <c:pt idx="151">
                  <c:v>65937</c:v>
                </c:pt>
                <c:pt idx="152">
                  <c:v>6171</c:v>
                </c:pt>
                <c:pt idx="153">
                  <c:v>6571</c:v>
                </c:pt>
                <c:pt idx="154">
                  <c:v>6533</c:v>
                </c:pt>
                <c:pt idx="155">
                  <c:v>6557</c:v>
                </c:pt>
                <c:pt idx="156">
                  <c:v>6508</c:v>
                </c:pt>
                <c:pt idx="157">
                  <c:v>6318</c:v>
                </c:pt>
                <c:pt idx="158">
                  <c:v>7061</c:v>
                </c:pt>
                <c:pt idx="159">
                  <c:v>6020</c:v>
                </c:pt>
                <c:pt idx="160">
                  <c:v>6114</c:v>
                </c:pt>
                <c:pt idx="161">
                  <c:v>6477</c:v>
                </c:pt>
                <c:pt idx="162">
                  <c:v>6001</c:v>
                </c:pt>
                <c:pt idx="163">
                  <c:v>6410</c:v>
                </c:pt>
                <c:pt idx="164">
                  <c:v>6735</c:v>
                </c:pt>
                <c:pt idx="165">
                  <c:v>6939</c:v>
                </c:pt>
                <c:pt idx="166">
                  <c:v>6282</c:v>
                </c:pt>
                <c:pt idx="167">
                  <c:v>7888</c:v>
                </c:pt>
                <c:pt idx="168">
                  <c:v>6742</c:v>
                </c:pt>
                <c:pt idx="169">
                  <c:v>7073</c:v>
                </c:pt>
                <c:pt idx="170">
                  <c:v>6848</c:v>
                </c:pt>
                <c:pt idx="171">
                  <c:v>7935</c:v>
                </c:pt>
                <c:pt idx="172">
                  <c:v>6800</c:v>
                </c:pt>
                <c:pt idx="173">
                  <c:v>7138</c:v>
                </c:pt>
                <c:pt idx="174">
                  <c:v>7007</c:v>
                </c:pt>
                <c:pt idx="175">
                  <c:v>6769</c:v>
                </c:pt>
                <c:pt idx="176">
                  <c:v>7580</c:v>
                </c:pt>
                <c:pt idx="177">
                  <c:v>7329</c:v>
                </c:pt>
                <c:pt idx="178">
                  <c:v>6887</c:v>
                </c:pt>
                <c:pt idx="179">
                  <c:v>6935</c:v>
                </c:pt>
                <c:pt idx="180">
                  <c:v>6389</c:v>
                </c:pt>
                <c:pt idx="181">
                  <c:v>6640</c:v>
                </c:pt>
                <c:pt idx="182">
                  <c:v>6180</c:v>
                </c:pt>
                <c:pt idx="183">
                  <c:v>6175</c:v>
                </c:pt>
                <c:pt idx="184">
                  <c:v>7193</c:v>
                </c:pt>
                <c:pt idx="185">
                  <c:v>6203</c:v>
                </c:pt>
                <c:pt idx="186">
                  <c:v>6022</c:v>
                </c:pt>
                <c:pt idx="187">
                  <c:v>6051</c:v>
                </c:pt>
                <c:pt idx="188">
                  <c:v>6235</c:v>
                </c:pt>
                <c:pt idx="189">
                  <c:v>5834</c:v>
                </c:pt>
                <c:pt idx="190">
                  <c:v>5813</c:v>
                </c:pt>
                <c:pt idx="191">
                  <c:v>5897</c:v>
                </c:pt>
                <c:pt idx="192">
                  <c:v>6506</c:v>
                </c:pt>
                <c:pt idx="193">
                  <c:v>5773</c:v>
                </c:pt>
                <c:pt idx="194">
                  <c:v>5970</c:v>
                </c:pt>
                <c:pt idx="195">
                  <c:v>5865</c:v>
                </c:pt>
                <c:pt idx="196">
                  <c:v>5877</c:v>
                </c:pt>
                <c:pt idx="197">
                  <c:v>5573</c:v>
                </c:pt>
                <c:pt idx="198">
                  <c:v>5599</c:v>
                </c:pt>
                <c:pt idx="199">
                  <c:v>5623</c:v>
                </c:pt>
                <c:pt idx="200">
                  <c:v>7239</c:v>
                </c:pt>
                <c:pt idx="201">
                  <c:v>5673</c:v>
                </c:pt>
                <c:pt idx="202">
                  <c:v>5594</c:v>
                </c:pt>
                <c:pt idx="203">
                  <c:v>5592</c:v>
                </c:pt>
                <c:pt idx="204">
                  <c:v>5586</c:v>
                </c:pt>
                <c:pt idx="205">
                  <c:v>5969</c:v>
                </c:pt>
                <c:pt idx="206">
                  <c:v>6413</c:v>
                </c:pt>
                <c:pt idx="207">
                  <c:v>5537</c:v>
                </c:pt>
                <c:pt idx="208">
                  <c:v>5537</c:v>
                </c:pt>
                <c:pt idx="209">
                  <c:v>5264</c:v>
                </c:pt>
                <c:pt idx="210">
                  <c:v>5687</c:v>
                </c:pt>
                <c:pt idx="211">
                  <c:v>5443</c:v>
                </c:pt>
                <c:pt idx="212">
                  <c:v>6344</c:v>
                </c:pt>
                <c:pt idx="213">
                  <c:v>5728</c:v>
                </c:pt>
                <c:pt idx="214">
                  <c:v>5825</c:v>
                </c:pt>
                <c:pt idx="215">
                  <c:v>5410</c:v>
                </c:pt>
                <c:pt idx="216">
                  <c:v>5607</c:v>
                </c:pt>
                <c:pt idx="217">
                  <c:v>5676</c:v>
                </c:pt>
                <c:pt idx="218">
                  <c:v>5677</c:v>
                </c:pt>
                <c:pt idx="219">
                  <c:v>5571</c:v>
                </c:pt>
                <c:pt idx="220">
                  <c:v>5768</c:v>
                </c:pt>
                <c:pt idx="221">
                  <c:v>5743</c:v>
                </c:pt>
                <c:pt idx="222">
                  <c:v>5873</c:v>
                </c:pt>
                <c:pt idx="223">
                  <c:v>5801</c:v>
                </c:pt>
                <c:pt idx="224">
                  <c:v>5905</c:v>
                </c:pt>
                <c:pt idx="225">
                  <c:v>5650</c:v>
                </c:pt>
                <c:pt idx="226">
                  <c:v>5766</c:v>
                </c:pt>
                <c:pt idx="227">
                  <c:v>5589</c:v>
                </c:pt>
                <c:pt idx="228">
                  <c:v>5633</c:v>
                </c:pt>
                <c:pt idx="229">
                  <c:v>5881</c:v>
                </c:pt>
                <c:pt idx="230">
                  <c:v>6129</c:v>
                </c:pt>
                <c:pt idx="231">
                  <c:v>5878</c:v>
                </c:pt>
                <c:pt idx="232">
                  <c:v>6446</c:v>
                </c:pt>
                <c:pt idx="233">
                  <c:v>5717</c:v>
                </c:pt>
                <c:pt idx="234">
                  <c:v>5758</c:v>
                </c:pt>
                <c:pt idx="235">
                  <c:v>5896</c:v>
                </c:pt>
                <c:pt idx="236">
                  <c:v>5836</c:v>
                </c:pt>
                <c:pt idx="237">
                  <c:v>6314</c:v>
                </c:pt>
                <c:pt idx="238">
                  <c:v>6273</c:v>
                </c:pt>
                <c:pt idx="239">
                  <c:v>6441</c:v>
                </c:pt>
                <c:pt idx="240">
                  <c:v>6601</c:v>
                </c:pt>
                <c:pt idx="241">
                  <c:v>6346</c:v>
                </c:pt>
                <c:pt idx="242">
                  <c:v>6286</c:v>
                </c:pt>
                <c:pt idx="243">
                  <c:v>6459</c:v>
                </c:pt>
                <c:pt idx="244">
                  <c:v>6318</c:v>
                </c:pt>
                <c:pt idx="245">
                  <c:v>6270</c:v>
                </c:pt>
                <c:pt idx="246">
                  <c:v>6469</c:v>
                </c:pt>
                <c:pt idx="247">
                  <c:v>6628</c:v>
                </c:pt>
                <c:pt idx="248">
                  <c:v>6315</c:v>
                </c:pt>
                <c:pt idx="249">
                  <c:v>6569</c:v>
                </c:pt>
                <c:pt idx="250">
                  <c:v>6625</c:v>
                </c:pt>
                <c:pt idx="251">
                  <c:v>6933</c:v>
                </c:pt>
                <c:pt idx="252">
                  <c:v>6869</c:v>
                </c:pt>
                <c:pt idx="253">
                  <c:v>6985</c:v>
                </c:pt>
                <c:pt idx="254">
                  <c:v>6841</c:v>
                </c:pt>
                <c:pt idx="255">
                  <c:v>6822</c:v>
                </c:pt>
                <c:pt idx="256">
                  <c:v>6971</c:v>
                </c:pt>
                <c:pt idx="257">
                  <c:v>7450</c:v>
                </c:pt>
                <c:pt idx="258">
                  <c:v>7046</c:v>
                </c:pt>
                <c:pt idx="259">
                  <c:v>6938</c:v>
                </c:pt>
                <c:pt idx="260">
                  <c:v>7028</c:v>
                </c:pt>
                <c:pt idx="261">
                  <c:v>7028</c:v>
                </c:pt>
                <c:pt idx="262">
                  <c:v>7302</c:v>
                </c:pt>
                <c:pt idx="263">
                  <c:v>7302</c:v>
                </c:pt>
                <c:pt idx="264">
                  <c:v>7032</c:v>
                </c:pt>
                <c:pt idx="265">
                  <c:v>7046</c:v>
                </c:pt>
                <c:pt idx="266">
                  <c:v>6875</c:v>
                </c:pt>
                <c:pt idx="267">
                  <c:v>7685</c:v>
                </c:pt>
                <c:pt idx="268">
                  <c:v>7443</c:v>
                </c:pt>
                <c:pt idx="269">
                  <c:v>7137</c:v>
                </c:pt>
                <c:pt idx="270">
                  <c:v>7125</c:v>
                </c:pt>
                <c:pt idx="271">
                  <c:v>7024</c:v>
                </c:pt>
                <c:pt idx="272">
                  <c:v>6804</c:v>
                </c:pt>
                <c:pt idx="273">
                  <c:v>6828</c:v>
                </c:pt>
                <c:pt idx="274">
                  <c:v>6775</c:v>
                </c:pt>
                <c:pt idx="275">
                  <c:v>6579</c:v>
                </c:pt>
                <c:pt idx="276">
                  <c:v>6872</c:v>
                </c:pt>
                <c:pt idx="277">
                  <c:v>6928</c:v>
                </c:pt>
                <c:pt idx="278">
                  <c:v>6947</c:v>
                </c:pt>
                <c:pt idx="279">
                  <c:v>6943</c:v>
                </c:pt>
                <c:pt idx="280">
                  <c:v>7191</c:v>
                </c:pt>
                <c:pt idx="281">
                  <c:v>6970</c:v>
                </c:pt>
                <c:pt idx="282">
                  <c:v>6769</c:v>
                </c:pt>
                <c:pt idx="283">
                  <c:v>6812</c:v>
                </c:pt>
                <c:pt idx="284">
                  <c:v>7001</c:v>
                </c:pt>
                <c:pt idx="285">
                  <c:v>6659</c:v>
                </c:pt>
                <c:pt idx="286">
                  <c:v>7567</c:v>
                </c:pt>
                <c:pt idx="287">
                  <c:v>7057</c:v>
                </c:pt>
                <c:pt idx="288">
                  <c:v>7846</c:v>
                </c:pt>
                <c:pt idx="289">
                  <c:v>7155</c:v>
                </c:pt>
                <c:pt idx="290">
                  <c:v>7938</c:v>
                </c:pt>
                <c:pt idx="291">
                  <c:v>7494</c:v>
                </c:pt>
                <c:pt idx="292">
                  <c:v>8848</c:v>
                </c:pt>
                <c:pt idx="293">
                  <c:v>11965</c:v>
                </c:pt>
                <c:pt idx="294">
                  <c:v>8974</c:v>
                </c:pt>
                <c:pt idx="295">
                  <c:v>7710</c:v>
                </c:pt>
                <c:pt idx="296">
                  <c:v>8254</c:v>
                </c:pt>
                <c:pt idx="297">
                  <c:v>8963</c:v>
                </c:pt>
                <c:pt idx="298">
                  <c:v>7621</c:v>
                </c:pt>
                <c:pt idx="299">
                  <c:v>7790</c:v>
                </c:pt>
                <c:pt idx="300">
                  <c:v>6833</c:v>
                </c:pt>
                <c:pt idx="301">
                  <c:v>7157</c:v>
                </c:pt>
                <c:pt idx="302">
                  <c:v>7330</c:v>
                </c:pt>
                <c:pt idx="303">
                  <c:v>6642</c:v>
                </c:pt>
                <c:pt idx="304">
                  <c:v>7542</c:v>
                </c:pt>
                <c:pt idx="305">
                  <c:v>6700</c:v>
                </c:pt>
                <c:pt idx="306">
                  <c:v>6783</c:v>
                </c:pt>
                <c:pt idx="307">
                  <c:v>6854</c:v>
                </c:pt>
                <c:pt idx="308">
                  <c:v>7847</c:v>
                </c:pt>
                <c:pt idx="309">
                  <c:v>7495</c:v>
                </c:pt>
                <c:pt idx="310">
                  <c:v>8112</c:v>
                </c:pt>
                <c:pt idx="311">
                  <c:v>7817</c:v>
                </c:pt>
                <c:pt idx="312">
                  <c:v>9055</c:v>
                </c:pt>
                <c:pt idx="313">
                  <c:v>9173</c:v>
                </c:pt>
                <c:pt idx="314">
                  <c:v>8460</c:v>
                </c:pt>
                <c:pt idx="315">
                  <c:v>8481</c:v>
                </c:pt>
                <c:pt idx="316">
                  <c:v>8773</c:v>
                </c:pt>
                <c:pt idx="317">
                  <c:v>9703</c:v>
                </c:pt>
                <c:pt idx="318">
                  <c:v>9914</c:v>
                </c:pt>
                <c:pt idx="319">
                  <c:v>9813</c:v>
                </c:pt>
                <c:pt idx="320">
                  <c:v>8103</c:v>
                </c:pt>
                <c:pt idx="321">
                  <c:v>7231</c:v>
                </c:pt>
                <c:pt idx="322">
                  <c:v>6552</c:v>
                </c:pt>
                <c:pt idx="323">
                  <c:v>6183</c:v>
                </c:pt>
                <c:pt idx="324">
                  <c:v>6198</c:v>
                </c:pt>
                <c:pt idx="325">
                  <c:v>7728</c:v>
                </c:pt>
                <c:pt idx="326">
                  <c:v>8051</c:v>
                </c:pt>
                <c:pt idx="327">
                  <c:v>7003</c:v>
                </c:pt>
                <c:pt idx="328">
                  <c:v>7148</c:v>
                </c:pt>
                <c:pt idx="329">
                  <c:v>7567</c:v>
                </c:pt>
                <c:pt idx="330">
                  <c:v>8533</c:v>
                </c:pt>
                <c:pt idx="331">
                  <c:v>7935</c:v>
                </c:pt>
                <c:pt idx="332">
                  <c:v>7816</c:v>
                </c:pt>
                <c:pt idx="333">
                  <c:v>8143</c:v>
                </c:pt>
                <c:pt idx="334">
                  <c:v>8387</c:v>
                </c:pt>
                <c:pt idx="335">
                  <c:v>7700</c:v>
                </c:pt>
                <c:pt idx="336">
                  <c:v>7276</c:v>
                </c:pt>
                <c:pt idx="337">
                  <c:v>7727</c:v>
                </c:pt>
                <c:pt idx="338">
                  <c:v>8471</c:v>
                </c:pt>
                <c:pt idx="339">
                  <c:v>8284</c:v>
                </c:pt>
                <c:pt idx="340">
                  <c:v>8337</c:v>
                </c:pt>
                <c:pt idx="341">
                  <c:v>8480</c:v>
                </c:pt>
                <c:pt idx="342">
                  <c:v>8308</c:v>
                </c:pt>
                <c:pt idx="343">
                  <c:v>9339</c:v>
                </c:pt>
                <c:pt idx="344">
                  <c:v>9189</c:v>
                </c:pt>
                <c:pt idx="345">
                  <c:v>9125</c:v>
                </c:pt>
                <c:pt idx="346">
                  <c:v>10099</c:v>
                </c:pt>
                <c:pt idx="347">
                  <c:v>9722</c:v>
                </c:pt>
                <c:pt idx="348">
                  <c:v>10040</c:v>
                </c:pt>
                <c:pt idx="349">
                  <c:v>10386</c:v>
                </c:pt>
                <c:pt idx="350">
                  <c:v>10975</c:v>
                </c:pt>
                <c:pt idx="351">
                  <c:v>11078</c:v>
                </c:pt>
                <c:pt idx="352">
                  <c:v>11931</c:v>
                </c:pt>
                <c:pt idx="353">
                  <c:v>11441</c:v>
                </c:pt>
                <c:pt idx="354">
                  <c:v>11662</c:v>
                </c:pt>
                <c:pt idx="355">
                  <c:v>12030</c:v>
                </c:pt>
                <c:pt idx="356">
                  <c:v>12963</c:v>
                </c:pt>
                <c:pt idx="357">
                  <c:v>11080</c:v>
                </c:pt>
                <c:pt idx="358">
                  <c:v>10630</c:v>
                </c:pt>
                <c:pt idx="359">
                  <c:v>11055</c:v>
                </c:pt>
                <c:pt idx="360">
                  <c:v>11584</c:v>
                </c:pt>
                <c:pt idx="361">
                  <c:v>11063</c:v>
                </c:pt>
                <c:pt idx="362">
                  <c:v>11601</c:v>
                </c:pt>
                <c:pt idx="363">
                  <c:v>11908</c:v>
                </c:pt>
                <c:pt idx="364">
                  <c:v>11799</c:v>
                </c:pt>
                <c:pt idx="365">
                  <c:v>12093</c:v>
                </c:pt>
                <c:pt idx="366">
                  <c:v>11960</c:v>
                </c:pt>
                <c:pt idx="367">
                  <c:v>12132</c:v>
                </c:pt>
                <c:pt idx="368">
                  <c:v>12759</c:v>
                </c:pt>
                <c:pt idx="369">
                  <c:v>13216</c:v>
                </c:pt>
                <c:pt idx="370">
                  <c:v>13447</c:v>
                </c:pt>
                <c:pt idx="371">
                  <c:v>13788</c:v>
                </c:pt>
                <c:pt idx="372">
                  <c:v>12139</c:v>
                </c:pt>
                <c:pt idx="373">
                  <c:v>13207</c:v>
                </c:pt>
                <c:pt idx="374">
                  <c:v>12230</c:v>
                </c:pt>
                <c:pt idx="375">
                  <c:v>12525</c:v>
                </c:pt>
                <c:pt idx="376">
                  <c:v>12861</c:v>
                </c:pt>
                <c:pt idx="377">
                  <c:v>12910</c:v>
                </c:pt>
                <c:pt idx="378">
                  <c:v>12875</c:v>
                </c:pt>
                <c:pt idx="379">
                  <c:v>12490</c:v>
                </c:pt>
                <c:pt idx="380">
                  <c:v>12790</c:v>
                </c:pt>
                <c:pt idx="381">
                  <c:v>12662</c:v>
                </c:pt>
                <c:pt idx="382">
                  <c:v>12526</c:v>
                </c:pt>
                <c:pt idx="383">
                  <c:v>11723</c:v>
                </c:pt>
                <c:pt idx="384">
                  <c:v>12439</c:v>
                </c:pt>
                <c:pt idx="385">
                  <c:v>13300</c:v>
                </c:pt>
                <c:pt idx="386">
                  <c:v>14677</c:v>
                </c:pt>
                <c:pt idx="387">
                  <c:v>14639</c:v>
                </c:pt>
                <c:pt idx="388">
                  <c:v>14316</c:v>
                </c:pt>
                <c:pt idx="389">
                  <c:v>14501</c:v>
                </c:pt>
                <c:pt idx="390">
                  <c:v>14572</c:v>
                </c:pt>
                <c:pt idx="391">
                  <c:v>14769</c:v>
                </c:pt>
                <c:pt idx="392">
                  <c:v>15422</c:v>
                </c:pt>
                <c:pt idx="393">
                  <c:v>14961</c:v>
                </c:pt>
                <c:pt idx="394">
                  <c:v>14067</c:v>
                </c:pt>
                <c:pt idx="395">
                  <c:v>14601</c:v>
                </c:pt>
                <c:pt idx="396">
                  <c:v>13381</c:v>
                </c:pt>
                <c:pt idx="397">
                  <c:v>13887</c:v>
                </c:pt>
                <c:pt idx="398">
                  <c:v>13430</c:v>
                </c:pt>
                <c:pt idx="399">
                  <c:v>14418</c:v>
                </c:pt>
                <c:pt idx="400">
                  <c:v>13862</c:v>
                </c:pt>
                <c:pt idx="401">
                  <c:v>13346</c:v>
                </c:pt>
                <c:pt idx="402">
                  <c:v>13816</c:v>
                </c:pt>
                <c:pt idx="403">
                  <c:v>13492</c:v>
                </c:pt>
                <c:pt idx="404">
                  <c:v>14705</c:v>
                </c:pt>
                <c:pt idx="405">
                  <c:v>14816</c:v>
                </c:pt>
                <c:pt idx="406">
                  <c:v>14497</c:v>
                </c:pt>
                <c:pt idx="407">
                  <c:v>14671</c:v>
                </c:pt>
                <c:pt idx="408">
                  <c:v>15645</c:v>
                </c:pt>
                <c:pt idx="409">
                  <c:v>15042</c:v>
                </c:pt>
                <c:pt idx="410">
                  <c:v>14913</c:v>
                </c:pt>
                <c:pt idx="411">
                  <c:v>14825</c:v>
                </c:pt>
                <c:pt idx="412">
                  <c:v>15697</c:v>
                </c:pt>
                <c:pt idx="413">
                  <c:v>14666</c:v>
                </c:pt>
                <c:pt idx="414">
                  <c:v>14916</c:v>
                </c:pt>
                <c:pt idx="415">
                  <c:v>14757</c:v>
                </c:pt>
                <c:pt idx="416">
                  <c:v>15232</c:v>
                </c:pt>
                <c:pt idx="417">
                  <c:v>15654</c:v>
                </c:pt>
                <c:pt idx="418">
                  <c:v>14977</c:v>
                </c:pt>
                <c:pt idx="419">
                  <c:v>15696</c:v>
                </c:pt>
                <c:pt idx="420">
                  <c:v>15639</c:v>
                </c:pt>
                <c:pt idx="421">
                  <c:v>15979</c:v>
                </c:pt>
                <c:pt idx="422">
                  <c:v>15843</c:v>
                </c:pt>
                <c:pt idx="423">
                  <c:v>17177</c:v>
                </c:pt>
                <c:pt idx="424">
                  <c:v>14500</c:v>
                </c:pt>
                <c:pt idx="425">
                  <c:v>14244</c:v>
                </c:pt>
                <c:pt idx="426">
                  <c:v>15379</c:v>
                </c:pt>
                <c:pt idx="427">
                  <c:v>15406</c:v>
                </c:pt>
                <c:pt idx="428">
                  <c:v>14718</c:v>
                </c:pt>
                <c:pt idx="429">
                  <c:v>14501</c:v>
                </c:pt>
                <c:pt idx="430">
                  <c:v>15185</c:v>
                </c:pt>
                <c:pt idx="431">
                  <c:v>14521</c:v>
                </c:pt>
                <c:pt idx="432">
                  <c:v>15051</c:v>
                </c:pt>
                <c:pt idx="433">
                  <c:v>15565</c:v>
                </c:pt>
                <c:pt idx="434">
                  <c:v>16354</c:v>
                </c:pt>
                <c:pt idx="435">
                  <c:v>14986</c:v>
                </c:pt>
                <c:pt idx="436">
                  <c:v>15008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E8E-9645-926E-3830DABCE972}"/>
            </c:ext>
          </c:extLst>
        </c:ser>
        <c:ser>
          <c:idx val="16"/>
          <c:order val="16"/>
          <c:tx>
            <c:strRef>
              <c:f>balance_sheet!$U$5</c:f>
              <c:strCache>
                <c:ptCount val="1"/>
                <c:pt idx="0">
                  <c:v>Premises, equipment and other securities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balance_sheet!$U$6:$U$1209</c:f>
              <c:numCache>
                <c:formatCode>0</c:formatCode>
                <c:ptCount val="1204"/>
                <c:pt idx="0">
                  <c:v>453</c:v>
                </c:pt>
                <c:pt idx="1">
                  <c:v>453</c:v>
                </c:pt>
                <c:pt idx="2">
                  <c:v>454</c:v>
                </c:pt>
                <c:pt idx="3">
                  <c:v>453</c:v>
                </c:pt>
                <c:pt idx="4">
                  <c:v>451</c:v>
                </c:pt>
                <c:pt idx="5">
                  <c:v>451</c:v>
                </c:pt>
                <c:pt idx="6">
                  <c:v>452</c:v>
                </c:pt>
                <c:pt idx="7">
                  <c:v>452</c:v>
                </c:pt>
                <c:pt idx="8">
                  <c:v>449</c:v>
                </c:pt>
                <c:pt idx="9">
                  <c:v>449</c:v>
                </c:pt>
                <c:pt idx="10">
                  <c:v>450</c:v>
                </c:pt>
                <c:pt idx="11">
                  <c:v>450</c:v>
                </c:pt>
                <c:pt idx="12">
                  <c:v>944</c:v>
                </c:pt>
                <c:pt idx="13">
                  <c:v>1044</c:v>
                </c:pt>
                <c:pt idx="14">
                  <c:v>739</c:v>
                </c:pt>
                <c:pt idx="15">
                  <c:v>522</c:v>
                </c:pt>
                <c:pt idx="16">
                  <c:v>701</c:v>
                </c:pt>
                <c:pt idx="17">
                  <c:v>718</c:v>
                </c:pt>
                <c:pt idx="18">
                  <c:v>1754</c:v>
                </c:pt>
                <c:pt idx="19">
                  <c:v>927</c:v>
                </c:pt>
                <c:pt idx="20">
                  <c:v>649</c:v>
                </c:pt>
                <c:pt idx="21">
                  <c:v>992</c:v>
                </c:pt>
                <c:pt idx="22">
                  <c:v>462</c:v>
                </c:pt>
                <c:pt idx="23">
                  <c:v>1164</c:v>
                </c:pt>
                <c:pt idx="24">
                  <c:v>1223</c:v>
                </c:pt>
                <c:pt idx="25">
                  <c:v>827</c:v>
                </c:pt>
                <c:pt idx="26">
                  <c:v>520</c:v>
                </c:pt>
                <c:pt idx="27">
                  <c:v>635</c:v>
                </c:pt>
                <c:pt idx="28">
                  <c:v>774</c:v>
                </c:pt>
                <c:pt idx="29">
                  <c:v>1245</c:v>
                </c:pt>
                <c:pt idx="30">
                  <c:v>443</c:v>
                </c:pt>
                <c:pt idx="31">
                  <c:v>1137</c:v>
                </c:pt>
                <c:pt idx="32">
                  <c:v>915</c:v>
                </c:pt>
                <c:pt idx="33">
                  <c:v>623</c:v>
                </c:pt>
                <c:pt idx="34">
                  <c:v>440</c:v>
                </c:pt>
                <c:pt idx="35">
                  <c:v>440</c:v>
                </c:pt>
                <c:pt idx="36">
                  <c:v>1494</c:v>
                </c:pt>
                <c:pt idx="37">
                  <c:v>1274</c:v>
                </c:pt>
                <c:pt idx="38">
                  <c:v>455</c:v>
                </c:pt>
                <c:pt idx="39">
                  <c:v>440</c:v>
                </c:pt>
                <c:pt idx="40">
                  <c:v>679</c:v>
                </c:pt>
                <c:pt idx="41">
                  <c:v>459</c:v>
                </c:pt>
                <c:pt idx="42">
                  <c:v>898</c:v>
                </c:pt>
                <c:pt idx="43">
                  <c:v>441</c:v>
                </c:pt>
                <c:pt idx="44">
                  <c:v>441</c:v>
                </c:pt>
                <c:pt idx="45">
                  <c:v>439</c:v>
                </c:pt>
                <c:pt idx="46">
                  <c:v>439</c:v>
                </c:pt>
                <c:pt idx="47">
                  <c:v>448</c:v>
                </c:pt>
                <c:pt idx="48">
                  <c:v>1267</c:v>
                </c:pt>
                <c:pt idx="49">
                  <c:v>2141</c:v>
                </c:pt>
                <c:pt idx="50">
                  <c:v>1937</c:v>
                </c:pt>
                <c:pt idx="51">
                  <c:v>1913</c:v>
                </c:pt>
                <c:pt idx="52">
                  <c:v>1881</c:v>
                </c:pt>
                <c:pt idx="53">
                  <c:v>2147</c:v>
                </c:pt>
                <c:pt idx="54">
                  <c:v>2570</c:v>
                </c:pt>
                <c:pt idx="55">
                  <c:v>2877</c:v>
                </c:pt>
                <c:pt idx="56">
                  <c:v>2857</c:v>
                </c:pt>
                <c:pt idx="57">
                  <c:v>2866</c:v>
                </c:pt>
                <c:pt idx="58">
                  <c:v>2820</c:v>
                </c:pt>
                <c:pt idx="59">
                  <c:v>2816</c:v>
                </c:pt>
                <c:pt idx="60">
                  <c:v>2770</c:v>
                </c:pt>
                <c:pt idx="61">
                  <c:v>2765</c:v>
                </c:pt>
                <c:pt idx="62">
                  <c:v>2764</c:v>
                </c:pt>
                <c:pt idx="63">
                  <c:v>2734</c:v>
                </c:pt>
                <c:pt idx="64">
                  <c:v>2726</c:v>
                </c:pt>
                <c:pt idx="65">
                  <c:v>2759</c:v>
                </c:pt>
                <c:pt idx="66">
                  <c:v>2725</c:v>
                </c:pt>
                <c:pt idx="67">
                  <c:v>2708</c:v>
                </c:pt>
                <c:pt idx="68">
                  <c:v>2688</c:v>
                </c:pt>
                <c:pt idx="69">
                  <c:v>2670</c:v>
                </c:pt>
                <c:pt idx="70">
                  <c:v>2681</c:v>
                </c:pt>
                <c:pt idx="71">
                  <c:v>2678</c:v>
                </c:pt>
                <c:pt idx="72">
                  <c:v>2983</c:v>
                </c:pt>
                <c:pt idx="73">
                  <c:v>2676</c:v>
                </c:pt>
                <c:pt idx="74">
                  <c:v>2663</c:v>
                </c:pt>
                <c:pt idx="75">
                  <c:v>2647</c:v>
                </c:pt>
                <c:pt idx="76">
                  <c:v>2810</c:v>
                </c:pt>
                <c:pt idx="77">
                  <c:v>2652</c:v>
                </c:pt>
                <c:pt idx="78">
                  <c:v>2792</c:v>
                </c:pt>
                <c:pt idx="79">
                  <c:v>2898</c:v>
                </c:pt>
                <c:pt idx="80">
                  <c:v>2686</c:v>
                </c:pt>
                <c:pt idx="81">
                  <c:v>3168</c:v>
                </c:pt>
                <c:pt idx="82">
                  <c:v>2721</c:v>
                </c:pt>
                <c:pt idx="83">
                  <c:v>2686</c:v>
                </c:pt>
                <c:pt idx="84">
                  <c:v>2663</c:v>
                </c:pt>
                <c:pt idx="85">
                  <c:v>2775</c:v>
                </c:pt>
                <c:pt idx="86">
                  <c:v>2666</c:v>
                </c:pt>
                <c:pt idx="87">
                  <c:v>2670</c:v>
                </c:pt>
                <c:pt idx="88">
                  <c:v>2623</c:v>
                </c:pt>
                <c:pt idx="89">
                  <c:v>2624</c:v>
                </c:pt>
                <c:pt idx="90">
                  <c:v>2620</c:v>
                </c:pt>
                <c:pt idx="91">
                  <c:v>2647</c:v>
                </c:pt>
                <c:pt idx="92">
                  <c:v>2648</c:v>
                </c:pt>
                <c:pt idx="93">
                  <c:v>2629</c:v>
                </c:pt>
                <c:pt idx="94">
                  <c:v>2711</c:v>
                </c:pt>
                <c:pt idx="95">
                  <c:v>2609</c:v>
                </c:pt>
                <c:pt idx="96">
                  <c:v>2627</c:v>
                </c:pt>
                <c:pt idx="97">
                  <c:v>2618</c:v>
                </c:pt>
                <c:pt idx="98">
                  <c:v>2594</c:v>
                </c:pt>
                <c:pt idx="99">
                  <c:v>2590</c:v>
                </c:pt>
                <c:pt idx="100">
                  <c:v>2582</c:v>
                </c:pt>
                <c:pt idx="101">
                  <c:v>3724</c:v>
                </c:pt>
                <c:pt idx="102">
                  <c:v>2606</c:v>
                </c:pt>
                <c:pt idx="103">
                  <c:v>2561</c:v>
                </c:pt>
                <c:pt idx="104">
                  <c:v>2585</c:v>
                </c:pt>
                <c:pt idx="105">
                  <c:v>2565</c:v>
                </c:pt>
                <c:pt idx="106">
                  <c:v>2533</c:v>
                </c:pt>
                <c:pt idx="107">
                  <c:v>2508</c:v>
                </c:pt>
                <c:pt idx="108">
                  <c:v>2491</c:v>
                </c:pt>
                <c:pt idx="109">
                  <c:v>2524</c:v>
                </c:pt>
                <c:pt idx="110">
                  <c:v>2497</c:v>
                </c:pt>
                <c:pt idx="111">
                  <c:v>2542</c:v>
                </c:pt>
                <c:pt idx="112">
                  <c:v>2486</c:v>
                </c:pt>
                <c:pt idx="113">
                  <c:v>2478</c:v>
                </c:pt>
                <c:pt idx="114">
                  <c:v>2508</c:v>
                </c:pt>
                <c:pt idx="115">
                  <c:v>2508</c:v>
                </c:pt>
                <c:pt idx="116">
                  <c:v>2559</c:v>
                </c:pt>
                <c:pt idx="117">
                  <c:v>2487</c:v>
                </c:pt>
                <c:pt idx="118">
                  <c:v>2477</c:v>
                </c:pt>
                <c:pt idx="119">
                  <c:v>2462</c:v>
                </c:pt>
                <c:pt idx="120">
                  <c:v>2407</c:v>
                </c:pt>
                <c:pt idx="121">
                  <c:v>2372</c:v>
                </c:pt>
                <c:pt idx="122">
                  <c:v>2663</c:v>
                </c:pt>
                <c:pt idx="123">
                  <c:v>2621</c:v>
                </c:pt>
                <c:pt idx="124">
                  <c:v>2571</c:v>
                </c:pt>
                <c:pt idx="125">
                  <c:v>2531</c:v>
                </c:pt>
                <c:pt idx="126">
                  <c:v>2788</c:v>
                </c:pt>
                <c:pt idx="127">
                  <c:v>2711</c:v>
                </c:pt>
                <c:pt idx="128">
                  <c:v>2738</c:v>
                </c:pt>
                <c:pt idx="129">
                  <c:v>2581</c:v>
                </c:pt>
                <c:pt idx="130">
                  <c:v>2565</c:v>
                </c:pt>
                <c:pt idx="131">
                  <c:v>2984</c:v>
                </c:pt>
                <c:pt idx="132">
                  <c:v>2670</c:v>
                </c:pt>
                <c:pt idx="133">
                  <c:v>2517</c:v>
                </c:pt>
                <c:pt idx="134">
                  <c:v>2612</c:v>
                </c:pt>
                <c:pt idx="135">
                  <c:v>2516</c:v>
                </c:pt>
                <c:pt idx="136">
                  <c:v>2469</c:v>
                </c:pt>
                <c:pt idx="137">
                  <c:v>2464</c:v>
                </c:pt>
                <c:pt idx="138">
                  <c:v>2502</c:v>
                </c:pt>
                <c:pt idx="139">
                  <c:v>2481</c:v>
                </c:pt>
                <c:pt idx="140">
                  <c:v>2567</c:v>
                </c:pt>
                <c:pt idx="141">
                  <c:v>3070</c:v>
                </c:pt>
                <c:pt idx="142">
                  <c:v>2792</c:v>
                </c:pt>
                <c:pt idx="143">
                  <c:v>2451</c:v>
                </c:pt>
                <c:pt idx="144">
                  <c:v>2636</c:v>
                </c:pt>
                <c:pt idx="145">
                  <c:v>2619</c:v>
                </c:pt>
                <c:pt idx="146">
                  <c:v>2380</c:v>
                </c:pt>
                <c:pt idx="147">
                  <c:v>2429</c:v>
                </c:pt>
                <c:pt idx="148">
                  <c:v>3267</c:v>
                </c:pt>
                <c:pt idx="149">
                  <c:v>2544</c:v>
                </c:pt>
                <c:pt idx="150">
                  <c:v>2574</c:v>
                </c:pt>
                <c:pt idx="151">
                  <c:v>2516</c:v>
                </c:pt>
                <c:pt idx="152">
                  <c:v>2786</c:v>
                </c:pt>
                <c:pt idx="153">
                  <c:v>2519</c:v>
                </c:pt>
                <c:pt idx="154">
                  <c:v>2352</c:v>
                </c:pt>
                <c:pt idx="155">
                  <c:v>2389</c:v>
                </c:pt>
                <c:pt idx="156">
                  <c:v>2657</c:v>
                </c:pt>
                <c:pt idx="157">
                  <c:v>2537</c:v>
                </c:pt>
                <c:pt idx="158">
                  <c:v>3353</c:v>
                </c:pt>
                <c:pt idx="159">
                  <c:v>2574</c:v>
                </c:pt>
                <c:pt idx="160">
                  <c:v>2738</c:v>
                </c:pt>
                <c:pt idx="161">
                  <c:v>2740</c:v>
                </c:pt>
                <c:pt idx="162">
                  <c:v>3307</c:v>
                </c:pt>
                <c:pt idx="163">
                  <c:v>2882</c:v>
                </c:pt>
                <c:pt idx="164">
                  <c:v>2739</c:v>
                </c:pt>
                <c:pt idx="165">
                  <c:v>2727</c:v>
                </c:pt>
                <c:pt idx="166">
                  <c:v>2795</c:v>
                </c:pt>
                <c:pt idx="167">
                  <c:v>2838</c:v>
                </c:pt>
                <c:pt idx="168">
                  <c:v>2746</c:v>
                </c:pt>
                <c:pt idx="169">
                  <c:v>2683</c:v>
                </c:pt>
                <c:pt idx="170">
                  <c:v>3106</c:v>
                </c:pt>
                <c:pt idx="171">
                  <c:v>3001</c:v>
                </c:pt>
                <c:pt idx="172">
                  <c:v>2849</c:v>
                </c:pt>
                <c:pt idx="173">
                  <c:v>2841</c:v>
                </c:pt>
                <c:pt idx="174">
                  <c:v>2830</c:v>
                </c:pt>
                <c:pt idx="175">
                  <c:v>2828</c:v>
                </c:pt>
                <c:pt idx="176">
                  <c:v>2975</c:v>
                </c:pt>
                <c:pt idx="177">
                  <c:v>2778</c:v>
                </c:pt>
                <c:pt idx="178">
                  <c:v>2788</c:v>
                </c:pt>
                <c:pt idx="179">
                  <c:v>2824</c:v>
                </c:pt>
                <c:pt idx="180">
                  <c:v>2795</c:v>
                </c:pt>
                <c:pt idx="181">
                  <c:v>2791</c:v>
                </c:pt>
                <c:pt idx="182">
                  <c:v>2775</c:v>
                </c:pt>
                <c:pt idx="183">
                  <c:v>2790</c:v>
                </c:pt>
                <c:pt idx="184">
                  <c:v>2808</c:v>
                </c:pt>
                <c:pt idx="185">
                  <c:v>3091</c:v>
                </c:pt>
                <c:pt idx="186">
                  <c:v>3249</c:v>
                </c:pt>
                <c:pt idx="187">
                  <c:v>3318</c:v>
                </c:pt>
                <c:pt idx="188">
                  <c:v>3387</c:v>
                </c:pt>
                <c:pt idx="189">
                  <c:v>3398</c:v>
                </c:pt>
                <c:pt idx="190">
                  <c:v>3382</c:v>
                </c:pt>
                <c:pt idx="191">
                  <c:v>3376</c:v>
                </c:pt>
                <c:pt idx="192">
                  <c:v>3474</c:v>
                </c:pt>
                <c:pt idx="193">
                  <c:v>3534</c:v>
                </c:pt>
                <c:pt idx="194">
                  <c:v>3555</c:v>
                </c:pt>
                <c:pt idx="195">
                  <c:v>3612</c:v>
                </c:pt>
                <c:pt idx="196">
                  <c:v>3611</c:v>
                </c:pt>
                <c:pt idx="197">
                  <c:v>3768</c:v>
                </c:pt>
                <c:pt idx="198">
                  <c:v>3905</c:v>
                </c:pt>
                <c:pt idx="199">
                  <c:v>3899</c:v>
                </c:pt>
                <c:pt idx="200">
                  <c:v>3879</c:v>
                </c:pt>
                <c:pt idx="201">
                  <c:v>3864</c:v>
                </c:pt>
                <c:pt idx="202">
                  <c:v>3948</c:v>
                </c:pt>
                <c:pt idx="203">
                  <c:v>4169</c:v>
                </c:pt>
                <c:pt idx="204">
                  <c:v>4197</c:v>
                </c:pt>
                <c:pt idx="205">
                  <c:v>4328</c:v>
                </c:pt>
                <c:pt idx="206">
                  <c:v>4428</c:v>
                </c:pt>
                <c:pt idx="207">
                  <c:v>4446</c:v>
                </c:pt>
                <c:pt idx="208">
                  <c:v>4446</c:v>
                </c:pt>
                <c:pt idx="209">
                  <c:v>4466</c:v>
                </c:pt>
                <c:pt idx="210">
                  <c:v>4483</c:v>
                </c:pt>
                <c:pt idx="211">
                  <c:v>4465</c:v>
                </c:pt>
                <c:pt idx="212">
                  <c:v>4492</c:v>
                </c:pt>
                <c:pt idx="213">
                  <c:v>4754</c:v>
                </c:pt>
                <c:pt idx="214">
                  <c:v>4812</c:v>
                </c:pt>
                <c:pt idx="215">
                  <c:v>5536</c:v>
                </c:pt>
                <c:pt idx="216">
                  <c:v>4890</c:v>
                </c:pt>
                <c:pt idx="217">
                  <c:v>5276</c:v>
                </c:pt>
                <c:pt idx="218">
                  <c:v>4836</c:v>
                </c:pt>
                <c:pt idx="219">
                  <c:v>4911</c:v>
                </c:pt>
                <c:pt idx="220">
                  <c:v>5109</c:v>
                </c:pt>
                <c:pt idx="221">
                  <c:v>5117</c:v>
                </c:pt>
                <c:pt idx="222">
                  <c:v>5128</c:v>
                </c:pt>
                <c:pt idx="223">
                  <c:v>5376</c:v>
                </c:pt>
                <c:pt idx="224">
                  <c:v>5574</c:v>
                </c:pt>
                <c:pt idx="225">
                  <c:v>5872</c:v>
                </c:pt>
                <c:pt idx="226">
                  <c:v>5729</c:v>
                </c:pt>
                <c:pt idx="227">
                  <c:v>5731</c:v>
                </c:pt>
                <c:pt idx="228">
                  <c:v>5629</c:v>
                </c:pt>
                <c:pt idx="229">
                  <c:v>5694</c:v>
                </c:pt>
                <c:pt idx="230">
                  <c:v>5721</c:v>
                </c:pt>
                <c:pt idx="231">
                  <c:v>5737</c:v>
                </c:pt>
                <c:pt idx="232">
                  <c:v>5754</c:v>
                </c:pt>
                <c:pt idx="233">
                  <c:v>5766</c:v>
                </c:pt>
                <c:pt idx="234">
                  <c:v>5801</c:v>
                </c:pt>
                <c:pt idx="235">
                  <c:v>5787</c:v>
                </c:pt>
                <c:pt idx="236">
                  <c:v>5981</c:v>
                </c:pt>
                <c:pt idx="237">
                  <c:v>5801</c:v>
                </c:pt>
                <c:pt idx="238">
                  <c:v>5744</c:v>
                </c:pt>
                <c:pt idx="239">
                  <c:v>5795</c:v>
                </c:pt>
                <c:pt idx="240">
                  <c:v>5704</c:v>
                </c:pt>
                <c:pt idx="241">
                  <c:v>5745</c:v>
                </c:pt>
                <c:pt idx="242">
                  <c:v>5782</c:v>
                </c:pt>
                <c:pt idx="243">
                  <c:v>5784</c:v>
                </c:pt>
                <c:pt idx="244">
                  <c:v>5761</c:v>
                </c:pt>
                <c:pt idx="245">
                  <c:v>5709</c:v>
                </c:pt>
                <c:pt idx="246">
                  <c:v>5729</c:v>
                </c:pt>
                <c:pt idx="247">
                  <c:v>5690</c:v>
                </c:pt>
                <c:pt idx="248">
                  <c:v>5708</c:v>
                </c:pt>
                <c:pt idx="249">
                  <c:v>5720</c:v>
                </c:pt>
                <c:pt idx="250">
                  <c:v>5878</c:v>
                </c:pt>
                <c:pt idx="251">
                  <c:v>5701</c:v>
                </c:pt>
                <c:pt idx="252">
                  <c:v>5699</c:v>
                </c:pt>
                <c:pt idx="253">
                  <c:v>5727</c:v>
                </c:pt>
                <c:pt idx="254">
                  <c:v>5722</c:v>
                </c:pt>
                <c:pt idx="255">
                  <c:v>5730</c:v>
                </c:pt>
                <c:pt idx="256">
                  <c:v>5840</c:v>
                </c:pt>
                <c:pt idx="257">
                  <c:v>5864</c:v>
                </c:pt>
                <c:pt idx="258">
                  <c:v>5879</c:v>
                </c:pt>
                <c:pt idx="259">
                  <c:v>5917</c:v>
                </c:pt>
                <c:pt idx="260">
                  <c:v>5931</c:v>
                </c:pt>
                <c:pt idx="261">
                  <c:v>5931</c:v>
                </c:pt>
                <c:pt idx="262">
                  <c:v>5939</c:v>
                </c:pt>
                <c:pt idx="263">
                  <c:v>5939</c:v>
                </c:pt>
                <c:pt idx="264">
                  <c:v>5979</c:v>
                </c:pt>
                <c:pt idx="265">
                  <c:v>6194</c:v>
                </c:pt>
                <c:pt idx="266">
                  <c:v>6461</c:v>
                </c:pt>
                <c:pt idx="267">
                  <c:v>6643</c:v>
                </c:pt>
                <c:pt idx="268">
                  <c:v>6766</c:v>
                </c:pt>
                <c:pt idx="269">
                  <c:v>6795</c:v>
                </c:pt>
                <c:pt idx="270">
                  <c:v>6902</c:v>
                </c:pt>
                <c:pt idx="271">
                  <c:v>7239</c:v>
                </c:pt>
                <c:pt idx="272">
                  <c:v>7465</c:v>
                </c:pt>
                <c:pt idx="273">
                  <c:v>7478</c:v>
                </c:pt>
                <c:pt idx="274">
                  <c:v>7571</c:v>
                </c:pt>
                <c:pt idx="275">
                  <c:v>7710</c:v>
                </c:pt>
                <c:pt idx="276">
                  <c:v>7531</c:v>
                </c:pt>
                <c:pt idx="277">
                  <c:v>7539</c:v>
                </c:pt>
                <c:pt idx="278">
                  <c:v>7527</c:v>
                </c:pt>
                <c:pt idx="279">
                  <c:v>7546</c:v>
                </c:pt>
                <c:pt idx="280">
                  <c:v>7555</c:v>
                </c:pt>
                <c:pt idx="281">
                  <c:v>7594</c:v>
                </c:pt>
                <c:pt idx="282">
                  <c:v>7601</c:v>
                </c:pt>
                <c:pt idx="283">
                  <c:v>7604</c:v>
                </c:pt>
                <c:pt idx="284">
                  <c:v>7622</c:v>
                </c:pt>
                <c:pt idx="285">
                  <c:v>7660</c:v>
                </c:pt>
                <c:pt idx="286">
                  <c:v>7562</c:v>
                </c:pt>
                <c:pt idx="287">
                  <c:v>7491</c:v>
                </c:pt>
                <c:pt idx="288">
                  <c:v>7975</c:v>
                </c:pt>
                <c:pt idx="289">
                  <c:v>7983</c:v>
                </c:pt>
                <c:pt idx="290">
                  <c:v>8021</c:v>
                </c:pt>
                <c:pt idx="291">
                  <c:v>8097</c:v>
                </c:pt>
                <c:pt idx="292">
                  <c:v>8166</c:v>
                </c:pt>
                <c:pt idx="293">
                  <c:v>8576</c:v>
                </c:pt>
                <c:pt idx="294">
                  <c:v>8646</c:v>
                </c:pt>
                <c:pt idx="295">
                  <c:v>8672</c:v>
                </c:pt>
                <c:pt idx="296">
                  <c:v>8251</c:v>
                </c:pt>
                <c:pt idx="297">
                  <c:v>8155</c:v>
                </c:pt>
                <c:pt idx="298">
                  <c:v>8417</c:v>
                </c:pt>
                <c:pt idx="299">
                  <c:v>8277</c:v>
                </c:pt>
                <c:pt idx="300">
                  <c:v>8226</c:v>
                </c:pt>
                <c:pt idx="301">
                  <c:v>8275</c:v>
                </c:pt>
                <c:pt idx="302">
                  <c:v>8547</c:v>
                </c:pt>
                <c:pt idx="303">
                  <c:v>8777</c:v>
                </c:pt>
                <c:pt idx="304">
                  <c:v>8176</c:v>
                </c:pt>
                <c:pt idx="305">
                  <c:v>8241</c:v>
                </c:pt>
                <c:pt idx="306">
                  <c:v>8294</c:v>
                </c:pt>
                <c:pt idx="307">
                  <c:v>8715</c:v>
                </c:pt>
                <c:pt idx="308">
                  <c:v>7581</c:v>
                </c:pt>
                <c:pt idx="309">
                  <c:v>7326</c:v>
                </c:pt>
                <c:pt idx="310">
                  <c:v>7455</c:v>
                </c:pt>
                <c:pt idx="311">
                  <c:v>7561</c:v>
                </c:pt>
                <c:pt idx="312">
                  <c:v>7195</c:v>
                </c:pt>
                <c:pt idx="313">
                  <c:v>7214</c:v>
                </c:pt>
                <c:pt idx="314">
                  <c:v>7313</c:v>
                </c:pt>
                <c:pt idx="315">
                  <c:v>7362</c:v>
                </c:pt>
                <c:pt idx="316">
                  <c:v>6995</c:v>
                </c:pt>
                <c:pt idx="317">
                  <c:v>7192</c:v>
                </c:pt>
                <c:pt idx="318">
                  <c:v>7695</c:v>
                </c:pt>
                <c:pt idx="319">
                  <c:v>7673</c:v>
                </c:pt>
                <c:pt idx="320">
                  <c:v>7496</c:v>
                </c:pt>
                <c:pt idx="321">
                  <c:v>7341</c:v>
                </c:pt>
                <c:pt idx="322">
                  <c:v>7260</c:v>
                </c:pt>
                <c:pt idx="323">
                  <c:v>7211</c:v>
                </c:pt>
                <c:pt idx="324">
                  <c:v>7265</c:v>
                </c:pt>
                <c:pt idx="325">
                  <c:v>7437</c:v>
                </c:pt>
                <c:pt idx="326">
                  <c:v>8012</c:v>
                </c:pt>
                <c:pt idx="327">
                  <c:v>7771</c:v>
                </c:pt>
                <c:pt idx="328">
                  <c:v>8245</c:v>
                </c:pt>
                <c:pt idx="329">
                  <c:v>7750</c:v>
                </c:pt>
                <c:pt idx="330">
                  <c:v>7781</c:v>
                </c:pt>
                <c:pt idx="331">
                  <c:v>7925</c:v>
                </c:pt>
                <c:pt idx="332">
                  <c:v>8042</c:v>
                </c:pt>
                <c:pt idx="333">
                  <c:v>8358</c:v>
                </c:pt>
                <c:pt idx="334">
                  <c:v>7873</c:v>
                </c:pt>
                <c:pt idx="335">
                  <c:v>7912</c:v>
                </c:pt>
                <c:pt idx="336">
                  <c:v>7927</c:v>
                </c:pt>
                <c:pt idx="337">
                  <c:v>8248</c:v>
                </c:pt>
                <c:pt idx="338">
                  <c:v>7832</c:v>
                </c:pt>
                <c:pt idx="339">
                  <c:v>7731</c:v>
                </c:pt>
                <c:pt idx="340">
                  <c:v>7854</c:v>
                </c:pt>
                <c:pt idx="341">
                  <c:v>8271</c:v>
                </c:pt>
                <c:pt idx="342">
                  <c:v>8051</c:v>
                </c:pt>
                <c:pt idx="343">
                  <c:v>7807</c:v>
                </c:pt>
                <c:pt idx="344">
                  <c:v>7833</c:v>
                </c:pt>
                <c:pt idx="345">
                  <c:v>7983</c:v>
                </c:pt>
                <c:pt idx="346">
                  <c:v>7936</c:v>
                </c:pt>
                <c:pt idx="347">
                  <c:v>7750</c:v>
                </c:pt>
                <c:pt idx="348">
                  <c:v>7204</c:v>
                </c:pt>
                <c:pt idx="349">
                  <c:v>7082</c:v>
                </c:pt>
                <c:pt idx="350">
                  <c:v>7228</c:v>
                </c:pt>
                <c:pt idx="351">
                  <c:v>6745</c:v>
                </c:pt>
                <c:pt idx="352">
                  <c:v>6450</c:v>
                </c:pt>
                <c:pt idx="353">
                  <c:v>6600</c:v>
                </c:pt>
                <c:pt idx="354">
                  <c:v>6637</c:v>
                </c:pt>
                <c:pt idx="355">
                  <c:v>6523</c:v>
                </c:pt>
                <c:pt idx="356">
                  <c:v>6463</c:v>
                </c:pt>
                <c:pt idx="357">
                  <c:v>6468</c:v>
                </c:pt>
                <c:pt idx="358">
                  <c:v>6600</c:v>
                </c:pt>
                <c:pt idx="359">
                  <c:v>6698</c:v>
                </c:pt>
                <c:pt idx="360">
                  <c:v>6409</c:v>
                </c:pt>
                <c:pt idx="361">
                  <c:v>6655</c:v>
                </c:pt>
                <c:pt idx="362">
                  <c:v>6558</c:v>
                </c:pt>
                <c:pt idx="363">
                  <c:v>6910</c:v>
                </c:pt>
                <c:pt idx="364">
                  <c:v>6374</c:v>
                </c:pt>
                <c:pt idx="365">
                  <c:v>6550</c:v>
                </c:pt>
                <c:pt idx="366">
                  <c:v>6475</c:v>
                </c:pt>
                <c:pt idx="367">
                  <c:v>6504</c:v>
                </c:pt>
                <c:pt idx="368">
                  <c:v>6585</c:v>
                </c:pt>
                <c:pt idx="369">
                  <c:v>6466</c:v>
                </c:pt>
                <c:pt idx="370">
                  <c:v>6921</c:v>
                </c:pt>
                <c:pt idx="371">
                  <c:v>7124</c:v>
                </c:pt>
                <c:pt idx="372">
                  <c:v>7398</c:v>
                </c:pt>
                <c:pt idx="373">
                  <c:v>6493</c:v>
                </c:pt>
                <c:pt idx="374">
                  <c:v>6622</c:v>
                </c:pt>
                <c:pt idx="375">
                  <c:v>6512</c:v>
                </c:pt>
                <c:pt idx="376">
                  <c:v>7104</c:v>
                </c:pt>
                <c:pt idx="377">
                  <c:v>7465</c:v>
                </c:pt>
                <c:pt idx="378">
                  <c:v>7889</c:v>
                </c:pt>
                <c:pt idx="379">
                  <c:v>7916</c:v>
                </c:pt>
                <c:pt idx="380">
                  <c:v>7895</c:v>
                </c:pt>
                <c:pt idx="381">
                  <c:v>7593</c:v>
                </c:pt>
                <c:pt idx="382">
                  <c:v>7817</c:v>
                </c:pt>
                <c:pt idx="383">
                  <c:v>7980</c:v>
                </c:pt>
                <c:pt idx="384">
                  <c:v>8137</c:v>
                </c:pt>
                <c:pt idx="385">
                  <c:v>8399</c:v>
                </c:pt>
                <c:pt idx="386">
                  <c:v>7992</c:v>
                </c:pt>
                <c:pt idx="387">
                  <c:v>8068</c:v>
                </c:pt>
                <c:pt idx="388">
                  <c:v>8080</c:v>
                </c:pt>
                <c:pt idx="389">
                  <c:v>8490</c:v>
                </c:pt>
                <c:pt idx="390">
                  <c:v>7924</c:v>
                </c:pt>
                <c:pt idx="391">
                  <c:v>7849</c:v>
                </c:pt>
                <c:pt idx="392">
                  <c:v>7874</c:v>
                </c:pt>
                <c:pt idx="393">
                  <c:v>8172</c:v>
                </c:pt>
                <c:pt idx="394">
                  <c:v>8027</c:v>
                </c:pt>
                <c:pt idx="395">
                  <c:v>8055</c:v>
                </c:pt>
                <c:pt idx="396">
                  <c:v>8101</c:v>
                </c:pt>
                <c:pt idx="397">
                  <c:v>8283</c:v>
                </c:pt>
                <c:pt idx="398">
                  <c:v>8255</c:v>
                </c:pt>
                <c:pt idx="399">
                  <c:v>7992</c:v>
                </c:pt>
                <c:pt idx="400">
                  <c:v>7949</c:v>
                </c:pt>
                <c:pt idx="401">
                  <c:v>8000</c:v>
                </c:pt>
                <c:pt idx="402">
                  <c:v>8395</c:v>
                </c:pt>
                <c:pt idx="403">
                  <c:v>7908</c:v>
                </c:pt>
                <c:pt idx="404">
                  <c:v>7931</c:v>
                </c:pt>
                <c:pt idx="405">
                  <c:v>7896</c:v>
                </c:pt>
                <c:pt idx="406">
                  <c:v>8122</c:v>
                </c:pt>
                <c:pt idx="407">
                  <c:v>7841</c:v>
                </c:pt>
                <c:pt idx="408">
                  <c:v>7813</c:v>
                </c:pt>
                <c:pt idx="409">
                  <c:v>7619</c:v>
                </c:pt>
                <c:pt idx="410">
                  <c:v>8246</c:v>
                </c:pt>
                <c:pt idx="411">
                  <c:v>8619</c:v>
                </c:pt>
                <c:pt idx="412">
                  <c:v>7893</c:v>
                </c:pt>
                <c:pt idx="413">
                  <c:v>7932</c:v>
                </c:pt>
                <c:pt idx="414">
                  <c:v>7983</c:v>
                </c:pt>
                <c:pt idx="415">
                  <c:v>8253</c:v>
                </c:pt>
                <c:pt idx="416">
                  <c:v>8000</c:v>
                </c:pt>
                <c:pt idx="417">
                  <c:v>7998</c:v>
                </c:pt>
                <c:pt idx="418">
                  <c:v>7737</c:v>
                </c:pt>
                <c:pt idx="419">
                  <c:v>7690</c:v>
                </c:pt>
                <c:pt idx="420">
                  <c:v>7695</c:v>
                </c:pt>
                <c:pt idx="421">
                  <c:v>7691</c:v>
                </c:pt>
                <c:pt idx="422">
                  <c:v>6922</c:v>
                </c:pt>
                <c:pt idx="423">
                  <c:v>7600</c:v>
                </c:pt>
                <c:pt idx="424">
                  <c:v>8284</c:v>
                </c:pt>
                <c:pt idx="425">
                  <c:v>7497</c:v>
                </c:pt>
                <c:pt idx="426">
                  <c:v>7445</c:v>
                </c:pt>
                <c:pt idx="427">
                  <c:v>7485</c:v>
                </c:pt>
                <c:pt idx="428">
                  <c:v>7977</c:v>
                </c:pt>
                <c:pt idx="429">
                  <c:v>7524</c:v>
                </c:pt>
                <c:pt idx="430">
                  <c:v>7325</c:v>
                </c:pt>
                <c:pt idx="431">
                  <c:v>7118</c:v>
                </c:pt>
                <c:pt idx="432">
                  <c:v>7245</c:v>
                </c:pt>
                <c:pt idx="433">
                  <c:v>7004</c:v>
                </c:pt>
                <c:pt idx="434">
                  <c:v>6882</c:v>
                </c:pt>
                <c:pt idx="435">
                  <c:v>6845</c:v>
                </c:pt>
                <c:pt idx="436">
                  <c:v>7133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E8E-9645-926E-3830DABCE972}"/>
            </c:ext>
          </c:extLst>
        </c:ser>
        <c:ser>
          <c:idx val="17"/>
          <c:order val="17"/>
          <c:tx>
            <c:strRef>
              <c:f>balance_sheet!$V$5</c:f>
              <c:strCache>
                <c:ptCount val="1"/>
                <c:pt idx="0">
                  <c:v>Notes and coin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balance_sheet!$V$6:$V$1209</c:f>
              <c:numCache>
                <c:formatCode>0</c:formatCode>
                <c:ptCount val="120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8</c:v>
                </c:pt>
                <c:pt idx="6">
                  <c:v>4</c:v>
                </c:pt>
                <c:pt idx="7">
                  <c:v>7</c:v>
                </c:pt>
                <c:pt idx="8">
                  <c:v>11</c:v>
                </c:pt>
                <c:pt idx="9">
                  <c:v>8</c:v>
                </c:pt>
                <c:pt idx="10">
                  <c:v>12</c:v>
                </c:pt>
                <c:pt idx="11">
                  <c:v>4</c:v>
                </c:pt>
                <c:pt idx="12">
                  <c:v>11</c:v>
                </c:pt>
                <c:pt idx="13">
                  <c:v>5</c:v>
                </c:pt>
                <c:pt idx="14">
                  <c:v>6</c:v>
                </c:pt>
                <c:pt idx="15">
                  <c:v>11</c:v>
                </c:pt>
                <c:pt idx="16">
                  <c:v>13</c:v>
                </c:pt>
                <c:pt idx="17">
                  <c:v>10</c:v>
                </c:pt>
                <c:pt idx="18">
                  <c:v>6</c:v>
                </c:pt>
                <c:pt idx="19">
                  <c:v>5</c:v>
                </c:pt>
                <c:pt idx="20">
                  <c:v>8</c:v>
                </c:pt>
                <c:pt idx="21">
                  <c:v>6</c:v>
                </c:pt>
                <c:pt idx="22">
                  <c:v>6</c:v>
                </c:pt>
                <c:pt idx="23">
                  <c:v>12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10</c:v>
                </c:pt>
                <c:pt idx="28">
                  <c:v>13</c:v>
                </c:pt>
                <c:pt idx="29">
                  <c:v>8</c:v>
                </c:pt>
                <c:pt idx="30">
                  <c:v>11</c:v>
                </c:pt>
                <c:pt idx="31">
                  <c:v>12</c:v>
                </c:pt>
                <c:pt idx="32">
                  <c:v>12</c:v>
                </c:pt>
                <c:pt idx="33">
                  <c:v>8</c:v>
                </c:pt>
                <c:pt idx="34">
                  <c:v>10</c:v>
                </c:pt>
                <c:pt idx="35">
                  <c:v>9</c:v>
                </c:pt>
                <c:pt idx="36">
                  <c:v>12</c:v>
                </c:pt>
                <c:pt idx="37">
                  <c:v>12</c:v>
                </c:pt>
                <c:pt idx="38">
                  <c:v>11</c:v>
                </c:pt>
                <c:pt idx="39">
                  <c:v>10</c:v>
                </c:pt>
                <c:pt idx="40">
                  <c:v>12</c:v>
                </c:pt>
                <c:pt idx="41">
                  <c:v>12</c:v>
                </c:pt>
                <c:pt idx="42">
                  <c:v>9</c:v>
                </c:pt>
                <c:pt idx="43">
                  <c:v>12</c:v>
                </c:pt>
                <c:pt idx="44">
                  <c:v>11</c:v>
                </c:pt>
                <c:pt idx="45">
                  <c:v>8</c:v>
                </c:pt>
                <c:pt idx="46">
                  <c:v>10</c:v>
                </c:pt>
                <c:pt idx="47">
                  <c:v>6</c:v>
                </c:pt>
                <c:pt idx="48">
                  <c:v>11</c:v>
                </c:pt>
                <c:pt idx="49">
                  <c:v>8</c:v>
                </c:pt>
                <c:pt idx="50">
                  <c:v>9</c:v>
                </c:pt>
                <c:pt idx="51">
                  <c:v>8</c:v>
                </c:pt>
                <c:pt idx="52">
                  <c:v>4</c:v>
                </c:pt>
                <c:pt idx="53">
                  <c:v>6</c:v>
                </c:pt>
                <c:pt idx="54">
                  <c:v>12</c:v>
                </c:pt>
                <c:pt idx="55">
                  <c:v>12</c:v>
                </c:pt>
                <c:pt idx="56">
                  <c:v>3</c:v>
                </c:pt>
                <c:pt idx="57">
                  <c:v>7</c:v>
                </c:pt>
                <c:pt idx="58">
                  <c:v>12</c:v>
                </c:pt>
                <c:pt idx="59">
                  <c:v>10</c:v>
                </c:pt>
                <c:pt idx="60">
                  <c:v>4</c:v>
                </c:pt>
                <c:pt idx="61">
                  <c:v>13</c:v>
                </c:pt>
                <c:pt idx="62">
                  <c:v>11</c:v>
                </c:pt>
                <c:pt idx="63">
                  <c:v>4</c:v>
                </c:pt>
                <c:pt idx="64">
                  <c:v>12</c:v>
                </c:pt>
                <c:pt idx="65">
                  <c:v>8</c:v>
                </c:pt>
                <c:pt idx="66">
                  <c:v>5</c:v>
                </c:pt>
                <c:pt idx="67">
                  <c:v>13</c:v>
                </c:pt>
                <c:pt idx="68">
                  <c:v>4</c:v>
                </c:pt>
                <c:pt idx="69">
                  <c:v>5</c:v>
                </c:pt>
                <c:pt idx="70">
                  <c:v>12</c:v>
                </c:pt>
                <c:pt idx="71">
                  <c:v>3</c:v>
                </c:pt>
                <c:pt idx="72">
                  <c:v>6</c:v>
                </c:pt>
                <c:pt idx="73">
                  <c:v>4</c:v>
                </c:pt>
                <c:pt idx="74">
                  <c:v>3</c:v>
                </c:pt>
                <c:pt idx="75">
                  <c:v>11</c:v>
                </c:pt>
                <c:pt idx="76">
                  <c:v>12</c:v>
                </c:pt>
                <c:pt idx="77">
                  <c:v>6</c:v>
                </c:pt>
                <c:pt idx="78">
                  <c:v>7</c:v>
                </c:pt>
                <c:pt idx="79">
                  <c:v>6</c:v>
                </c:pt>
                <c:pt idx="80">
                  <c:v>11</c:v>
                </c:pt>
                <c:pt idx="81">
                  <c:v>13</c:v>
                </c:pt>
                <c:pt idx="82">
                  <c:v>12</c:v>
                </c:pt>
                <c:pt idx="83">
                  <c:v>10</c:v>
                </c:pt>
                <c:pt idx="84">
                  <c:v>5</c:v>
                </c:pt>
                <c:pt idx="85">
                  <c:v>11</c:v>
                </c:pt>
                <c:pt idx="86">
                  <c:v>3</c:v>
                </c:pt>
                <c:pt idx="87">
                  <c:v>10</c:v>
                </c:pt>
                <c:pt idx="88">
                  <c:v>9</c:v>
                </c:pt>
                <c:pt idx="89">
                  <c:v>6</c:v>
                </c:pt>
                <c:pt idx="90">
                  <c:v>9</c:v>
                </c:pt>
                <c:pt idx="91">
                  <c:v>6</c:v>
                </c:pt>
                <c:pt idx="92">
                  <c:v>9</c:v>
                </c:pt>
                <c:pt idx="93">
                  <c:v>11</c:v>
                </c:pt>
                <c:pt idx="94">
                  <c:v>11</c:v>
                </c:pt>
                <c:pt idx="95">
                  <c:v>5</c:v>
                </c:pt>
                <c:pt idx="96">
                  <c:v>8</c:v>
                </c:pt>
                <c:pt idx="97">
                  <c:v>3</c:v>
                </c:pt>
                <c:pt idx="98">
                  <c:v>6</c:v>
                </c:pt>
                <c:pt idx="99">
                  <c:v>6</c:v>
                </c:pt>
                <c:pt idx="100">
                  <c:v>4</c:v>
                </c:pt>
                <c:pt idx="101">
                  <c:v>8</c:v>
                </c:pt>
                <c:pt idx="102">
                  <c:v>12</c:v>
                </c:pt>
                <c:pt idx="103">
                  <c:v>9</c:v>
                </c:pt>
                <c:pt idx="104">
                  <c:v>6</c:v>
                </c:pt>
                <c:pt idx="105">
                  <c:v>4</c:v>
                </c:pt>
                <c:pt idx="106">
                  <c:v>5</c:v>
                </c:pt>
                <c:pt idx="107">
                  <c:v>10</c:v>
                </c:pt>
                <c:pt idx="108">
                  <c:v>7</c:v>
                </c:pt>
                <c:pt idx="109">
                  <c:v>10</c:v>
                </c:pt>
                <c:pt idx="110">
                  <c:v>12</c:v>
                </c:pt>
                <c:pt idx="111">
                  <c:v>12</c:v>
                </c:pt>
                <c:pt idx="112">
                  <c:v>7</c:v>
                </c:pt>
                <c:pt idx="113">
                  <c:v>9</c:v>
                </c:pt>
                <c:pt idx="114">
                  <c:v>10</c:v>
                </c:pt>
                <c:pt idx="115">
                  <c:v>5</c:v>
                </c:pt>
                <c:pt idx="116">
                  <c:v>10</c:v>
                </c:pt>
                <c:pt idx="117">
                  <c:v>13</c:v>
                </c:pt>
                <c:pt idx="118">
                  <c:v>9</c:v>
                </c:pt>
                <c:pt idx="119">
                  <c:v>9</c:v>
                </c:pt>
                <c:pt idx="120">
                  <c:v>10</c:v>
                </c:pt>
                <c:pt idx="121">
                  <c:v>3</c:v>
                </c:pt>
                <c:pt idx="122">
                  <c:v>11</c:v>
                </c:pt>
                <c:pt idx="123">
                  <c:v>6</c:v>
                </c:pt>
                <c:pt idx="124">
                  <c:v>9</c:v>
                </c:pt>
                <c:pt idx="125">
                  <c:v>4</c:v>
                </c:pt>
                <c:pt idx="126">
                  <c:v>12</c:v>
                </c:pt>
                <c:pt idx="127">
                  <c:v>5</c:v>
                </c:pt>
                <c:pt idx="128">
                  <c:v>4</c:v>
                </c:pt>
                <c:pt idx="129">
                  <c:v>6</c:v>
                </c:pt>
                <c:pt idx="130">
                  <c:v>6</c:v>
                </c:pt>
                <c:pt idx="131">
                  <c:v>7</c:v>
                </c:pt>
                <c:pt idx="132">
                  <c:v>6</c:v>
                </c:pt>
                <c:pt idx="133">
                  <c:v>11</c:v>
                </c:pt>
                <c:pt idx="134">
                  <c:v>6</c:v>
                </c:pt>
                <c:pt idx="135">
                  <c:v>12</c:v>
                </c:pt>
                <c:pt idx="136">
                  <c:v>11</c:v>
                </c:pt>
                <c:pt idx="137">
                  <c:v>3</c:v>
                </c:pt>
                <c:pt idx="138">
                  <c:v>10</c:v>
                </c:pt>
                <c:pt idx="139">
                  <c:v>4</c:v>
                </c:pt>
                <c:pt idx="140">
                  <c:v>9</c:v>
                </c:pt>
                <c:pt idx="141">
                  <c:v>7</c:v>
                </c:pt>
                <c:pt idx="142">
                  <c:v>10</c:v>
                </c:pt>
                <c:pt idx="143">
                  <c:v>5</c:v>
                </c:pt>
                <c:pt idx="144">
                  <c:v>11</c:v>
                </c:pt>
                <c:pt idx="145">
                  <c:v>10</c:v>
                </c:pt>
                <c:pt idx="146">
                  <c:v>7</c:v>
                </c:pt>
                <c:pt idx="147">
                  <c:v>13</c:v>
                </c:pt>
                <c:pt idx="148">
                  <c:v>11</c:v>
                </c:pt>
                <c:pt idx="149">
                  <c:v>7</c:v>
                </c:pt>
                <c:pt idx="150">
                  <c:v>6</c:v>
                </c:pt>
                <c:pt idx="151">
                  <c:v>13</c:v>
                </c:pt>
                <c:pt idx="152">
                  <c:v>4</c:v>
                </c:pt>
                <c:pt idx="153">
                  <c:v>8</c:v>
                </c:pt>
                <c:pt idx="154">
                  <c:v>8</c:v>
                </c:pt>
                <c:pt idx="155">
                  <c:v>10</c:v>
                </c:pt>
                <c:pt idx="156">
                  <c:v>10</c:v>
                </c:pt>
                <c:pt idx="157">
                  <c:v>6</c:v>
                </c:pt>
                <c:pt idx="158">
                  <c:v>6</c:v>
                </c:pt>
                <c:pt idx="159">
                  <c:v>10</c:v>
                </c:pt>
                <c:pt idx="160">
                  <c:v>11</c:v>
                </c:pt>
                <c:pt idx="161">
                  <c:v>13</c:v>
                </c:pt>
                <c:pt idx="162">
                  <c:v>6</c:v>
                </c:pt>
                <c:pt idx="163">
                  <c:v>7</c:v>
                </c:pt>
                <c:pt idx="164">
                  <c:v>5</c:v>
                </c:pt>
                <c:pt idx="165">
                  <c:v>4</c:v>
                </c:pt>
                <c:pt idx="166">
                  <c:v>6</c:v>
                </c:pt>
                <c:pt idx="167">
                  <c:v>13</c:v>
                </c:pt>
                <c:pt idx="168">
                  <c:v>4</c:v>
                </c:pt>
                <c:pt idx="169">
                  <c:v>6</c:v>
                </c:pt>
                <c:pt idx="170">
                  <c:v>6</c:v>
                </c:pt>
                <c:pt idx="171">
                  <c:v>13</c:v>
                </c:pt>
                <c:pt idx="172">
                  <c:v>5</c:v>
                </c:pt>
                <c:pt idx="173">
                  <c:v>9</c:v>
                </c:pt>
                <c:pt idx="174">
                  <c:v>5</c:v>
                </c:pt>
                <c:pt idx="175">
                  <c:v>10</c:v>
                </c:pt>
                <c:pt idx="176">
                  <c:v>6</c:v>
                </c:pt>
                <c:pt idx="177">
                  <c:v>12</c:v>
                </c:pt>
                <c:pt idx="178">
                  <c:v>11</c:v>
                </c:pt>
                <c:pt idx="179">
                  <c:v>6</c:v>
                </c:pt>
                <c:pt idx="180">
                  <c:v>10</c:v>
                </c:pt>
                <c:pt idx="181">
                  <c:v>11</c:v>
                </c:pt>
                <c:pt idx="182">
                  <c:v>6</c:v>
                </c:pt>
                <c:pt idx="183">
                  <c:v>8</c:v>
                </c:pt>
                <c:pt idx="184">
                  <c:v>12</c:v>
                </c:pt>
                <c:pt idx="185">
                  <c:v>7</c:v>
                </c:pt>
                <c:pt idx="186">
                  <c:v>5</c:v>
                </c:pt>
                <c:pt idx="187">
                  <c:v>13</c:v>
                </c:pt>
                <c:pt idx="188">
                  <c:v>12</c:v>
                </c:pt>
                <c:pt idx="189">
                  <c:v>9</c:v>
                </c:pt>
                <c:pt idx="190">
                  <c:v>6</c:v>
                </c:pt>
                <c:pt idx="191">
                  <c:v>11</c:v>
                </c:pt>
                <c:pt idx="192">
                  <c:v>10</c:v>
                </c:pt>
                <c:pt idx="193">
                  <c:v>4</c:v>
                </c:pt>
                <c:pt idx="194">
                  <c:v>8</c:v>
                </c:pt>
                <c:pt idx="195">
                  <c:v>3</c:v>
                </c:pt>
                <c:pt idx="196">
                  <c:v>4</c:v>
                </c:pt>
                <c:pt idx="197">
                  <c:v>4</c:v>
                </c:pt>
                <c:pt idx="198">
                  <c:v>5</c:v>
                </c:pt>
                <c:pt idx="199">
                  <c:v>10</c:v>
                </c:pt>
                <c:pt idx="200">
                  <c:v>8</c:v>
                </c:pt>
                <c:pt idx="201">
                  <c:v>10</c:v>
                </c:pt>
                <c:pt idx="202">
                  <c:v>7</c:v>
                </c:pt>
                <c:pt idx="203">
                  <c:v>12</c:v>
                </c:pt>
                <c:pt idx="204">
                  <c:v>11</c:v>
                </c:pt>
                <c:pt idx="205">
                  <c:v>4</c:v>
                </c:pt>
                <c:pt idx="206">
                  <c:v>4</c:v>
                </c:pt>
                <c:pt idx="207">
                  <c:v>5</c:v>
                </c:pt>
                <c:pt idx="208">
                  <c:v>5</c:v>
                </c:pt>
                <c:pt idx="209">
                  <c:v>8</c:v>
                </c:pt>
                <c:pt idx="210">
                  <c:v>4</c:v>
                </c:pt>
                <c:pt idx="211">
                  <c:v>4</c:v>
                </c:pt>
                <c:pt idx="212">
                  <c:v>6</c:v>
                </c:pt>
                <c:pt idx="213">
                  <c:v>8</c:v>
                </c:pt>
                <c:pt idx="214">
                  <c:v>13</c:v>
                </c:pt>
                <c:pt idx="215">
                  <c:v>10</c:v>
                </c:pt>
                <c:pt idx="216">
                  <c:v>4</c:v>
                </c:pt>
                <c:pt idx="217">
                  <c:v>8</c:v>
                </c:pt>
                <c:pt idx="218">
                  <c:v>13</c:v>
                </c:pt>
                <c:pt idx="219">
                  <c:v>7</c:v>
                </c:pt>
                <c:pt idx="220">
                  <c:v>8</c:v>
                </c:pt>
                <c:pt idx="221">
                  <c:v>11</c:v>
                </c:pt>
                <c:pt idx="222">
                  <c:v>10</c:v>
                </c:pt>
                <c:pt idx="223">
                  <c:v>12</c:v>
                </c:pt>
                <c:pt idx="224">
                  <c:v>4</c:v>
                </c:pt>
                <c:pt idx="225">
                  <c:v>9</c:v>
                </c:pt>
                <c:pt idx="226">
                  <c:v>12</c:v>
                </c:pt>
                <c:pt idx="227">
                  <c:v>10</c:v>
                </c:pt>
                <c:pt idx="228">
                  <c:v>6</c:v>
                </c:pt>
                <c:pt idx="229">
                  <c:v>9</c:v>
                </c:pt>
                <c:pt idx="230">
                  <c:v>5</c:v>
                </c:pt>
                <c:pt idx="231">
                  <c:v>13</c:v>
                </c:pt>
                <c:pt idx="232">
                  <c:v>5</c:v>
                </c:pt>
                <c:pt idx="233">
                  <c:v>4</c:v>
                </c:pt>
                <c:pt idx="234">
                  <c:v>8</c:v>
                </c:pt>
                <c:pt idx="235">
                  <c:v>6</c:v>
                </c:pt>
                <c:pt idx="236">
                  <c:v>5</c:v>
                </c:pt>
                <c:pt idx="237">
                  <c:v>11</c:v>
                </c:pt>
                <c:pt idx="238">
                  <c:v>5</c:v>
                </c:pt>
                <c:pt idx="239">
                  <c:v>6</c:v>
                </c:pt>
                <c:pt idx="240">
                  <c:v>4</c:v>
                </c:pt>
                <c:pt idx="241">
                  <c:v>12</c:v>
                </c:pt>
                <c:pt idx="242">
                  <c:v>9</c:v>
                </c:pt>
                <c:pt idx="243">
                  <c:v>4</c:v>
                </c:pt>
                <c:pt idx="244">
                  <c:v>11</c:v>
                </c:pt>
                <c:pt idx="245">
                  <c:v>6</c:v>
                </c:pt>
                <c:pt idx="246">
                  <c:v>9</c:v>
                </c:pt>
                <c:pt idx="247">
                  <c:v>6</c:v>
                </c:pt>
                <c:pt idx="248">
                  <c:v>8</c:v>
                </c:pt>
                <c:pt idx="249">
                  <c:v>4</c:v>
                </c:pt>
                <c:pt idx="250">
                  <c:v>11</c:v>
                </c:pt>
                <c:pt idx="251">
                  <c:v>4</c:v>
                </c:pt>
                <c:pt idx="252">
                  <c:v>11</c:v>
                </c:pt>
                <c:pt idx="253">
                  <c:v>3</c:v>
                </c:pt>
                <c:pt idx="254">
                  <c:v>4</c:v>
                </c:pt>
                <c:pt idx="255">
                  <c:v>2</c:v>
                </c:pt>
                <c:pt idx="256">
                  <c:v>8</c:v>
                </c:pt>
                <c:pt idx="257">
                  <c:v>4</c:v>
                </c:pt>
                <c:pt idx="258">
                  <c:v>7</c:v>
                </c:pt>
                <c:pt idx="259">
                  <c:v>1</c:v>
                </c:pt>
                <c:pt idx="260">
                  <c:v>7</c:v>
                </c:pt>
                <c:pt idx="261">
                  <c:v>7</c:v>
                </c:pt>
                <c:pt idx="262">
                  <c:v>3</c:v>
                </c:pt>
                <c:pt idx="263">
                  <c:v>3</c:v>
                </c:pt>
                <c:pt idx="264">
                  <c:v>1</c:v>
                </c:pt>
                <c:pt idx="265">
                  <c:v>2</c:v>
                </c:pt>
                <c:pt idx="266">
                  <c:v>5</c:v>
                </c:pt>
                <c:pt idx="267">
                  <c:v>7</c:v>
                </c:pt>
                <c:pt idx="268">
                  <c:v>6</c:v>
                </c:pt>
                <c:pt idx="269">
                  <c:v>6</c:v>
                </c:pt>
                <c:pt idx="270">
                  <c:v>7</c:v>
                </c:pt>
                <c:pt idx="271">
                  <c:v>5</c:v>
                </c:pt>
                <c:pt idx="272">
                  <c:v>6</c:v>
                </c:pt>
                <c:pt idx="273">
                  <c:v>1</c:v>
                </c:pt>
                <c:pt idx="274">
                  <c:v>6</c:v>
                </c:pt>
                <c:pt idx="275">
                  <c:v>5</c:v>
                </c:pt>
                <c:pt idx="276">
                  <c:v>5</c:v>
                </c:pt>
                <c:pt idx="277">
                  <c:v>4</c:v>
                </c:pt>
                <c:pt idx="278">
                  <c:v>6</c:v>
                </c:pt>
                <c:pt idx="279">
                  <c:v>8</c:v>
                </c:pt>
                <c:pt idx="280">
                  <c:v>10</c:v>
                </c:pt>
                <c:pt idx="281">
                  <c:v>3</c:v>
                </c:pt>
                <c:pt idx="282">
                  <c:v>8</c:v>
                </c:pt>
                <c:pt idx="283">
                  <c:v>3</c:v>
                </c:pt>
                <c:pt idx="284">
                  <c:v>7</c:v>
                </c:pt>
                <c:pt idx="285">
                  <c:v>9</c:v>
                </c:pt>
                <c:pt idx="286">
                  <c:v>1</c:v>
                </c:pt>
                <c:pt idx="287">
                  <c:v>3</c:v>
                </c:pt>
                <c:pt idx="288">
                  <c:v>4</c:v>
                </c:pt>
                <c:pt idx="289">
                  <c:v>8</c:v>
                </c:pt>
                <c:pt idx="290">
                  <c:v>10</c:v>
                </c:pt>
                <c:pt idx="291">
                  <c:v>10</c:v>
                </c:pt>
                <c:pt idx="292">
                  <c:v>1</c:v>
                </c:pt>
                <c:pt idx="293">
                  <c:v>4</c:v>
                </c:pt>
                <c:pt idx="294">
                  <c:v>3</c:v>
                </c:pt>
                <c:pt idx="295">
                  <c:v>8</c:v>
                </c:pt>
                <c:pt idx="296">
                  <c:v>5</c:v>
                </c:pt>
                <c:pt idx="297">
                  <c:v>8</c:v>
                </c:pt>
                <c:pt idx="298">
                  <c:v>6</c:v>
                </c:pt>
                <c:pt idx="299">
                  <c:v>4</c:v>
                </c:pt>
                <c:pt idx="300">
                  <c:v>4</c:v>
                </c:pt>
                <c:pt idx="301">
                  <c:v>2</c:v>
                </c:pt>
                <c:pt idx="302">
                  <c:v>1</c:v>
                </c:pt>
                <c:pt idx="303">
                  <c:v>5</c:v>
                </c:pt>
                <c:pt idx="304">
                  <c:v>7</c:v>
                </c:pt>
                <c:pt idx="305">
                  <c:v>1</c:v>
                </c:pt>
                <c:pt idx="306">
                  <c:v>4</c:v>
                </c:pt>
                <c:pt idx="307">
                  <c:v>9</c:v>
                </c:pt>
                <c:pt idx="308">
                  <c:v>4</c:v>
                </c:pt>
                <c:pt idx="309">
                  <c:v>7</c:v>
                </c:pt>
                <c:pt idx="310">
                  <c:v>3</c:v>
                </c:pt>
                <c:pt idx="311">
                  <c:v>10</c:v>
                </c:pt>
                <c:pt idx="312">
                  <c:v>5</c:v>
                </c:pt>
                <c:pt idx="313">
                  <c:v>7</c:v>
                </c:pt>
                <c:pt idx="314">
                  <c:v>3</c:v>
                </c:pt>
                <c:pt idx="315">
                  <c:v>4</c:v>
                </c:pt>
                <c:pt idx="316">
                  <c:v>3</c:v>
                </c:pt>
                <c:pt idx="317">
                  <c:v>6</c:v>
                </c:pt>
                <c:pt idx="318">
                  <c:v>9</c:v>
                </c:pt>
                <c:pt idx="319">
                  <c:v>1</c:v>
                </c:pt>
                <c:pt idx="320">
                  <c:v>10</c:v>
                </c:pt>
                <c:pt idx="321">
                  <c:v>10</c:v>
                </c:pt>
                <c:pt idx="322">
                  <c:v>7</c:v>
                </c:pt>
                <c:pt idx="323">
                  <c:v>2</c:v>
                </c:pt>
                <c:pt idx="324">
                  <c:v>4</c:v>
                </c:pt>
                <c:pt idx="325">
                  <c:v>10</c:v>
                </c:pt>
                <c:pt idx="326">
                  <c:v>3</c:v>
                </c:pt>
                <c:pt idx="327">
                  <c:v>9</c:v>
                </c:pt>
                <c:pt idx="328">
                  <c:v>1</c:v>
                </c:pt>
                <c:pt idx="329">
                  <c:v>1</c:v>
                </c:pt>
                <c:pt idx="330">
                  <c:v>5</c:v>
                </c:pt>
                <c:pt idx="331">
                  <c:v>4</c:v>
                </c:pt>
                <c:pt idx="332">
                  <c:v>9</c:v>
                </c:pt>
                <c:pt idx="333">
                  <c:v>2</c:v>
                </c:pt>
                <c:pt idx="334">
                  <c:v>6</c:v>
                </c:pt>
                <c:pt idx="335">
                  <c:v>2</c:v>
                </c:pt>
                <c:pt idx="336">
                  <c:v>10</c:v>
                </c:pt>
                <c:pt idx="337">
                  <c:v>1</c:v>
                </c:pt>
                <c:pt idx="338">
                  <c:v>3</c:v>
                </c:pt>
                <c:pt idx="339">
                  <c:v>6</c:v>
                </c:pt>
                <c:pt idx="340">
                  <c:v>6</c:v>
                </c:pt>
                <c:pt idx="341">
                  <c:v>9</c:v>
                </c:pt>
                <c:pt idx="342">
                  <c:v>5</c:v>
                </c:pt>
                <c:pt idx="343">
                  <c:v>5</c:v>
                </c:pt>
                <c:pt idx="344">
                  <c:v>7</c:v>
                </c:pt>
                <c:pt idx="345">
                  <c:v>6</c:v>
                </c:pt>
                <c:pt idx="346">
                  <c:v>7</c:v>
                </c:pt>
                <c:pt idx="347">
                  <c:v>7</c:v>
                </c:pt>
                <c:pt idx="348">
                  <c:v>8</c:v>
                </c:pt>
                <c:pt idx="349">
                  <c:v>3</c:v>
                </c:pt>
                <c:pt idx="350">
                  <c:v>1</c:v>
                </c:pt>
                <c:pt idx="351">
                  <c:v>6</c:v>
                </c:pt>
                <c:pt idx="352">
                  <c:v>9</c:v>
                </c:pt>
                <c:pt idx="353">
                  <c:v>7</c:v>
                </c:pt>
                <c:pt idx="354">
                  <c:v>3</c:v>
                </c:pt>
                <c:pt idx="355">
                  <c:v>5</c:v>
                </c:pt>
                <c:pt idx="356">
                  <c:v>8</c:v>
                </c:pt>
                <c:pt idx="357">
                  <c:v>4</c:v>
                </c:pt>
                <c:pt idx="358">
                  <c:v>1</c:v>
                </c:pt>
                <c:pt idx="359">
                  <c:v>10</c:v>
                </c:pt>
                <c:pt idx="360">
                  <c:v>4</c:v>
                </c:pt>
                <c:pt idx="361">
                  <c:v>9</c:v>
                </c:pt>
                <c:pt idx="362">
                  <c:v>10</c:v>
                </c:pt>
                <c:pt idx="363">
                  <c:v>1</c:v>
                </c:pt>
                <c:pt idx="364">
                  <c:v>5</c:v>
                </c:pt>
                <c:pt idx="365">
                  <c:v>8</c:v>
                </c:pt>
                <c:pt idx="366">
                  <c:v>2</c:v>
                </c:pt>
                <c:pt idx="367">
                  <c:v>5</c:v>
                </c:pt>
                <c:pt idx="368">
                  <c:v>4</c:v>
                </c:pt>
                <c:pt idx="369">
                  <c:v>10</c:v>
                </c:pt>
                <c:pt idx="370">
                  <c:v>6</c:v>
                </c:pt>
                <c:pt idx="371">
                  <c:v>9</c:v>
                </c:pt>
                <c:pt idx="372">
                  <c:v>3</c:v>
                </c:pt>
                <c:pt idx="373">
                  <c:v>9</c:v>
                </c:pt>
                <c:pt idx="374">
                  <c:v>9</c:v>
                </c:pt>
                <c:pt idx="375">
                  <c:v>1</c:v>
                </c:pt>
                <c:pt idx="376">
                  <c:v>5</c:v>
                </c:pt>
                <c:pt idx="377">
                  <c:v>7</c:v>
                </c:pt>
                <c:pt idx="378">
                  <c:v>9</c:v>
                </c:pt>
                <c:pt idx="379">
                  <c:v>1</c:v>
                </c:pt>
                <c:pt idx="380">
                  <c:v>6</c:v>
                </c:pt>
                <c:pt idx="381">
                  <c:v>7</c:v>
                </c:pt>
                <c:pt idx="382">
                  <c:v>9</c:v>
                </c:pt>
                <c:pt idx="383">
                  <c:v>3</c:v>
                </c:pt>
                <c:pt idx="384">
                  <c:v>6</c:v>
                </c:pt>
                <c:pt idx="385">
                  <c:v>3</c:v>
                </c:pt>
                <c:pt idx="386">
                  <c:v>7</c:v>
                </c:pt>
                <c:pt idx="387">
                  <c:v>1</c:v>
                </c:pt>
                <c:pt idx="388">
                  <c:v>1</c:v>
                </c:pt>
                <c:pt idx="389">
                  <c:v>7</c:v>
                </c:pt>
                <c:pt idx="390">
                  <c:v>6</c:v>
                </c:pt>
                <c:pt idx="391">
                  <c:v>8</c:v>
                </c:pt>
                <c:pt idx="392">
                  <c:v>5</c:v>
                </c:pt>
                <c:pt idx="393">
                  <c:v>4</c:v>
                </c:pt>
                <c:pt idx="394">
                  <c:v>2</c:v>
                </c:pt>
                <c:pt idx="395">
                  <c:v>9</c:v>
                </c:pt>
                <c:pt idx="396">
                  <c:v>6</c:v>
                </c:pt>
                <c:pt idx="397">
                  <c:v>5</c:v>
                </c:pt>
                <c:pt idx="398">
                  <c:v>8</c:v>
                </c:pt>
                <c:pt idx="399">
                  <c:v>3</c:v>
                </c:pt>
                <c:pt idx="400">
                  <c:v>5</c:v>
                </c:pt>
                <c:pt idx="401">
                  <c:v>6</c:v>
                </c:pt>
                <c:pt idx="402">
                  <c:v>9</c:v>
                </c:pt>
                <c:pt idx="403">
                  <c:v>7</c:v>
                </c:pt>
                <c:pt idx="404">
                  <c:v>5</c:v>
                </c:pt>
                <c:pt idx="405">
                  <c:v>7</c:v>
                </c:pt>
                <c:pt idx="406">
                  <c:v>1</c:v>
                </c:pt>
                <c:pt idx="407">
                  <c:v>8</c:v>
                </c:pt>
                <c:pt idx="408">
                  <c:v>4</c:v>
                </c:pt>
                <c:pt idx="409">
                  <c:v>7</c:v>
                </c:pt>
                <c:pt idx="410">
                  <c:v>10</c:v>
                </c:pt>
                <c:pt idx="411">
                  <c:v>3</c:v>
                </c:pt>
                <c:pt idx="412">
                  <c:v>4</c:v>
                </c:pt>
                <c:pt idx="413">
                  <c:v>3</c:v>
                </c:pt>
                <c:pt idx="414">
                  <c:v>6</c:v>
                </c:pt>
                <c:pt idx="415">
                  <c:v>8</c:v>
                </c:pt>
                <c:pt idx="416">
                  <c:v>4</c:v>
                </c:pt>
                <c:pt idx="417">
                  <c:v>5</c:v>
                </c:pt>
                <c:pt idx="418">
                  <c:v>1</c:v>
                </c:pt>
                <c:pt idx="419">
                  <c:v>8</c:v>
                </c:pt>
                <c:pt idx="420">
                  <c:v>8</c:v>
                </c:pt>
                <c:pt idx="421">
                  <c:v>3</c:v>
                </c:pt>
                <c:pt idx="422">
                  <c:v>2</c:v>
                </c:pt>
                <c:pt idx="423">
                  <c:v>9</c:v>
                </c:pt>
                <c:pt idx="424">
                  <c:v>8</c:v>
                </c:pt>
                <c:pt idx="425">
                  <c:v>9</c:v>
                </c:pt>
                <c:pt idx="426">
                  <c:v>7</c:v>
                </c:pt>
                <c:pt idx="427">
                  <c:v>6</c:v>
                </c:pt>
                <c:pt idx="428">
                  <c:v>3</c:v>
                </c:pt>
                <c:pt idx="429">
                  <c:v>3</c:v>
                </c:pt>
                <c:pt idx="430">
                  <c:v>2</c:v>
                </c:pt>
                <c:pt idx="431">
                  <c:v>4</c:v>
                </c:pt>
                <c:pt idx="432">
                  <c:v>2</c:v>
                </c:pt>
                <c:pt idx="433">
                  <c:v>6</c:v>
                </c:pt>
                <c:pt idx="434">
                  <c:v>10</c:v>
                </c:pt>
                <c:pt idx="435">
                  <c:v>7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E8E-9645-926E-3830DABCE972}"/>
            </c:ext>
          </c:extLst>
        </c:ser>
        <c:ser>
          <c:idx val="18"/>
          <c:order val="18"/>
          <c:tx>
            <c:strRef>
              <c:f>balance_sheet!$X$5</c:f>
              <c:strCache>
                <c:ptCount val="1"/>
                <c:pt idx="0">
                  <c:v>Notes in circulation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balance_sheet!$X$6:$X$1209</c:f>
              <c:numCache>
                <c:formatCode>General</c:formatCode>
                <c:ptCount val="1204"/>
                <c:pt idx="0">
                  <c:v>-22957</c:v>
                </c:pt>
                <c:pt idx="1">
                  <c:v>-22157</c:v>
                </c:pt>
                <c:pt idx="2">
                  <c:v>-21995</c:v>
                </c:pt>
                <c:pt idx="3">
                  <c:v>-21955</c:v>
                </c:pt>
                <c:pt idx="4">
                  <c:v>-22075</c:v>
                </c:pt>
                <c:pt idx="5">
                  <c:v>-22012</c:v>
                </c:pt>
                <c:pt idx="6">
                  <c:v>-22026</c:v>
                </c:pt>
                <c:pt idx="7">
                  <c:v>-22103</c:v>
                </c:pt>
                <c:pt idx="8">
                  <c:v>-22169</c:v>
                </c:pt>
                <c:pt idx="9">
                  <c:v>-22182</c:v>
                </c:pt>
                <c:pt idx="10">
                  <c:v>-22108</c:v>
                </c:pt>
                <c:pt idx="11">
                  <c:v>-22217</c:v>
                </c:pt>
                <c:pt idx="12">
                  <c:v>-22459</c:v>
                </c:pt>
                <c:pt idx="13">
                  <c:v>-23165</c:v>
                </c:pt>
                <c:pt idx="14">
                  <c:v>-23164</c:v>
                </c:pt>
                <c:pt idx="15">
                  <c:v>-22419</c:v>
                </c:pt>
                <c:pt idx="16">
                  <c:v>-22647</c:v>
                </c:pt>
                <c:pt idx="17">
                  <c:v>-23000</c:v>
                </c:pt>
                <c:pt idx="18">
                  <c:v>-22514</c:v>
                </c:pt>
                <c:pt idx="19">
                  <c:v>-22715</c:v>
                </c:pt>
                <c:pt idx="20">
                  <c:v>-23152</c:v>
                </c:pt>
                <c:pt idx="21">
                  <c:v>-22794</c:v>
                </c:pt>
                <c:pt idx="22">
                  <c:v>-22754</c:v>
                </c:pt>
                <c:pt idx="23">
                  <c:v>-22778</c:v>
                </c:pt>
                <c:pt idx="24">
                  <c:v>-22780</c:v>
                </c:pt>
                <c:pt idx="25">
                  <c:v>-22918</c:v>
                </c:pt>
                <c:pt idx="26">
                  <c:v>-22947</c:v>
                </c:pt>
                <c:pt idx="27">
                  <c:v>-22990</c:v>
                </c:pt>
                <c:pt idx="28">
                  <c:v>-23177</c:v>
                </c:pt>
                <c:pt idx="29">
                  <c:v>-23302</c:v>
                </c:pt>
                <c:pt idx="30">
                  <c:v>-23320</c:v>
                </c:pt>
                <c:pt idx="31">
                  <c:v>-23288</c:v>
                </c:pt>
                <c:pt idx="32">
                  <c:v>-23298</c:v>
                </c:pt>
                <c:pt idx="33">
                  <c:v>-23533</c:v>
                </c:pt>
                <c:pt idx="34">
                  <c:v>-23750</c:v>
                </c:pt>
                <c:pt idx="35">
                  <c:v>-23161</c:v>
                </c:pt>
                <c:pt idx="36">
                  <c:v>-23048</c:v>
                </c:pt>
                <c:pt idx="37">
                  <c:v>-23118</c:v>
                </c:pt>
                <c:pt idx="38">
                  <c:v>-23179</c:v>
                </c:pt>
                <c:pt idx="39">
                  <c:v>-23080</c:v>
                </c:pt>
                <c:pt idx="40">
                  <c:v>-23018</c:v>
                </c:pt>
                <c:pt idx="41">
                  <c:v>-23038</c:v>
                </c:pt>
                <c:pt idx="42">
                  <c:v>-23121</c:v>
                </c:pt>
                <c:pt idx="43">
                  <c:v>-23198</c:v>
                </c:pt>
                <c:pt idx="44">
                  <c:v>-23149</c:v>
                </c:pt>
                <c:pt idx="45">
                  <c:v>-23192</c:v>
                </c:pt>
                <c:pt idx="46">
                  <c:v>-23390</c:v>
                </c:pt>
                <c:pt idx="47">
                  <c:v>-23764</c:v>
                </c:pt>
                <c:pt idx="48">
                  <c:v>-24019</c:v>
                </c:pt>
                <c:pt idx="49">
                  <c:v>-24573</c:v>
                </c:pt>
                <c:pt idx="50">
                  <c:v>-25991</c:v>
                </c:pt>
                <c:pt idx="51">
                  <c:v>-25722</c:v>
                </c:pt>
                <c:pt idx="52">
                  <c:v>-24087</c:v>
                </c:pt>
                <c:pt idx="53">
                  <c:v>-23344</c:v>
                </c:pt>
                <c:pt idx="54">
                  <c:v>-22999</c:v>
                </c:pt>
                <c:pt idx="55">
                  <c:v>-22969</c:v>
                </c:pt>
                <c:pt idx="56">
                  <c:v>-23047</c:v>
                </c:pt>
                <c:pt idx="57">
                  <c:v>-23023</c:v>
                </c:pt>
                <c:pt idx="58">
                  <c:v>-23098</c:v>
                </c:pt>
                <c:pt idx="59">
                  <c:v>-23120</c:v>
                </c:pt>
                <c:pt idx="60">
                  <c:v>-23166</c:v>
                </c:pt>
                <c:pt idx="61">
                  <c:v>-23137</c:v>
                </c:pt>
                <c:pt idx="62">
                  <c:v>-23199</c:v>
                </c:pt>
                <c:pt idx="63">
                  <c:v>-23337</c:v>
                </c:pt>
                <c:pt idx="64">
                  <c:v>-24208</c:v>
                </c:pt>
                <c:pt idx="65">
                  <c:v>-24252</c:v>
                </c:pt>
                <c:pt idx="66">
                  <c:v>-23505</c:v>
                </c:pt>
                <c:pt idx="67">
                  <c:v>-23437</c:v>
                </c:pt>
                <c:pt idx="68">
                  <c:v>-23746</c:v>
                </c:pt>
                <c:pt idx="69">
                  <c:v>-24175</c:v>
                </c:pt>
                <c:pt idx="70">
                  <c:v>-23658</c:v>
                </c:pt>
                <c:pt idx="71">
                  <c:v>-23667</c:v>
                </c:pt>
                <c:pt idx="72">
                  <c:v>-24054</c:v>
                </c:pt>
                <c:pt idx="73">
                  <c:v>-24656</c:v>
                </c:pt>
                <c:pt idx="74">
                  <c:v>-24107</c:v>
                </c:pt>
                <c:pt idx="75">
                  <c:v>-23959</c:v>
                </c:pt>
                <c:pt idx="76">
                  <c:v>-24108</c:v>
                </c:pt>
                <c:pt idx="77">
                  <c:v>-24254</c:v>
                </c:pt>
                <c:pt idx="78">
                  <c:v>-24313</c:v>
                </c:pt>
                <c:pt idx="79">
                  <c:v>-24364</c:v>
                </c:pt>
                <c:pt idx="80">
                  <c:v>-24419</c:v>
                </c:pt>
                <c:pt idx="81">
                  <c:v>-24667</c:v>
                </c:pt>
                <c:pt idx="82">
                  <c:v>-24778</c:v>
                </c:pt>
                <c:pt idx="83">
                  <c:v>-24800</c:v>
                </c:pt>
                <c:pt idx="84">
                  <c:v>-24764</c:v>
                </c:pt>
                <c:pt idx="85">
                  <c:v>-24759</c:v>
                </c:pt>
                <c:pt idx="86">
                  <c:v>-25097</c:v>
                </c:pt>
                <c:pt idx="87">
                  <c:v>-24590</c:v>
                </c:pt>
                <c:pt idx="88">
                  <c:v>-24511</c:v>
                </c:pt>
                <c:pt idx="89">
                  <c:v>-24574</c:v>
                </c:pt>
                <c:pt idx="90">
                  <c:v>-24671</c:v>
                </c:pt>
                <c:pt idx="91">
                  <c:v>-24664</c:v>
                </c:pt>
                <c:pt idx="92">
                  <c:v>-24651</c:v>
                </c:pt>
                <c:pt idx="93">
                  <c:v>-24629</c:v>
                </c:pt>
                <c:pt idx="94">
                  <c:v>-24829</c:v>
                </c:pt>
                <c:pt idx="95">
                  <c:v>-24895</c:v>
                </c:pt>
                <c:pt idx="96">
                  <c:v>-25022</c:v>
                </c:pt>
                <c:pt idx="97">
                  <c:v>-25247</c:v>
                </c:pt>
                <c:pt idx="98">
                  <c:v>-25664</c:v>
                </c:pt>
                <c:pt idx="99">
                  <c:v>-26104</c:v>
                </c:pt>
                <c:pt idx="100">
                  <c:v>-26506</c:v>
                </c:pt>
                <c:pt idx="101">
                  <c:v>-27232</c:v>
                </c:pt>
                <c:pt idx="102">
                  <c:v>-29048</c:v>
                </c:pt>
                <c:pt idx="103">
                  <c:v>-30281</c:v>
                </c:pt>
                <c:pt idx="104">
                  <c:v>-29184</c:v>
                </c:pt>
                <c:pt idx="105">
                  <c:v>-26756</c:v>
                </c:pt>
                <c:pt idx="106">
                  <c:v>-25525</c:v>
                </c:pt>
                <c:pt idx="107">
                  <c:v>-25120</c:v>
                </c:pt>
                <c:pt idx="108">
                  <c:v>-25053</c:v>
                </c:pt>
                <c:pt idx="109">
                  <c:v>-24970</c:v>
                </c:pt>
                <c:pt idx="110">
                  <c:v>-24918</c:v>
                </c:pt>
                <c:pt idx="111">
                  <c:v>-25068</c:v>
                </c:pt>
                <c:pt idx="112">
                  <c:v>-25223</c:v>
                </c:pt>
                <c:pt idx="113">
                  <c:v>-25191</c:v>
                </c:pt>
                <c:pt idx="114">
                  <c:v>-25130</c:v>
                </c:pt>
                <c:pt idx="115">
                  <c:v>-25135</c:v>
                </c:pt>
                <c:pt idx="116">
                  <c:v>-25300</c:v>
                </c:pt>
                <c:pt idx="117">
                  <c:v>-25367</c:v>
                </c:pt>
                <c:pt idx="118">
                  <c:v>-25391</c:v>
                </c:pt>
                <c:pt idx="119">
                  <c:v>-26201</c:v>
                </c:pt>
                <c:pt idx="120">
                  <c:v>-26690</c:v>
                </c:pt>
                <c:pt idx="121">
                  <c:v>-26297</c:v>
                </c:pt>
                <c:pt idx="122">
                  <c:v>-25569</c:v>
                </c:pt>
                <c:pt idx="123">
                  <c:v>-25534</c:v>
                </c:pt>
                <c:pt idx="124">
                  <c:v>-25861</c:v>
                </c:pt>
                <c:pt idx="125">
                  <c:v>-26386</c:v>
                </c:pt>
                <c:pt idx="126">
                  <c:v>-25868</c:v>
                </c:pt>
                <c:pt idx="127">
                  <c:v>-25845</c:v>
                </c:pt>
                <c:pt idx="128">
                  <c:v>-25896</c:v>
                </c:pt>
                <c:pt idx="129">
                  <c:v>-25994</c:v>
                </c:pt>
                <c:pt idx="130">
                  <c:v>-26044</c:v>
                </c:pt>
                <c:pt idx="131">
                  <c:v>-26083</c:v>
                </c:pt>
                <c:pt idx="132">
                  <c:v>-26084</c:v>
                </c:pt>
                <c:pt idx="133">
                  <c:v>-26289</c:v>
                </c:pt>
                <c:pt idx="134">
                  <c:v>-26574</c:v>
                </c:pt>
                <c:pt idx="135">
                  <c:v>-26378</c:v>
                </c:pt>
                <c:pt idx="136">
                  <c:v>-26359</c:v>
                </c:pt>
                <c:pt idx="137">
                  <c:v>-26577</c:v>
                </c:pt>
                <c:pt idx="138">
                  <c:v>-27300</c:v>
                </c:pt>
                <c:pt idx="139">
                  <c:v>-26606</c:v>
                </c:pt>
                <c:pt idx="140">
                  <c:v>-26641</c:v>
                </c:pt>
                <c:pt idx="141">
                  <c:v>-27053</c:v>
                </c:pt>
                <c:pt idx="142">
                  <c:v>-26690</c:v>
                </c:pt>
                <c:pt idx="143">
                  <c:v>-26865</c:v>
                </c:pt>
                <c:pt idx="144">
                  <c:v>-26569</c:v>
                </c:pt>
                <c:pt idx="145">
                  <c:v>-26550</c:v>
                </c:pt>
                <c:pt idx="146">
                  <c:v>-26683</c:v>
                </c:pt>
                <c:pt idx="147">
                  <c:v>-26937</c:v>
                </c:pt>
                <c:pt idx="148">
                  <c:v>-26770</c:v>
                </c:pt>
                <c:pt idx="149">
                  <c:v>-26903</c:v>
                </c:pt>
                <c:pt idx="150">
                  <c:v>-27244</c:v>
                </c:pt>
                <c:pt idx="151">
                  <c:v>-27807</c:v>
                </c:pt>
                <c:pt idx="152">
                  <c:v>-28016</c:v>
                </c:pt>
                <c:pt idx="153">
                  <c:v>-28372</c:v>
                </c:pt>
                <c:pt idx="154">
                  <c:v>-29412</c:v>
                </c:pt>
                <c:pt idx="155">
                  <c:v>-30690</c:v>
                </c:pt>
                <c:pt idx="156">
                  <c:v>-29360</c:v>
                </c:pt>
                <c:pt idx="157">
                  <c:v>-27744</c:v>
                </c:pt>
                <c:pt idx="158">
                  <c:v>-27144</c:v>
                </c:pt>
                <c:pt idx="159">
                  <c:v>-26910</c:v>
                </c:pt>
                <c:pt idx="160">
                  <c:v>-26999</c:v>
                </c:pt>
                <c:pt idx="161">
                  <c:v>-26877</c:v>
                </c:pt>
                <c:pt idx="162">
                  <c:v>-26875</c:v>
                </c:pt>
                <c:pt idx="163">
                  <c:v>-26983</c:v>
                </c:pt>
                <c:pt idx="164">
                  <c:v>-27195</c:v>
                </c:pt>
                <c:pt idx="165">
                  <c:v>-27246</c:v>
                </c:pt>
                <c:pt idx="166">
                  <c:v>-27164</c:v>
                </c:pt>
                <c:pt idx="167">
                  <c:v>-27028</c:v>
                </c:pt>
                <c:pt idx="168">
                  <c:v>-27016</c:v>
                </c:pt>
                <c:pt idx="169">
                  <c:v>-27174</c:v>
                </c:pt>
                <c:pt idx="170">
                  <c:v>-27994</c:v>
                </c:pt>
                <c:pt idx="171">
                  <c:v>-28037</c:v>
                </c:pt>
                <c:pt idx="172">
                  <c:v>-27295</c:v>
                </c:pt>
                <c:pt idx="173">
                  <c:v>-27471</c:v>
                </c:pt>
                <c:pt idx="174">
                  <c:v>-27635</c:v>
                </c:pt>
                <c:pt idx="175">
                  <c:v>-27160</c:v>
                </c:pt>
                <c:pt idx="176">
                  <c:v>-27364</c:v>
                </c:pt>
                <c:pt idx="177">
                  <c:v>-28188</c:v>
                </c:pt>
                <c:pt idx="178">
                  <c:v>-27499</c:v>
                </c:pt>
                <c:pt idx="179">
                  <c:v>-27404</c:v>
                </c:pt>
                <c:pt idx="180">
                  <c:v>-27390</c:v>
                </c:pt>
                <c:pt idx="181">
                  <c:v>-27619</c:v>
                </c:pt>
                <c:pt idx="182">
                  <c:v>-27734</c:v>
                </c:pt>
                <c:pt idx="183">
                  <c:v>-27752</c:v>
                </c:pt>
                <c:pt idx="184">
                  <c:v>-27868</c:v>
                </c:pt>
                <c:pt idx="185">
                  <c:v>-28033</c:v>
                </c:pt>
                <c:pt idx="186">
                  <c:v>-28435</c:v>
                </c:pt>
                <c:pt idx="187">
                  <c:v>-28197</c:v>
                </c:pt>
                <c:pt idx="188">
                  <c:v>-28158</c:v>
                </c:pt>
                <c:pt idx="189">
                  <c:v>-28541</c:v>
                </c:pt>
                <c:pt idx="190">
                  <c:v>-28984</c:v>
                </c:pt>
                <c:pt idx="191">
                  <c:v>-28429</c:v>
                </c:pt>
                <c:pt idx="192">
                  <c:v>-28260</c:v>
                </c:pt>
                <c:pt idx="193">
                  <c:v>-28236</c:v>
                </c:pt>
                <c:pt idx="194">
                  <c:v>-28372</c:v>
                </c:pt>
                <c:pt idx="195">
                  <c:v>-28427</c:v>
                </c:pt>
                <c:pt idx="196">
                  <c:v>-28366</c:v>
                </c:pt>
                <c:pt idx="197">
                  <c:v>-28356</c:v>
                </c:pt>
                <c:pt idx="198">
                  <c:v>-28485</c:v>
                </c:pt>
                <c:pt idx="199">
                  <c:v>-28680</c:v>
                </c:pt>
                <c:pt idx="200">
                  <c:v>-28832</c:v>
                </c:pt>
                <c:pt idx="201">
                  <c:v>-28990</c:v>
                </c:pt>
                <c:pt idx="202">
                  <c:v>-29244</c:v>
                </c:pt>
                <c:pt idx="203">
                  <c:v>-29908</c:v>
                </c:pt>
                <c:pt idx="204">
                  <c:v>-30189</c:v>
                </c:pt>
                <c:pt idx="205">
                  <c:v>-30576</c:v>
                </c:pt>
                <c:pt idx="206">
                  <c:v>-32226</c:v>
                </c:pt>
                <c:pt idx="207">
                  <c:v>-32895</c:v>
                </c:pt>
                <c:pt idx="208">
                  <c:v>-32895</c:v>
                </c:pt>
                <c:pt idx="209">
                  <c:v>-32113</c:v>
                </c:pt>
                <c:pt idx="210">
                  <c:v>-30186</c:v>
                </c:pt>
                <c:pt idx="211">
                  <c:v>-29316</c:v>
                </c:pt>
                <c:pt idx="212">
                  <c:v>-29104</c:v>
                </c:pt>
                <c:pt idx="213">
                  <c:v>-29132</c:v>
                </c:pt>
                <c:pt idx="214">
                  <c:v>-29087</c:v>
                </c:pt>
                <c:pt idx="215">
                  <c:v>-28830</c:v>
                </c:pt>
                <c:pt idx="216">
                  <c:v>-29046</c:v>
                </c:pt>
                <c:pt idx="217">
                  <c:v>-29022</c:v>
                </c:pt>
                <c:pt idx="218">
                  <c:v>-29217</c:v>
                </c:pt>
                <c:pt idx="219">
                  <c:v>-28983</c:v>
                </c:pt>
                <c:pt idx="220">
                  <c:v>-29122</c:v>
                </c:pt>
                <c:pt idx="221">
                  <c:v>-30129</c:v>
                </c:pt>
                <c:pt idx="222">
                  <c:v>-30310</c:v>
                </c:pt>
                <c:pt idx="223">
                  <c:v>-29428</c:v>
                </c:pt>
                <c:pt idx="224">
                  <c:v>-29246</c:v>
                </c:pt>
                <c:pt idx="225">
                  <c:v>-29291</c:v>
                </c:pt>
                <c:pt idx="226">
                  <c:v>-29638</c:v>
                </c:pt>
                <c:pt idx="227">
                  <c:v>-30090</c:v>
                </c:pt>
                <c:pt idx="228">
                  <c:v>-29544</c:v>
                </c:pt>
                <c:pt idx="229">
                  <c:v>-29561</c:v>
                </c:pt>
                <c:pt idx="230">
                  <c:v>-30545</c:v>
                </c:pt>
                <c:pt idx="231">
                  <c:v>-31367</c:v>
                </c:pt>
                <c:pt idx="232">
                  <c:v>-30255</c:v>
                </c:pt>
                <c:pt idx="233">
                  <c:v>-29946</c:v>
                </c:pt>
                <c:pt idx="234">
                  <c:v>-30021</c:v>
                </c:pt>
                <c:pt idx="235">
                  <c:v>-30144</c:v>
                </c:pt>
                <c:pt idx="236">
                  <c:v>-30185</c:v>
                </c:pt>
                <c:pt idx="237">
                  <c:v>-30219</c:v>
                </c:pt>
                <c:pt idx="238">
                  <c:v>-30315</c:v>
                </c:pt>
                <c:pt idx="239">
                  <c:v>-30434</c:v>
                </c:pt>
                <c:pt idx="240">
                  <c:v>-30526</c:v>
                </c:pt>
                <c:pt idx="241">
                  <c:v>-30568</c:v>
                </c:pt>
                <c:pt idx="242">
                  <c:v>-30971</c:v>
                </c:pt>
                <c:pt idx="243">
                  <c:v>-31406</c:v>
                </c:pt>
                <c:pt idx="244">
                  <c:v>-30859</c:v>
                </c:pt>
                <c:pt idx="245">
                  <c:v>-30594</c:v>
                </c:pt>
                <c:pt idx="246">
                  <c:v>-30571</c:v>
                </c:pt>
                <c:pt idx="247">
                  <c:v>-30664</c:v>
                </c:pt>
                <c:pt idx="248">
                  <c:v>-30732</c:v>
                </c:pt>
                <c:pt idx="249">
                  <c:v>-30816</c:v>
                </c:pt>
                <c:pt idx="250">
                  <c:v>-30879</c:v>
                </c:pt>
                <c:pt idx="251">
                  <c:v>-30906</c:v>
                </c:pt>
                <c:pt idx="252">
                  <c:v>-30999</c:v>
                </c:pt>
                <c:pt idx="253">
                  <c:v>-31007</c:v>
                </c:pt>
                <c:pt idx="254">
                  <c:v>-31036</c:v>
                </c:pt>
                <c:pt idx="255">
                  <c:v>-31238</c:v>
                </c:pt>
                <c:pt idx="256">
                  <c:v>-31692</c:v>
                </c:pt>
                <c:pt idx="257">
                  <c:v>-32176</c:v>
                </c:pt>
                <c:pt idx="258">
                  <c:v>-32503</c:v>
                </c:pt>
                <c:pt idx="259">
                  <c:v>-33639</c:v>
                </c:pt>
                <c:pt idx="260">
                  <c:v>-34823</c:v>
                </c:pt>
                <c:pt idx="261">
                  <c:v>-34823</c:v>
                </c:pt>
                <c:pt idx="262">
                  <c:v>-33897</c:v>
                </c:pt>
                <c:pt idx="263">
                  <c:v>-33897</c:v>
                </c:pt>
                <c:pt idx="264">
                  <c:v>-32099</c:v>
                </c:pt>
                <c:pt idx="265">
                  <c:v>-31268</c:v>
                </c:pt>
                <c:pt idx="266">
                  <c:v>-30845</c:v>
                </c:pt>
                <c:pt idx="267">
                  <c:v>-31103</c:v>
                </c:pt>
                <c:pt idx="268">
                  <c:v>-30914</c:v>
                </c:pt>
                <c:pt idx="269">
                  <c:v>-30884</c:v>
                </c:pt>
                <c:pt idx="270">
                  <c:v>-31033</c:v>
                </c:pt>
                <c:pt idx="271">
                  <c:v>-31005</c:v>
                </c:pt>
                <c:pt idx="272">
                  <c:v>-31094</c:v>
                </c:pt>
                <c:pt idx="273">
                  <c:v>-31219</c:v>
                </c:pt>
                <c:pt idx="274">
                  <c:v>-31284</c:v>
                </c:pt>
                <c:pt idx="275">
                  <c:v>-31415</c:v>
                </c:pt>
                <c:pt idx="276">
                  <c:v>-31655</c:v>
                </c:pt>
                <c:pt idx="277">
                  <c:v>-31766</c:v>
                </c:pt>
                <c:pt idx="278">
                  <c:v>-33334</c:v>
                </c:pt>
                <c:pt idx="279">
                  <c:v>-33442</c:v>
                </c:pt>
                <c:pt idx="280">
                  <c:v>-32600</c:v>
                </c:pt>
                <c:pt idx="281">
                  <c:v>-32938</c:v>
                </c:pt>
                <c:pt idx="282">
                  <c:v>-32452</c:v>
                </c:pt>
                <c:pt idx="283">
                  <c:v>-32717</c:v>
                </c:pt>
                <c:pt idx="284">
                  <c:v>-33123</c:v>
                </c:pt>
                <c:pt idx="285">
                  <c:v>-32411</c:v>
                </c:pt>
                <c:pt idx="286">
                  <c:v>-32339</c:v>
                </c:pt>
                <c:pt idx="287">
                  <c:v>-32327</c:v>
                </c:pt>
                <c:pt idx="288">
                  <c:v>-32436</c:v>
                </c:pt>
                <c:pt idx="289">
                  <c:v>-32562</c:v>
                </c:pt>
                <c:pt idx="290">
                  <c:v>-32610</c:v>
                </c:pt>
                <c:pt idx="291">
                  <c:v>-32660</c:v>
                </c:pt>
                <c:pt idx="292">
                  <c:v>-32859</c:v>
                </c:pt>
                <c:pt idx="293">
                  <c:v>-33096</c:v>
                </c:pt>
                <c:pt idx="294">
                  <c:v>-33157</c:v>
                </c:pt>
                <c:pt idx="295">
                  <c:v>-33052</c:v>
                </c:pt>
                <c:pt idx="296">
                  <c:v>-33445</c:v>
                </c:pt>
                <c:pt idx="297">
                  <c:v>-34032</c:v>
                </c:pt>
                <c:pt idx="298">
                  <c:v>-33384</c:v>
                </c:pt>
                <c:pt idx="299">
                  <c:v>-33116</c:v>
                </c:pt>
                <c:pt idx="300">
                  <c:v>-33196</c:v>
                </c:pt>
                <c:pt idx="301">
                  <c:v>-33148</c:v>
                </c:pt>
                <c:pt idx="302">
                  <c:v>-33259</c:v>
                </c:pt>
                <c:pt idx="303">
                  <c:v>-33095</c:v>
                </c:pt>
                <c:pt idx="304">
                  <c:v>-33103</c:v>
                </c:pt>
                <c:pt idx="305">
                  <c:v>-33119</c:v>
                </c:pt>
                <c:pt idx="306">
                  <c:v>-33356</c:v>
                </c:pt>
                <c:pt idx="307">
                  <c:v>-33451</c:v>
                </c:pt>
                <c:pt idx="308">
                  <c:v>-33576</c:v>
                </c:pt>
                <c:pt idx="309">
                  <c:v>-33803</c:v>
                </c:pt>
                <c:pt idx="310">
                  <c:v>-34317</c:v>
                </c:pt>
                <c:pt idx="311">
                  <c:v>-34710</c:v>
                </c:pt>
                <c:pt idx="312">
                  <c:v>-34915</c:v>
                </c:pt>
                <c:pt idx="313">
                  <c:v>-35524</c:v>
                </c:pt>
                <c:pt idx="314">
                  <c:v>-40107</c:v>
                </c:pt>
                <c:pt idx="315">
                  <c:v>-36606</c:v>
                </c:pt>
                <c:pt idx="316">
                  <c:v>-34927</c:v>
                </c:pt>
                <c:pt idx="317">
                  <c:v>-33774</c:v>
                </c:pt>
                <c:pt idx="318">
                  <c:v>-33471</c:v>
                </c:pt>
                <c:pt idx="319">
                  <c:v>-33329</c:v>
                </c:pt>
                <c:pt idx="320">
                  <c:v>-33370</c:v>
                </c:pt>
                <c:pt idx="321">
                  <c:v>-33120</c:v>
                </c:pt>
                <c:pt idx="322">
                  <c:v>-33013</c:v>
                </c:pt>
                <c:pt idx="323">
                  <c:v>-33258</c:v>
                </c:pt>
                <c:pt idx="324">
                  <c:v>-33326</c:v>
                </c:pt>
                <c:pt idx="325">
                  <c:v>-33260</c:v>
                </c:pt>
                <c:pt idx="326">
                  <c:v>-33367</c:v>
                </c:pt>
                <c:pt idx="327">
                  <c:v>-33521</c:v>
                </c:pt>
                <c:pt idx="328">
                  <c:v>-33869</c:v>
                </c:pt>
                <c:pt idx="329">
                  <c:v>-34719</c:v>
                </c:pt>
                <c:pt idx="330">
                  <c:v>-35085</c:v>
                </c:pt>
                <c:pt idx="331">
                  <c:v>-33956</c:v>
                </c:pt>
                <c:pt idx="332">
                  <c:v>-34201</c:v>
                </c:pt>
                <c:pt idx="333">
                  <c:v>-34728</c:v>
                </c:pt>
                <c:pt idx="334">
                  <c:v>-34034</c:v>
                </c:pt>
                <c:pt idx="335">
                  <c:v>-34118</c:v>
                </c:pt>
                <c:pt idx="336">
                  <c:v>-34500</c:v>
                </c:pt>
                <c:pt idx="337">
                  <c:v>-35209</c:v>
                </c:pt>
                <c:pt idx="338">
                  <c:v>-34477</c:v>
                </c:pt>
                <c:pt idx="339">
                  <c:v>-34404</c:v>
                </c:pt>
                <c:pt idx="340">
                  <c:v>-34435</c:v>
                </c:pt>
                <c:pt idx="341">
                  <c:v>-34632</c:v>
                </c:pt>
                <c:pt idx="342">
                  <c:v>-34655</c:v>
                </c:pt>
                <c:pt idx="343">
                  <c:v>-34695</c:v>
                </c:pt>
                <c:pt idx="344">
                  <c:v>-34754</c:v>
                </c:pt>
                <c:pt idx="345">
                  <c:v>-34954</c:v>
                </c:pt>
                <c:pt idx="346">
                  <c:v>-35103</c:v>
                </c:pt>
                <c:pt idx="347">
                  <c:v>-34973</c:v>
                </c:pt>
                <c:pt idx="348">
                  <c:v>-34942</c:v>
                </c:pt>
                <c:pt idx="349">
                  <c:v>-35347</c:v>
                </c:pt>
                <c:pt idx="350">
                  <c:v>-35949</c:v>
                </c:pt>
                <c:pt idx="351">
                  <c:v>-35154</c:v>
                </c:pt>
                <c:pt idx="352">
                  <c:v>-35121</c:v>
                </c:pt>
                <c:pt idx="353">
                  <c:v>-35083</c:v>
                </c:pt>
                <c:pt idx="354">
                  <c:v>-35267</c:v>
                </c:pt>
                <c:pt idx="355">
                  <c:v>-35225</c:v>
                </c:pt>
                <c:pt idx="356">
                  <c:v>-35192</c:v>
                </c:pt>
                <c:pt idx="357">
                  <c:v>-35246</c:v>
                </c:pt>
                <c:pt idx="358">
                  <c:v>-35419</c:v>
                </c:pt>
                <c:pt idx="359">
                  <c:v>-35420</c:v>
                </c:pt>
                <c:pt idx="360">
                  <c:v>-35446</c:v>
                </c:pt>
                <c:pt idx="361">
                  <c:v>-35741</c:v>
                </c:pt>
                <c:pt idx="362">
                  <c:v>-36200</c:v>
                </c:pt>
                <c:pt idx="363">
                  <c:v>-36609</c:v>
                </c:pt>
                <c:pt idx="364">
                  <c:v>-36755</c:v>
                </c:pt>
                <c:pt idx="365">
                  <c:v>-37212</c:v>
                </c:pt>
                <c:pt idx="366">
                  <c:v>-38528</c:v>
                </c:pt>
                <c:pt idx="367">
                  <c:v>-39125</c:v>
                </c:pt>
                <c:pt idx="368">
                  <c:v>-37896</c:v>
                </c:pt>
                <c:pt idx="369">
                  <c:v>-35870</c:v>
                </c:pt>
                <c:pt idx="370">
                  <c:v>-35244</c:v>
                </c:pt>
                <c:pt idx="371">
                  <c:v>-35192</c:v>
                </c:pt>
                <c:pt idx="372">
                  <c:v>-35237</c:v>
                </c:pt>
                <c:pt idx="373">
                  <c:v>-35071</c:v>
                </c:pt>
                <c:pt idx="374">
                  <c:v>-35021</c:v>
                </c:pt>
                <c:pt idx="375">
                  <c:v>-35119</c:v>
                </c:pt>
                <c:pt idx="376">
                  <c:v>-35175</c:v>
                </c:pt>
                <c:pt idx="377">
                  <c:v>-35113</c:v>
                </c:pt>
                <c:pt idx="378">
                  <c:v>-35232</c:v>
                </c:pt>
                <c:pt idx="379">
                  <c:v>-36299</c:v>
                </c:pt>
                <c:pt idx="380">
                  <c:v>-36844</c:v>
                </c:pt>
                <c:pt idx="381">
                  <c:v>-35823</c:v>
                </c:pt>
                <c:pt idx="382">
                  <c:v>-35471</c:v>
                </c:pt>
                <c:pt idx="383">
                  <c:v>-35287</c:v>
                </c:pt>
                <c:pt idx="384">
                  <c:v>-35584</c:v>
                </c:pt>
                <c:pt idx="385">
                  <c:v>-36227</c:v>
                </c:pt>
                <c:pt idx="386">
                  <c:v>-35513</c:v>
                </c:pt>
                <c:pt idx="387">
                  <c:v>-35409</c:v>
                </c:pt>
                <c:pt idx="388">
                  <c:v>-35719</c:v>
                </c:pt>
                <c:pt idx="389">
                  <c:v>-36543</c:v>
                </c:pt>
                <c:pt idx="390">
                  <c:v>-35914</c:v>
                </c:pt>
                <c:pt idx="391">
                  <c:v>-35722</c:v>
                </c:pt>
                <c:pt idx="392">
                  <c:v>-35835</c:v>
                </c:pt>
                <c:pt idx="393">
                  <c:v>-36046</c:v>
                </c:pt>
                <c:pt idx="394">
                  <c:v>-36078</c:v>
                </c:pt>
                <c:pt idx="395">
                  <c:v>-36391</c:v>
                </c:pt>
                <c:pt idx="396">
                  <c:v>-36424</c:v>
                </c:pt>
                <c:pt idx="397">
                  <c:v>-36696</c:v>
                </c:pt>
                <c:pt idx="398">
                  <c:v>-36682</c:v>
                </c:pt>
                <c:pt idx="399">
                  <c:v>-36587</c:v>
                </c:pt>
                <c:pt idx="400">
                  <c:v>-36605</c:v>
                </c:pt>
                <c:pt idx="401">
                  <c:v>-36934</c:v>
                </c:pt>
                <c:pt idx="402">
                  <c:v>-37791</c:v>
                </c:pt>
                <c:pt idx="403">
                  <c:v>-36833</c:v>
                </c:pt>
                <c:pt idx="404">
                  <c:v>-36655</c:v>
                </c:pt>
                <c:pt idx="405">
                  <c:v>-36543</c:v>
                </c:pt>
                <c:pt idx="406">
                  <c:v>-36619</c:v>
                </c:pt>
                <c:pt idx="407">
                  <c:v>-36632</c:v>
                </c:pt>
                <c:pt idx="408">
                  <c:v>-36516</c:v>
                </c:pt>
                <c:pt idx="409">
                  <c:v>-36473</c:v>
                </c:pt>
                <c:pt idx="410">
                  <c:v>-36620</c:v>
                </c:pt>
                <c:pt idx="411">
                  <c:v>-36777</c:v>
                </c:pt>
                <c:pt idx="412">
                  <c:v>-36896</c:v>
                </c:pt>
                <c:pt idx="413">
                  <c:v>-36997</c:v>
                </c:pt>
                <c:pt idx="414">
                  <c:v>-37524</c:v>
                </c:pt>
                <c:pt idx="415">
                  <c:v>-38003</c:v>
                </c:pt>
                <c:pt idx="416">
                  <c:v>-38236</c:v>
                </c:pt>
                <c:pt idx="417">
                  <c:v>-38495</c:v>
                </c:pt>
                <c:pt idx="418">
                  <c:v>-39329</c:v>
                </c:pt>
                <c:pt idx="419">
                  <c:v>-40272</c:v>
                </c:pt>
                <c:pt idx="420">
                  <c:v>-39262</c:v>
                </c:pt>
                <c:pt idx="421">
                  <c:v>-37467</c:v>
                </c:pt>
                <c:pt idx="422">
                  <c:v>-36848</c:v>
                </c:pt>
                <c:pt idx="423">
                  <c:v>-36601</c:v>
                </c:pt>
                <c:pt idx="424">
                  <c:v>-36852</c:v>
                </c:pt>
                <c:pt idx="425">
                  <c:v>-36721</c:v>
                </c:pt>
                <c:pt idx="426">
                  <c:v>-36793</c:v>
                </c:pt>
                <c:pt idx="427">
                  <c:v>-36834</c:v>
                </c:pt>
                <c:pt idx="428">
                  <c:v>-37685</c:v>
                </c:pt>
                <c:pt idx="429">
                  <c:v>-36967</c:v>
                </c:pt>
                <c:pt idx="430">
                  <c:v>-36988</c:v>
                </c:pt>
                <c:pt idx="431">
                  <c:v>-37036</c:v>
                </c:pt>
                <c:pt idx="432">
                  <c:v>-37278</c:v>
                </c:pt>
                <c:pt idx="433">
                  <c:v>-37524</c:v>
                </c:pt>
                <c:pt idx="434">
                  <c:v>-38350</c:v>
                </c:pt>
                <c:pt idx="435">
                  <c:v>-38883</c:v>
                </c:pt>
                <c:pt idx="436">
                  <c:v>-37809</c:v>
                </c:pt>
                <c:pt idx="437">
                  <c:v>-38298</c:v>
                </c:pt>
                <c:pt idx="438">
                  <c:v>-37708</c:v>
                </c:pt>
                <c:pt idx="439">
                  <c:v>-37507</c:v>
                </c:pt>
                <c:pt idx="440">
                  <c:v>-37685</c:v>
                </c:pt>
                <c:pt idx="441">
                  <c:v>-38518</c:v>
                </c:pt>
                <c:pt idx="442">
                  <c:v>-37867</c:v>
                </c:pt>
                <c:pt idx="443">
                  <c:v>-37775</c:v>
                </c:pt>
                <c:pt idx="444">
                  <c:v>-37792</c:v>
                </c:pt>
                <c:pt idx="445">
                  <c:v>-38013</c:v>
                </c:pt>
                <c:pt idx="446">
                  <c:v>-38261</c:v>
                </c:pt>
                <c:pt idx="447">
                  <c:v>-38174</c:v>
                </c:pt>
                <c:pt idx="448">
                  <c:v>-38300</c:v>
                </c:pt>
                <c:pt idx="449">
                  <c:v>-38468</c:v>
                </c:pt>
                <c:pt idx="450">
                  <c:v>-38552</c:v>
                </c:pt>
                <c:pt idx="451">
                  <c:v>-38510</c:v>
                </c:pt>
                <c:pt idx="452">
                  <c:v>-38519</c:v>
                </c:pt>
                <c:pt idx="453">
                  <c:v>-38623</c:v>
                </c:pt>
                <c:pt idx="454">
                  <c:v>-39408</c:v>
                </c:pt>
                <c:pt idx="455">
                  <c:v>-38514</c:v>
                </c:pt>
                <c:pt idx="456">
                  <c:v>-38453</c:v>
                </c:pt>
                <c:pt idx="457">
                  <c:v>-38476</c:v>
                </c:pt>
                <c:pt idx="458">
                  <c:v>-38401</c:v>
                </c:pt>
                <c:pt idx="459">
                  <c:v>-38538</c:v>
                </c:pt>
                <c:pt idx="460">
                  <c:v>-38509</c:v>
                </c:pt>
                <c:pt idx="461">
                  <c:v>-38427</c:v>
                </c:pt>
                <c:pt idx="462">
                  <c:v>-38568</c:v>
                </c:pt>
                <c:pt idx="463">
                  <c:v>-38844</c:v>
                </c:pt>
                <c:pt idx="464">
                  <c:v>-38700</c:v>
                </c:pt>
                <c:pt idx="465">
                  <c:v>-38686</c:v>
                </c:pt>
                <c:pt idx="466">
                  <c:v>-39052</c:v>
                </c:pt>
                <c:pt idx="467">
                  <c:v>-39415</c:v>
                </c:pt>
                <c:pt idx="468">
                  <c:v>-39821</c:v>
                </c:pt>
                <c:pt idx="469">
                  <c:v>-40062</c:v>
                </c:pt>
                <c:pt idx="470">
                  <c:v>-41366</c:v>
                </c:pt>
                <c:pt idx="471">
                  <c:v>-42203</c:v>
                </c:pt>
                <c:pt idx="472">
                  <c:v>-41104</c:v>
                </c:pt>
                <c:pt idx="473">
                  <c:v>-39060</c:v>
                </c:pt>
                <c:pt idx="474">
                  <c:v>-38465</c:v>
                </c:pt>
                <c:pt idx="475">
                  <c:v>-38066</c:v>
                </c:pt>
                <c:pt idx="476">
                  <c:v>-38159</c:v>
                </c:pt>
                <c:pt idx="477">
                  <c:v>-37967</c:v>
                </c:pt>
                <c:pt idx="478">
                  <c:v>-38067</c:v>
                </c:pt>
                <c:pt idx="479">
                  <c:v>-38214</c:v>
                </c:pt>
                <c:pt idx="480">
                  <c:v>-38449</c:v>
                </c:pt>
                <c:pt idx="481">
                  <c:v>-38481</c:v>
                </c:pt>
                <c:pt idx="482">
                  <c:v>-38547</c:v>
                </c:pt>
                <c:pt idx="483">
                  <c:v>-38541</c:v>
                </c:pt>
                <c:pt idx="484">
                  <c:v>-38661</c:v>
                </c:pt>
                <c:pt idx="485">
                  <c:v>-39447</c:v>
                </c:pt>
                <c:pt idx="486">
                  <c:v>-40098</c:v>
                </c:pt>
                <c:pt idx="487">
                  <c:v>-39134</c:v>
                </c:pt>
                <c:pt idx="488">
                  <c:v>-39054</c:v>
                </c:pt>
                <c:pt idx="489">
                  <c:v>-39173</c:v>
                </c:pt>
                <c:pt idx="490">
                  <c:v>-40025</c:v>
                </c:pt>
                <c:pt idx="491">
                  <c:v>-39271</c:v>
                </c:pt>
                <c:pt idx="492">
                  <c:v>-39486</c:v>
                </c:pt>
                <c:pt idx="493">
                  <c:v>-40285</c:v>
                </c:pt>
                <c:pt idx="494">
                  <c:v>-39606</c:v>
                </c:pt>
                <c:pt idx="495">
                  <c:v>-39632</c:v>
                </c:pt>
                <c:pt idx="496">
                  <c:v>-39571</c:v>
                </c:pt>
                <c:pt idx="497">
                  <c:v>-39787</c:v>
                </c:pt>
                <c:pt idx="498">
                  <c:v>-39863</c:v>
                </c:pt>
                <c:pt idx="499">
                  <c:v>-39932</c:v>
                </c:pt>
                <c:pt idx="500">
                  <c:v>-39984</c:v>
                </c:pt>
                <c:pt idx="501">
                  <c:v>-40122</c:v>
                </c:pt>
                <c:pt idx="502">
                  <c:v>-40326</c:v>
                </c:pt>
                <c:pt idx="503">
                  <c:v>-40579</c:v>
                </c:pt>
                <c:pt idx="504">
                  <c:v>-40216</c:v>
                </c:pt>
                <c:pt idx="505">
                  <c:v>-40283</c:v>
                </c:pt>
                <c:pt idx="506">
                  <c:v>-41219</c:v>
                </c:pt>
                <c:pt idx="507">
                  <c:v>-40705</c:v>
                </c:pt>
                <c:pt idx="508">
                  <c:v>-40326</c:v>
                </c:pt>
                <c:pt idx="509">
                  <c:v>-40406</c:v>
                </c:pt>
                <c:pt idx="510">
                  <c:v>-40425</c:v>
                </c:pt>
                <c:pt idx="511">
                  <c:v>-40611</c:v>
                </c:pt>
                <c:pt idx="512">
                  <c:v>-40523</c:v>
                </c:pt>
                <c:pt idx="513">
                  <c:v>-40529</c:v>
                </c:pt>
                <c:pt idx="514">
                  <c:v>-40610</c:v>
                </c:pt>
                <c:pt idx="515">
                  <c:v>-40817</c:v>
                </c:pt>
                <c:pt idx="516">
                  <c:v>-40835</c:v>
                </c:pt>
                <c:pt idx="517">
                  <c:v>-41044</c:v>
                </c:pt>
                <c:pt idx="518">
                  <c:v>-41260</c:v>
                </c:pt>
                <c:pt idx="519">
                  <c:v>-41716</c:v>
                </c:pt>
                <c:pt idx="520">
                  <c:v>-42115</c:v>
                </c:pt>
                <c:pt idx="521">
                  <c:v>-42465</c:v>
                </c:pt>
                <c:pt idx="522">
                  <c:v>-43862</c:v>
                </c:pt>
                <c:pt idx="523">
                  <c:v>-45022</c:v>
                </c:pt>
                <c:pt idx="524">
                  <c:v>-45022</c:v>
                </c:pt>
                <c:pt idx="525">
                  <c:v>-44509</c:v>
                </c:pt>
                <c:pt idx="526">
                  <c:v>-42043</c:v>
                </c:pt>
                <c:pt idx="527">
                  <c:v>-41327</c:v>
                </c:pt>
                <c:pt idx="528">
                  <c:v>-40934</c:v>
                </c:pt>
                <c:pt idx="529">
                  <c:v>-40914</c:v>
                </c:pt>
                <c:pt idx="530">
                  <c:v>-40768</c:v>
                </c:pt>
                <c:pt idx="531">
                  <c:v>-40756</c:v>
                </c:pt>
                <c:pt idx="532">
                  <c:v>-40933</c:v>
                </c:pt>
                <c:pt idx="533">
                  <c:v>-41140</c:v>
                </c:pt>
                <c:pt idx="534">
                  <c:v>-41334</c:v>
                </c:pt>
                <c:pt idx="535">
                  <c:v>-41409</c:v>
                </c:pt>
                <c:pt idx="536">
                  <c:v>-42255</c:v>
                </c:pt>
                <c:pt idx="537">
                  <c:v>-42951</c:v>
                </c:pt>
                <c:pt idx="538">
                  <c:v>-41903</c:v>
                </c:pt>
                <c:pt idx="539">
                  <c:v>-41518</c:v>
                </c:pt>
                <c:pt idx="540">
                  <c:v>-41452</c:v>
                </c:pt>
                <c:pt idx="541">
                  <c:v>-41413</c:v>
                </c:pt>
                <c:pt idx="542">
                  <c:v>-41729</c:v>
                </c:pt>
                <c:pt idx="543">
                  <c:v>-42360</c:v>
                </c:pt>
                <c:pt idx="544">
                  <c:v>-41752</c:v>
                </c:pt>
                <c:pt idx="545">
                  <c:v>-41902</c:v>
                </c:pt>
                <c:pt idx="546">
                  <c:v>-42690</c:v>
                </c:pt>
                <c:pt idx="547">
                  <c:v>-42158</c:v>
                </c:pt>
                <c:pt idx="548">
                  <c:v>-42017</c:v>
                </c:pt>
                <c:pt idx="549">
                  <c:v>-42029</c:v>
                </c:pt>
                <c:pt idx="550">
                  <c:v>-42180</c:v>
                </c:pt>
                <c:pt idx="551">
                  <c:v>-42429</c:v>
                </c:pt>
                <c:pt idx="552">
                  <c:v>-42374</c:v>
                </c:pt>
                <c:pt idx="553">
                  <c:v>-42403</c:v>
                </c:pt>
                <c:pt idx="554">
                  <c:v>-42424</c:v>
                </c:pt>
                <c:pt idx="555">
                  <c:v>-42570</c:v>
                </c:pt>
                <c:pt idx="556">
                  <c:v>-42553</c:v>
                </c:pt>
                <c:pt idx="557">
                  <c:v>-42375</c:v>
                </c:pt>
                <c:pt idx="558">
                  <c:v>-42530</c:v>
                </c:pt>
                <c:pt idx="559">
                  <c:v>-43209</c:v>
                </c:pt>
                <c:pt idx="560">
                  <c:v>-42738</c:v>
                </c:pt>
                <c:pt idx="561">
                  <c:v>-42597</c:v>
                </c:pt>
                <c:pt idx="562">
                  <c:v>-42618</c:v>
                </c:pt>
                <c:pt idx="563">
                  <c:v>-42769</c:v>
                </c:pt>
                <c:pt idx="564">
                  <c:v>-42882</c:v>
                </c:pt>
                <c:pt idx="565">
                  <c:v>-43061</c:v>
                </c:pt>
                <c:pt idx="566">
                  <c:v>-43304</c:v>
                </c:pt>
                <c:pt idx="567">
                  <c:v>-43551</c:v>
                </c:pt>
                <c:pt idx="568">
                  <c:v>-43876</c:v>
                </c:pt>
                <c:pt idx="569">
                  <c:v>-43998</c:v>
                </c:pt>
                <c:pt idx="570">
                  <c:v>-44089</c:v>
                </c:pt>
                <c:pt idx="571">
                  <c:v>-44103</c:v>
                </c:pt>
                <c:pt idx="572">
                  <c:v>-44524</c:v>
                </c:pt>
                <c:pt idx="573">
                  <c:v>-44836</c:v>
                </c:pt>
                <c:pt idx="574">
                  <c:v>-45261</c:v>
                </c:pt>
                <c:pt idx="575">
                  <c:v>-45923</c:v>
                </c:pt>
                <c:pt idx="576">
                  <c:v>-49908</c:v>
                </c:pt>
                <c:pt idx="577">
                  <c:v>-46886</c:v>
                </c:pt>
                <c:pt idx="578">
                  <c:v>-45230</c:v>
                </c:pt>
                <c:pt idx="579">
                  <c:v>-44972</c:v>
                </c:pt>
                <c:pt idx="580">
                  <c:v>-44752</c:v>
                </c:pt>
                <c:pt idx="581">
                  <c:v>-44670</c:v>
                </c:pt>
                <c:pt idx="582">
                  <c:v>-44807</c:v>
                </c:pt>
                <c:pt idx="583">
                  <c:v>-44699</c:v>
                </c:pt>
                <c:pt idx="584">
                  <c:v>-44494</c:v>
                </c:pt>
                <c:pt idx="585">
                  <c:v>-44764</c:v>
                </c:pt>
                <c:pt idx="586">
                  <c:v>-44980</c:v>
                </c:pt>
                <c:pt idx="587">
                  <c:v>-44902</c:v>
                </c:pt>
                <c:pt idx="588">
                  <c:v>-45465</c:v>
                </c:pt>
                <c:pt idx="589">
                  <c:v>-45571</c:v>
                </c:pt>
                <c:pt idx="590">
                  <c:v>-45853</c:v>
                </c:pt>
                <c:pt idx="591">
                  <c:v>-46613</c:v>
                </c:pt>
                <c:pt idx="592">
                  <c:v>-47022</c:v>
                </c:pt>
                <c:pt idx="593">
                  <c:v>-46064</c:v>
                </c:pt>
                <c:pt idx="594">
                  <c:v>-45989</c:v>
                </c:pt>
                <c:pt idx="595">
                  <c:v>-46594</c:v>
                </c:pt>
                <c:pt idx="596">
                  <c:v>-45900</c:v>
                </c:pt>
                <c:pt idx="597">
                  <c:v>-45921</c:v>
                </c:pt>
                <c:pt idx="598">
                  <c:v>-46566</c:v>
                </c:pt>
                <c:pt idx="599">
                  <c:v>-46250</c:v>
                </c:pt>
                <c:pt idx="600">
                  <c:v>-46068</c:v>
                </c:pt>
                <c:pt idx="601">
                  <c:v>-46029</c:v>
                </c:pt>
                <c:pt idx="602">
                  <c:v>-46143</c:v>
                </c:pt>
                <c:pt idx="603">
                  <c:v>-46413</c:v>
                </c:pt>
                <c:pt idx="604">
                  <c:v>-46454</c:v>
                </c:pt>
                <c:pt idx="605">
                  <c:v>-46509</c:v>
                </c:pt>
                <c:pt idx="606">
                  <c:v>-46522</c:v>
                </c:pt>
                <c:pt idx="607">
                  <c:v>-46754</c:v>
                </c:pt>
                <c:pt idx="608">
                  <c:v>-46761</c:v>
                </c:pt>
                <c:pt idx="609">
                  <c:v>-46671</c:v>
                </c:pt>
                <c:pt idx="610">
                  <c:v>-46556</c:v>
                </c:pt>
                <c:pt idx="611">
                  <c:v>-46740</c:v>
                </c:pt>
                <c:pt idx="612">
                  <c:v>-47320</c:v>
                </c:pt>
                <c:pt idx="613">
                  <c:v>-47307</c:v>
                </c:pt>
                <c:pt idx="614">
                  <c:v>-46736</c:v>
                </c:pt>
                <c:pt idx="615">
                  <c:v>-46698</c:v>
                </c:pt>
                <c:pt idx="616">
                  <c:v>-47040</c:v>
                </c:pt>
                <c:pt idx="617">
                  <c:v>-46958</c:v>
                </c:pt>
                <c:pt idx="618">
                  <c:v>-46922</c:v>
                </c:pt>
                <c:pt idx="619">
                  <c:v>-46998</c:v>
                </c:pt>
                <c:pt idx="620">
                  <c:v>-47164</c:v>
                </c:pt>
                <c:pt idx="621">
                  <c:v>-47334</c:v>
                </c:pt>
                <c:pt idx="622">
                  <c:v>-47193</c:v>
                </c:pt>
                <c:pt idx="623">
                  <c:v>-47234</c:v>
                </c:pt>
                <c:pt idx="624">
                  <c:v>-49278</c:v>
                </c:pt>
                <c:pt idx="625">
                  <c:v>-50033</c:v>
                </c:pt>
                <c:pt idx="626">
                  <c:v>-50273</c:v>
                </c:pt>
                <c:pt idx="627">
                  <c:v>-51077</c:v>
                </c:pt>
                <c:pt idx="628">
                  <c:v>-53078</c:v>
                </c:pt>
                <c:pt idx="629">
                  <c:v>-52866</c:v>
                </c:pt>
                <c:pt idx="630">
                  <c:v>-51215</c:v>
                </c:pt>
                <c:pt idx="631">
                  <c:v>-50036</c:v>
                </c:pt>
                <c:pt idx="632">
                  <c:v>-49496</c:v>
                </c:pt>
                <c:pt idx="633">
                  <c:v>-49488</c:v>
                </c:pt>
                <c:pt idx="634">
                  <c:v>-49615</c:v>
                </c:pt>
                <c:pt idx="635">
                  <c:v>-49531</c:v>
                </c:pt>
                <c:pt idx="636">
                  <c:v>-49486</c:v>
                </c:pt>
                <c:pt idx="637">
                  <c:v>-49628</c:v>
                </c:pt>
                <c:pt idx="638">
                  <c:v>-49798</c:v>
                </c:pt>
                <c:pt idx="639">
                  <c:v>-49866</c:v>
                </c:pt>
                <c:pt idx="640">
                  <c:v>-50041</c:v>
                </c:pt>
                <c:pt idx="641">
                  <c:v>-50400</c:v>
                </c:pt>
                <c:pt idx="642">
                  <c:v>-51249</c:v>
                </c:pt>
                <c:pt idx="643">
                  <c:v>-51809</c:v>
                </c:pt>
                <c:pt idx="644">
                  <c:v>-50611</c:v>
                </c:pt>
                <c:pt idx="645">
                  <c:v>-50514</c:v>
                </c:pt>
                <c:pt idx="646">
                  <c:v>-50745</c:v>
                </c:pt>
                <c:pt idx="647">
                  <c:v>-51469</c:v>
                </c:pt>
                <c:pt idx="648">
                  <c:v>-50850</c:v>
                </c:pt>
                <c:pt idx="649">
                  <c:v>-50920</c:v>
                </c:pt>
                <c:pt idx="650">
                  <c:v>-51164</c:v>
                </c:pt>
                <c:pt idx="651">
                  <c:v>-51871</c:v>
                </c:pt>
                <c:pt idx="652">
                  <c:v>-51302</c:v>
                </c:pt>
                <c:pt idx="653">
                  <c:v>-51206</c:v>
                </c:pt>
                <c:pt idx="654">
                  <c:v>-51145</c:v>
                </c:pt>
                <c:pt idx="655">
                  <c:v>-51412</c:v>
                </c:pt>
                <c:pt idx="656">
                  <c:v>-51267</c:v>
                </c:pt>
                <c:pt idx="657">
                  <c:v>-51063</c:v>
                </c:pt>
                <c:pt idx="658">
                  <c:v>-51037</c:v>
                </c:pt>
                <c:pt idx="659">
                  <c:v>-51285</c:v>
                </c:pt>
                <c:pt idx="660">
                  <c:v>-51383</c:v>
                </c:pt>
                <c:pt idx="661">
                  <c:v>-51089</c:v>
                </c:pt>
                <c:pt idx="662">
                  <c:v>-51105</c:v>
                </c:pt>
                <c:pt idx="663">
                  <c:v>-51392</c:v>
                </c:pt>
                <c:pt idx="664">
                  <c:v>-52300</c:v>
                </c:pt>
                <c:pt idx="665">
                  <c:v>-51438</c:v>
                </c:pt>
                <c:pt idx="666">
                  <c:v>-50988</c:v>
                </c:pt>
                <c:pt idx="667">
                  <c:v>-51050</c:v>
                </c:pt>
                <c:pt idx="668">
                  <c:v>-51367</c:v>
                </c:pt>
                <c:pt idx="669">
                  <c:v>-51209</c:v>
                </c:pt>
                <c:pt idx="670">
                  <c:v>-51145</c:v>
                </c:pt>
                <c:pt idx="671">
                  <c:v>-51145</c:v>
                </c:pt>
                <c:pt idx="672">
                  <c:v>-51520</c:v>
                </c:pt>
                <c:pt idx="673">
                  <c:v>-51513</c:v>
                </c:pt>
                <c:pt idx="674">
                  <c:v>-51391</c:v>
                </c:pt>
                <c:pt idx="675">
                  <c:v>-51459</c:v>
                </c:pt>
                <c:pt idx="676">
                  <c:v>-51756</c:v>
                </c:pt>
                <c:pt idx="677">
                  <c:v>-52475</c:v>
                </c:pt>
                <c:pt idx="678">
                  <c:v>-52899</c:v>
                </c:pt>
                <c:pt idx="679">
                  <c:v>-53165</c:v>
                </c:pt>
                <c:pt idx="680">
                  <c:v>-54657</c:v>
                </c:pt>
                <c:pt idx="681">
                  <c:v>-54807</c:v>
                </c:pt>
                <c:pt idx="682">
                  <c:v>-53364</c:v>
                </c:pt>
                <c:pt idx="683">
                  <c:v>-52180</c:v>
                </c:pt>
                <c:pt idx="684">
                  <c:v>-51776</c:v>
                </c:pt>
                <c:pt idx="685">
                  <c:v>-51712</c:v>
                </c:pt>
                <c:pt idx="686">
                  <c:v>-51671</c:v>
                </c:pt>
                <c:pt idx="687">
                  <c:v>-51556</c:v>
                </c:pt>
                <c:pt idx="688">
                  <c:v>-51542</c:v>
                </c:pt>
                <c:pt idx="689">
                  <c:v>-51628</c:v>
                </c:pt>
                <c:pt idx="690">
                  <c:v>-51924</c:v>
                </c:pt>
                <c:pt idx="691">
                  <c:v>-51833</c:v>
                </c:pt>
                <c:pt idx="692">
                  <c:v>-51793</c:v>
                </c:pt>
                <c:pt idx="693">
                  <c:v>-51970</c:v>
                </c:pt>
                <c:pt idx="694">
                  <c:v>-52338</c:v>
                </c:pt>
                <c:pt idx="695">
                  <c:v>-52326</c:v>
                </c:pt>
                <c:pt idx="696">
                  <c:v>-52291</c:v>
                </c:pt>
                <c:pt idx="697">
                  <c:v>-53240</c:v>
                </c:pt>
                <c:pt idx="698">
                  <c:v>-54544</c:v>
                </c:pt>
                <c:pt idx="699">
                  <c:v>-54053</c:v>
                </c:pt>
                <c:pt idx="700">
                  <c:v>-53216</c:v>
                </c:pt>
                <c:pt idx="701">
                  <c:v>-52867</c:v>
                </c:pt>
                <c:pt idx="702">
                  <c:v>-53376</c:v>
                </c:pt>
                <c:pt idx="703">
                  <c:v>-53982</c:v>
                </c:pt>
                <c:pt idx="704">
                  <c:v>-53489</c:v>
                </c:pt>
                <c:pt idx="705">
                  <c:v>-53458</c:v>
                </c:pt>
                <c:pt idx="706">
                  <c:v>-53434</c:v>
                </c:pt>
                <c:pt idx="707">
                  <c:v>-53880</c:v>
                </c:pt>
                <c:pt idx="708">
                  <c:v>-54146</c:v>
                </c:pt>
                <c:pt idx="709">
                  <c:v>-54209</c:v>
                </c:pt>
                <c:pt idx="710">
                  <c:v>-54125</c:v>
                </c:pt>
                <c:pt idx="711">
                  <c:v>-54186</c:v>
                </c:pt>
                <c:pt idx="712">
                  <c:v>-54292</c:v>
                </c:pt>
                <c:pt idx="713">
                  <c:v>-54250</c:v>
                </c:pt>
                <c:pt idx="714">
                  <c:v>-54103</c:v>
                </c:pt>
                <c:pt idx="715">
                  <c:v>-54400</c:v>
                </c:pt>
                <c:pt idx="716">
                  <c:v>-55122</c:v>
                </c:pt>
                <c:pt idx="717">
                  <c:v>-54430</c:v>
                </c:pt>
                <c:pt idx="718">
                  <c:v>-54410</c:v>
                </c:pt>
                <c:pt idx="719">
                  <c:v>-54465</c:v>
                </c:pt>
                <c:pt idx="720">
                  <c:v>-54607</c:v>
                </c:pt>
                <c:pt idx="721">
                  <c:v>-54546</c:v>
                </c:pt>
                <c:pt idx="722">
                  <c:v>-54576</c:v>
                </c:pt>
                <c:pt idx="723">
                  <c:v>-54513</c:v>
                </c:pt>
                <c:pt idx="724">
                  <c:v>-54877</c:v>
                </c:pt>
                <c:pt idx="725">
                  <c:v>-55061</c:v>
                </c:pt>
                <c:pt idx="726">
                  <c:v>-55008</c:v>
                </c:pt>
                <c:pt idx="727">
                  <c:v>-55107</c:v>
                </c:pt>
                <c:pt idx="728">
                  <c:v>-55252</c:v>
                </c:pt>
                <c:pt idx="729">
                  <c:v>-55754</c:v>
                </c:pt>
                <c:pt idx="730">
                  <c:v>-56149</c:v>
                </c:pt>
                <c:pt idx="731">
                  <c:v>-56526</c:v>
                </c:pt>
                <c:pt idx="732">
                  <c:v>-57376</c:v>
                </c:pt>
                <c:pt idx="733">
                  <c:v>-57832</c:v>
                </c:pt>
                <c:pt idx="734">
                  <c:v>-56615</c:v>
                </c:pt>
                <c:pt idx="735">
                  <c:v>-55206</c:v>
                </c:pt>
                <c:pt idx="736">
                  <c:v>-54584</c:v>
                </c:pt>
                <c:pt idx="737">
                  <c:v>-54527</c:v>
                </c:pt>
                <c:pt idx="738">
                  <c:v>-54670</c:v>
                </c:pt>
                <c:pt idx="739">
                  <c:v>-54655</c:v>
                </c:pt>
                <c:pt idx="740">
                  <c:v>-54568</c:v>
                </c:pt>
                <c:pt idx="741">
                  <c:v>-54733</c:v>
                </c:pt>
                <c:pt idx="742">
                  <c:v>-54921</c:v>
                </c:pt>
                <c:pt idx="743">
                  <c:v>-55269</c:v>
                </c:pt>
                <c:pt idx="744">
                  <c:v>-55015</c:v>
                </c:pt>
                <c:pt idx="745">
                  <c:v>-55022</c:v>
                </c:pt>
                <c:pt idx="746">
                  <c:v>-55278</c:v>
                </c:pt>
                <c:pt idx="747">
                  <c:v>-56331</c:v>
                </c:pt>
                <c:pt idx="748">
                  <c:v>-56561</c:v>
                </c:pt>
                <c:pt idx="749">
                  <c:v>-55662</c:v>
                </c:pt>
                <c:pt idx="750">
                  <c:v>-55276</c:v>
                </c:pt>
                <c:pt idx="751">
                  <c:v>-55539</c:v>
                </c:pt>
                <c:pt idx="752">
                  <c:v>-55942</c:v>
                </c:pt>
                <c:pt idx="753">
                  <c:v>-55529</c:v>
                </c:pt>
                <c:pt idx="754">
                  <c:v>-55520</c:v>
                </c:pt>
                <c:pt idx="755">
                  <c:v>-56183</c:v>
                </c:pt>
                <c:pt idx="756">
                  <c:v>-57194</c:v>
                </c:pt>
                <c:pt idx="757">
                  <c:v>-56492</c:v>
                </c:pt>
                <c:pt idx="758">
                  <c:v>-56178</c:v>
                </c:pt>
                <c:pt idx="759">
                  <c:v>-56557</c:v>
                </c:pt>
                <c:pt idx="760">
                  <c:v>-56797</c:v>
                </c:pt>
                <c:pt idx="761">
                  <c:v>-56838</c:v>
                </c:pt>
                <c:pt idx="762">
                  <c:v>-56788</c:v>
                </c:pt>
                <c:pt idx="763">
                  <c:v>-57207</c:v>
                </c:pt>
                <c:pt idx="764">
                  <c:v>-57413</c:v>
                </c:pt>
                <c:pt idx="765">
                  <c:v>-57362</c:v>
                </c:pt>
                <c:pt idx="766">
                  <c:v>-57188</c:v>
                </c:pt>
                <c:pt idx="767">
                  <c:v>-57347</c:v>
                </c:pt>
                <c:pt idx="768">
                  <c:v>-57682</c:v>
                </c:pt>
                <c:pt idx="769">
                  <c:v>-57553</c:v>
                </c:pt>
                <c:pt idx="770">
                  <c:v>-57237</c:v>
                </c:pt>
                <c:pt idx="771">
                  <c:v>-56958</c:v>
                </c:pt>
                <c:pt idx="772">
                  <c:v>-57064</c:v>
                </c:pt>
                <c:pt idx="773">
                  <c:v>-57345</c:v>
                </c:pt>
                <c:pt idx="774">
                  <c:v>-57083</c:v>
                </c:pt>
                <c:pt idx="775">
                  <c:v>-57138</c:v>
                </c:pt>
                <c:pt idx="776">
                  <c:v>-57292</c:v>
                </c:pt>
                <c:pt idx="777">
                  <c:v>-57670</c:v>
                </c:pt>
                <c:pt idx="778">
                  <c:v>-57531</c:v>
                </c:pt>
                <c:pt idx="779">
                  <c:v>-57602</c:v>
                </c:pt>
                <c:pt idx="780">
                  <c:v>-57537</c:v>
                </c:pt>
                <c:pt idx="781">
                  <c:v>-57962</c:v>
                </c:pt>
                <c:pt idx="782">
                  <c:v>-58445</c:v>
                </c:pt>
                <c:pt idx="783">
                  <c:v>-58803</c:v>
                </c:pt>
                <c:pt idx="784">
                  <c:v>-59774</c:v>
                </c:pt>
                <c:pt idx="785">
                  <c:v>-60621</c:v>
                </c:pt>
                <c:pt idx="786">
                  <c:v>-60085</c:v>
                </c:pt>
                <c:pt idx="787">
                  <c:v>-57954</c:v>
                </c:pt>
                <c:pt idx="788">
                  <c:v>-57146</c:v>
                </c:pt>
                <c:pt idx="789">
                  <c:v>-57046</c:v>
                </c:pt>
                <c:pt idx="790">
                  <c:v>-57169</c:v>
                </c:pt>
                <c:pt idx="791">
                  <c:v>-57194</c:v>
                </c:pt>
                <c:pt idx="792">
                  <c:v>-57176</c:v>
                </c:pt>
                <c:pt idx="793">
                  <c:v>-57242</c:v>
                </c:pt>
                <c:pt idx="794">
                  <c:v>-57661</c:v>
                </c:pt>
                <c:pt idx="795">
                  <c:v>-57766</c:v>
                </c:pt>
                <c:pt idx="796">
                  <c:v>-57880</c:v>
                </c:pt>
                <c:pt idx="797">
                  <c:v>-58018</c:v>
                </c:pt>
                <c:pt idx="798">
                  <c:v>-59083</c:v>
                </c:pt>
                <c:pt idx="799">
                  <c:v>-59587</c:v>
                </c:pt>
                <c:pt idx="800">
                  <c:v>-58676</c:v>
                </c:pt>
                <c:pt idx="801">
                  <c:v>-58356</c:v>
                </c:pt>
                <c:pt idx="802">
                  <c:v>-58508</c:v>
                </c:pt>
                <c:pt idx="803">
                  <c:v>-58972</c:v>
                </c:pt>
                <c:pt idx="804">
                  <c:v>-59237</c:v>
                </c:pt>
                <c:pt idx="805">
                  <c:v>-58754</c:v>
                </c:pt>
                <c:pt idx="806">
                  <c:v>-58889</c:v>
                </c:pt>
                <c:pt idx="807">
                  <c:v>-59512</c:v>
                </c:pt>
                <c:pt idx="808">
                  <c:v>-59132</c:v>
                </c:pt>
                <c:pt idx="809">
                  <c:v>-59110</c:v>
                </c:pt>
                <c:pt idx="810">
                  <c:v>-59101</c:v>
                </c:pt>
                <c:pt idx="811">
                  <c:v>-59264</c:v>
                </c:pt>
                <c:pt idx="812">
                  <c:v>-59522</c:v>
                </c:pt>
                <c:pt idx="813">
                  <c:v>-59521</c:v>
                </c:pt>
                <c:pt idx="814">
                  <c:v>-59710</c:v>
                </c:pt>
                <c:pt idx="815">
                  <c:v>-59747</c:v>
                </c:pt>
                <c:pt idx="816">
                  <c:v>-59945</c:v>
                </c:pt>
                <c:pt idx="817">
                  <c:v>-59900</c:v>
                </c:pt>
                <c:pt idx="818">
                  <c:v>-59824</c:v>
                </c:pt>
                <c:pt idx="819">
                  <c:v>-59976</c:v>
                </c:pt>
                <c:pt idx="820">
                  <c:v>-60475</c:v>
                </c:pt>
                <c:pt idx="821">
                  <c:v>-60050</c:v>
                </c:pt>
                <c:pt idx="822">
                  <c:v>-59821</c:v>
                </c:pt>
                <c:pt idx="823">
                  <c:v>-59684</c:v>
                </c:pt>
                <c:pt idx="824">
                  <c:v>-59817</c:v>
                </c:pt>
                <c:pt idx="825">
                  <c:v>-59853</c:v>
                </c:pt>
                <c:pt idx="826">
                  <c:v>-59759</c:v>
                </c:pt>
                <c:pt idx="827">
                  <c:v>-59737</c:v>
                </c:pt>
                <c:pt idx="828">
                  <c:v>-59809</c:v>
                </c:pt>
                <c:pt idx="829">
                  <c:v>-60226</c:v>
                </c:pt>
                <c:pt idx="830">
                  <c:v>-60224</c:v>
                </c:pt>
                <c:pt idx="831">
                  <c:v>-60092</c:v>
                </c:pt>
                <c:pt idx="832">
                  <c:v>-60273</c:v>
                </c:pt>
                <c:pt idx="833">
                  <c:v>-60617</c:v>
                </c:pt>
                <c:pt idx="834">
                  <c:v>-61171</c:v>
                </c:pt>
                <c:pt idx="835">
                  <c:v>-61489</c:v>
                </c:pt>
                <c:pt idx="836">
                  <c:v>-62117</c:v>
                </c:pt>
                <c:pt idx="837">
                  <c:v>-63425</c:v>
                </c:pt>
                <c:pt idx="838">
                  <c:v>-62470</c:v>
                </c:pt>
                <c:pt idx="839">
                  <c:v>-60517</c:v>
                </c:pt>
                <c:pt idx="840">
                  <c:v>-59688</c:v>
                </c:pt>
                <c:pt idx="841">
                  <c:v>-59438</c:v>
                </c:pt>
                <c:pt idx="842">
                  <c:v>-59478</c:v>
                </c:pt>
                <c:pt idx="843">
                  <c:v>-59528</c:v>
                </c:pt>
                <c:pt idx="844">
                  <c:v>-59444</c:v>
                </c:pt>
                <c:pt idx="845">
                  <c:v>-59391</c:v>
                </c:pt>
                <c:pt idx="846">
                  <c:v>-59610</c:v>
                </c:pt>
                <c:pt idx="847">
                  <c:v>-59721</c:v>
                </c:pt>
                <c:pt idx="848">
                  <c:v>-59758</c:v>
                </c:pt>
                <c:pt idx="849">
                  <c:v>-59820</c:v>
                </c:pt>
                <c:pt idx="850">
                  <c:v>-60104</c:v>
                </c:pt>
                <c:pt idx="851">
                  <c:v>-60447</c:v>
                </c:pt>
                <c:pt idx="852">
                  <c:v>-60479</c:v>
                </c:pt>
                <c:pt idx="853">
                  <c:v>-61421</c:v>
                </c:pt>
                <c:pt idx="854">
                  <c:v>-61661</c:v>
                </c:pt>
                <c:pt idx="855">
                  <c:v>-61255</c:v>
                </c:pt>
                <c:pt idx="856">
                  <c:v>-61436</c:v>
                </c:pt>
                <c:pt idx="857">
                  <c:v>-60778</c:v>
                </c:pt>
                <c:pt idx="858">
                  <c:v>-60993</c:v>
                </c:pt>
                <c:pt idx="859">
                  <c:v>-61436</c:v>
                </c:pt>
                <c:pt idx="860">
                  <c:v>-61175</c:v>
                </c:pt>
                <c:pt idx="861">
                  <c:v>-61157</c:v>
                </c:pt>
                <c:pt idx="862">
                  <c:v>-61164</c:v>
                </c:pt>
                <c:pt idx="863">
                  <c:v>-61410</c:v>
                </c:pt>
                <c:pt idx="864">
                  <c:v>-61641</c:v>
                </c:pt>
                <c:pt idx="865">
                  <c:v>-61644</c:v>
                </c:pt>
                <c:pt idx="866">
                  <c:v>-61685</c:v>
                </c:pt>
                <c:pt idx="867">
                  <c:v>-61770</c:v>
                </c:pt>
                <c:pt idx="868">
                  <c:v>-62163</c:v>
                </c:pt>
                <c:pt idx="869">
                  <c:v>-62150</c:v>
                </c:pt>
                <c:pt idx="870">
                  <c:v>-62080</c:v>
                </c:pt>
                <c:pt idx="871">
                  <c:v>-62109</c:v>
                </c:pt>
                <c:pt idx="872">
                  <c:v>-62512</c:v>
                </c:pt>
                <c:pt idx="873">
                  <c:v>-62365</c:v>
                </c:pt>
                <c:pt idx="874">
                  <c:v>-62341</c:v>
                </c:pt>
                <c:pt idx="875">
                  <c:v>-62391</c:v>
                </c:pt>
                <c:pt idx="876">
                  <c:v>-62598</c:v>
                </c:pt>
                <c:pt idx="877">
                  <c:v>-62704</c:v>
                </c:pt>
                <c:pt idx="878">
                  <c:v>-62617</c:v>
                </c:pt>
                <c:pt idx="879">
                  <c:v>-62607</c:v>
                </c:pt>
                <c:pt idx="880">
                  <c:v>-62562</c:v>
                </c:pt>
                <c:pt idx="881">
                  <c:v>-63059</c:v>
                </c:pt>
                <c:pt idx="882">
                  <c:v>-63060</c:v>
                </c:pt>
                <c:pt idx="883">
                  <c:v>-63108</c:v>
                </c:pt>
                <c:pt idx="884">
                  <c:v>-63128</c:v>
                </c:pt>
                <c:pt idx="885">
                  <c:v>-63672</c:v>
                </c:pt>
                <c:pt idx="886">
                  <c:v>-64298</c:v>
                </c:pt>
                <c:pt idx="887">
                  <c:v>-64724</c:v>
                </c:pt>
                <c:pt idx="888">
                  <c:v>-65253</c:v>
                </c:pt>
                <c:pt idx="889">
                  <c:v>-66876</c:v>
                </c:pt>
                <c:pt idx="890">
                  <c:v>-66038</c:v>
                </c:pt>
                <c:pt idx="891">
                  <c:v>-64454</c:v>
                </c:pt>
                <c:pt idx="892">
                  <c:v>-63275</c:v>
                </c:pt>
                <c:pt idx="893">
                  <c:v>-62905</c:v>
                </c:pt>
                <c:pt idx="894">
                  <c:v>-62941</c:v>
                </c:pt>
                <c:pt idx="895">
                  <c:v>-63282</c:v>
                </c:pt>
                <c:pt idx="896">
                  <c:v>-63284</c:v>
                </c:pt>
                <c:pt idx="897">
                  <c:v>-63008</c:v>
                </c:pt>
                <c:pt idx="898">
                  <c:v>-63309</c:v>
                </c:pt>
                <c:pt idx="899">
                  <c:v>-63584</c:v>
                </c:pt>
                <c:pt idx="900">
                  <c:v>-63691</c:v>
                </c:pt>
                <c:pt idx="901">
                  <c:v>-63715</c:v>
                </c:pt>
                <c:pt idx="902">
                  <c:v>-64104</c:v>
                </c:pt>
                <c:pt idx="903">
                  <c:v>-65030</c:v>
                </c:pt>
                <c:pt idx="904">
                  <c:v>-65256</c:v>
                </c:pt>
                <c:pt idx="905">
                  <c:v>-64494</c:v>
                </c:pt>
                <c:pt idx="906">
                  <c:v>-64364</c:v>
                </c:pt>
                <c:pt idx="907">
                  <c:v>-64809</c:v>
                </c:pt>
                <c:pt idx="908">
                  <c:v>-65415</c:v>
                </c:pt>
                <c:pt idx="909">
                  <c:v>-64529</c:v>
                </c:pt>
                <c:pt idx="910">
                  <c:v>-64675</c:v>
                </c:pt>
                <c:pt idx="911">
                  <c:v>-65316</c:v>
                </c:pt>
                <c:pt idx="912">
                  <c:v>-65197</c:v>
                </c:pt>
                <c:pt idx="913">
                  <c:v>-65167</c:v>
                </c:pt>
                <c:pt idx="914">
                  <c:v>-65054</c:v>
                </c:pt>
                <c:pt idx="915">
                  <c:v>-65184</c:v>
                </c:pt>
                <c:pt idx="916">
                  <c:v>-65567</c:v>
                </c:pt>
                <c:pt idx="917">
                  <c:v>-65578</c:v>
                </c:pt>
                <c:pt idx="918">
                  <c:v>-65680</c:v>
                </c:pt>
                <c:pt idx="919">
                  <c:v>-66030</c:v>
                </c:pt>
                <c:pt idx="920">
                  <c:v>-66233</c:v>
                </c:pt>
                <c:pt idx="921">
                  <c:v>-66220</c:v>
                </c:pt>
                <c:pt idx="922">
                  <c:v>-66215</c:v>
                </c:pt>
                <c:pt idx="923">
                  <c:v>-66189</c:v>
                </c:pt>
                <c:pt idx="924">
                  <c:v>-66304</c:v>
                </c:pt>
                <c:pt idx="925">
                  <c:v>-66749</c:v>
                </c:pt>
                <c:pt idx="926">
                  <c:v>-66089</c:v>
                </c:pt>
                <c:pt idx="927">
                  <c:v>-66071</c:v>
                </c:pt>
                <c:pt idx="928">
                  <c:v>-66131</c:v>
                </c:pt>
                <c:pt idx="929">
                  <c:v>-66428</c:v>
                </c:pt>
                <c:pt idx="930">
                  <c:v>-66511</c:v>
                </c:pt>
                <c:pt idx="931">
                  <c:v>-66351</c:v>
                </c:pt>
                <c:pt idx="932">
                  <c:v>-66343</c:v>
                </c:pt>
                <c:pt idx="933">
                  <c:v>-66677</c:v>
                </c:pt>
                <c:pt idx="934">
                  <c:v>-66872</c:v>
                </c:pt>
                <c:pt idx="935">
                  <c:v>-66829</c:v>
                </c:pt>
                <c:pt idx="936">
                  <c:v>-66831</c:v>
                </c:pt>
                <c:pt idx="937">
                  <c:v>-67178</c:v>
                </c:pt>
                <c:pt idx="938">
                  <c:v>-67681</c:v>
                </c:pt>
                <c:pt idx="939">
                  <c:v>-67899</c:v>
                </c:pt>
                <c:pt idx="940">
                  <c:v>-68333</c:v>
                </c:pt>
                <c:pt idx="941">
                  <c:v>-69779</c:v>
                </c:pt>
                <c:pt idx="942">
                  <c:v>-69754</c:v>
                </c:pt>
                <c:pt idx="943">
                  <c:v>-68222</c:v>
                </c:pt>
                <c:pt idx="944">
                  <c:v>-66948</c:v>
                </c:pt>
                <c:pt idx="945">
                  <c:v>-66573</c:v>
                </c:pt>
                <c:pt idx="946">
                  <c:v>-66841</c:v>
                </c:pt>
                <c:pt idx="947">
                  <c:v>-67101</c:v>
                </c:pt>
                <c:pt idx="948">
                  <c:v>-67006</c:v>
                </c:pt>
                <c:pt idx="949">
                  <c:v>-66978</c:v>
                </c:pt>
                <c:pt idx="950">
                  <c:v>-67235</c:v>
                </c:pt>
                <c:pt idx="951">
                  <c:v>-67629</c:v>
                </c:pt>
                <c:pt idx="952">
                  <c:v>-67823</c:v>
                </c:pt>
                <c:pt idx="953">
                  <c:v>-67874</c:v>
                </c:pt>
                <c:pt idx="954">
                  <c:v>-68755</c:v>
                </c:pt>
                <c:pt idx="955">
                  <c:v>-69591</c:v>
                </c:pt>
                <c:pt idx="956">
                  <c:v>-68955</c:v>
                </c:pt>
                <c:pt idx="957">
                  <c:v>-68654</c:v>
                </c:pt>
                <c:pt idx="958">
                  <c:v>-68764</c:v>
                </c:pt>
                <c:pt idx="959">
                  <c:v>-69301</c:v>
                </c:pt>
                <c:pt idx="960">
                  <c:v>-69871</c:v>
                </c:pt>
                <c:pt idx="961">
                  <c:v>-69655</c:v>
                </c:pt>
                <c:pt idx="962">
                  <c:v>-69523</c:v>
                </c:pt>
                <c:pt idx="963">
                  <c:v>-69687</c:v>
                </c:pt>
                <c:pt idx="964">
                  <c:v>-70391</c:v>
                </c:pt>
                <c:pt idx="965">
                  <c:v>-69949</c:v>
                </c:pt>
                <c:pt idx="966">
                  <c:v>-69976</c:v>
                </c:pt>
                <c:pt idx="967">
                  <c:v>-70185</c:v>
                </c:pt>
                <c:pt idx="968">
                  <c:v>-70969</c:v>
                </c:pt>
                <c:pt idx="969">
                  <c:v>-71366</c:v>
                </c:pt>
                <c:pt idx="970">
                  <c:v>-71519</c:v>
                </c:pt>
                <c:pt idx="971">
                  <c:v>-71519</c:v>
                </c:pt>
                <c:pt idx="972">
                  <c:v>-71751</c:v>
                </c:pt>
                <c:pt idx="973">
                  <c:v>-71978</c:v>
                </c:pt>
                <c:pt idx="974">
                  <c:v>-71977</c:v>
                </c:pt>
                <c:pt idx="975">
                  <c:v>-71955</c:v>
                </c:pt>
                <c:pt idx="976">
                  <c:v>-72261</c:v>
                </c:pt>
                <c:pt idx="977">
                  <c:v>-72714</c:v>
                </c:pt>
                <c:pt idx="978">
                  <c:v>-72534</c:v>
                </c:pt>
                <c:pt idx="979">
                  <c:v>-72478</c:v>
                </c:pt>
                <c:pt idx="980">
                  <c:v>-72382</c:v>
                </c:pt>
                <c:pt idx="981">
                  <c:v>-72603</c:v>
                </c:pt>
                <c:pt idx="982">
                  <c:v>-72708</c:v>
                </c:pt>
                <c:pt idx="983">
                  <c:v>-72646</c:v>
                </c:pt>
                <c:pt idx="984">
                  <c:v>-72665</c:v>
                </c:pt>
                <c:pt idx="985">
                  <c:v>-72950</c:v>
                </c:pt>
                <c:pt idx="986">
                  <c:v>-73214</c:v>
                </c:pt>
                <c:pt idx="987">
                  <c:v>-73263</c:v>
                </c:pt>
                <c:pt idx="988">
                  <c:v>-73226</c:v>
                </c:pt>
                <c:pt idx="989">
                  <c:v>-73601</c:v>
                </c:pt>
                <c:pt idx="990">
                  <c:v>-73974</c:v>
                </c:pt>
                <c:pt idx="991">
                  <c:v>-74266</c:v>
                </c:pt>
                <c:pt idx="992">
                  <c:v>-74742</c:v>
                </c:pt>
                <c:pt idx="993">
                  <c:v>-75870</c:v>
                </c:pt>
                <c:pt idx="994">
                  <c:v>-76367</c:v>
                </c:pt>
                <c:pt idx="995">
                  <c:v>-75013</c:v>
                </c:pt>
                <c:pt idx="996">
                  <c:v>-73944</c:v>
                </c:pt>
                <c:pt idx="997">
                  <c:v>-73260</c:v>
                </c:pt>
                <c:pt idx="998">
                  <c:v>-72990</c:v>
                </c:pt>
                <c:pt idx="999">
                  <c:v>-73127</c:v>
                </c:pt>
                <c:pt idx="1000">
                  <c:v>-72991</c:v>
                </c:pt>
                <c:pt idx="1001">
                  <c:v>-72966</c:v>
                </c:pt>
                <c:pt idx="1002">
                  <c:v>-72974</c:v>
                </c:pt>
                <c:pt idx="1003">
                  <c:v>-73287</c:v>
                </c:pt>
                <c:pt idx="1004">
                  <c:v>-73222</c:v>
                </c:pt>
                <c:pt idx="1005">
                  <c:v>-73170</c:v>
                </c:pt>
                <c:pt idx="1006">
                  <c:v>-73352</c:v>
                </c:pt>
                <c:pt idx="1007">
                  <c:v>-73608</c:v>
                </c:pt>
                <c:pt idx="1008">
                  <c:v>-73916</c:v>
                </c:pt>
                <c:pt idx="1009">
                  <c:v>-74383</c:v>
                </c:pt>
                <c:pt idx="1010">
                  <c:v>-74841</c:v>
                </c:pt>
                <c:pt idx="1011">
                  <c:v>-74239</c:v>
                </c:pt>
                <c:pt idx="1012">
                  <c:v>-74706</c:v>
                </c:pt>
                <c:pt idx="1013">
                  <c:v>-74066</c:v>
                </c:pt>
                <c:pt idx="1014">
                  <c:v>-73733</c:v>
                </c:pt>
                <c:pt idx="1015">
                  <c:v>-74165</c:v>
                </c:pt>
                <c:pt idx="1016">
                  <c:v>-74776</c:v>
                </c:pt>
                <c:pt idx="1017">
                  <c:v>-74365</c:v>
                </c:pt>
                <c:pt idx="1018">
                  <c:v>-74280</c:v>
                </c:pt>
                <c:pt idx="1019">
                  <c:v>-74359</c:v>
                </c:pt>
                <c:pt idx="1020">
                  <c:v>-74690</c:v>
                </c:pt>
                <c:pt idx="1021">
                  <c:v>-74878</c:v>
                </c:pt>
                <c:pt idx="1022">
                  <c:v>-74974</c:v>
                </c:pt>
                <c:pt idx="1023">
                  <c:v>-74908</c:v>
                </c:pt>
                <c:pt idx="1024">
                  <c:v>-75082</c:v>
                </c:pt>
                <c:pt idx="1025">
                  <c:v>-74917</c:v>
                </c:pt>
                <c:pt idx="1026">
                  <c:v>-74853</c:v>
                </c:pt>
                <c:pt idx="1027">
                  <c:v>-74885</c:v>
                </c:pt>
                <c:pt idx="1028">
                  <c:v>-75013</c:v>
                </c:pt>
                <c:pt idx="1029">
                  <c:v>-75408</c:v>
                </c:pt>
                <c:pt idx="1030">
                  <c:v>-75328</c:v>
                </c:pt>
                <c:pt idx="1031">
                  <c:v>-75187</c:v>
                </c:pt>
                <c:pt idx="1032">
                  <c:v>-75218</c:v>
                </c:pt>
                <c:pt idx="1033">
                  <c:v>-75343</c:v>
                </c:pt>
                <c:pt idx="1034">
                  <c:v>-75271</c:v>
                </c:pt>
                <c:pt idx="1035">
                  <c:v>-75071</c:v>
                </c:pt>
                <c:pt idx="1036">
                  <c:v>-74842</c:v>
                </c:pt>
                <c:pt idx="1037">
                  <c:v>-74784</c:v>
                </c:pt>
                <c:pt idx="1038">
                  <c:v>-75133</c:v>
                </c:pt>
                <c:pt idx="1039">
                  <c:v>-75029</c:v>
                </c:pt>
                <c:pt idx="1040">
                  <c:v>-74961</c:v>
                </c:pt>
                <c:pt idx="1041">
                  <c:v>-75165</c:v>
                </c:pt>
                <c:pt idx="1042">
                  <c:v>-75450</c:v>
                </c:pt>
                <c:pt idx="1043">
                  <c:v>-75686</c:v>
                </c:pt>
                <c:pt idx="1044">
                  <c:v>-75812</c:v>
                </c:pt>
                <c:pt idx="1045">
                  <c:v>-76581</c:v>
                </c:pt>
                <c:pt idx="1046">
                  <c:v>-77444</c:v>
                </c:pt>
                <c:pt idx="1047">
                  <c:v>-76225</c:v>
                </c:pt>
                <c:pt idx="1048">
                  <c:v>-74747</c:v>
                </c:pt>
                <c:pt idx="1049">
                  <c:v>-73972</c:v>
                </c:pt>
                <c:pt idx="1050">
                  <c:v>-73506</c:v>
                </c:pt>
                <c:pt idx="1051">
                  <c:v>-73329</c:v>
                </c:pt>
                <c:pt idx="1052">
                  <c:v>-73211</c:v>
                </c:pt>
                <c:pt idx="1053">
                  <c:v>-73189</c:v>
                </c:pt>
                <c:pt idx="1054">
                  <c:v>-73117</c:v>
                </c:pt>
                <c:pt idx="1055">
                  <c:v>-73250</c:v>
                </c:pt>
                <c:pt idx="1056">
                  <c:v>-73354</c:v>
                </c:pt>
                <c:pt idx="1057">
                  <c:v>-73288</c:v>
                </c:pt>
                <c:pt idx="1058">
                  <c:v>-73374</c:v>
                </c:pt>
                <c:pt idx="1059">
                  <c:v>-73858</c:v>
                </c:pt>
                <c:pt idx="1060">
                  <c:v>-74523</c:v>
                </c:pt>
                <c:pt idx="1061">
                  <c:v>-73740</c:v>
                </c:pt>
                <c:pt idx="1062">
                  <c:v>-73199</c:v>
                </c:pt>
                <c:pt idx="1063">
                  <c:v>-73334</c:v>
                </c:pt>
                <c:pt idx="1064">
                  <c:v>-73611</c:v>
                </c:pt>
                <c:pt idx="1065">
                  <c:v>-73934</c:v>
                </c:pt>
                <c:pt idx="1066">
                  <c:v>-73798</c:v>
                </c:pt>
                <c:pt idx="1067">
                  <c:v>-74049</c:v>
                </c:pt>
                <c:pt idx="1068">
                  <c:v>-74492</c:v>
                </c:pt>
                <c:pt idx="1069">
                  <c:v>-74141</c:v>
                </c:pt>
                <c:pt idx="1070">
                  <c:v>-74140</c:v>
                </c:pt>
                <c:pt idx="1071">
                  <c:v>-74349</c:v>
                </c:pt>
                <c:pt idx="1072">
                  <c:v>-74437</c:v>
                </c:pt>
                <c:pt idx="1073">
                  <c:v>-74707</c:v>
                </c:pt>
                <c:pt idx="1074">
                  <c:v>-75016</c:v>
                </c:pt>
                <c:pt idx="1075">
                  <c:v>-74953</c:v>
                </c:pt>
                <c:pt idx="1076">
                  <c:v>-74934</c:v>
                </c:pt>
                <c:pt idx="1077">
                  <c:v>-75073</c:v>
                </c:pt>
                <c:pt idx="1078">
                  <c:v>-75102</c:v>
                </c:pt>
                <c:pt idx="1079">
                  <c:v>-75002</c:v>
                </c:pt>
                <c:pt idx="1080">
                  <c:v>-75201</c:v>
                </c:pt>
                <c:pt idx="1081">
                  <c:v>-75631</c:v>
                </c:pt>
                <c:pt idx="1082">
                  <c:v>-75305</c:v>
                </c:pt>
                <c:pt idx="1083">
                  <c:v>-75121</c:v>
                </c:pt>
                <c:pt idx="1084">
                  <c:v>-75022</c:v>
                </c:pt>
                <c:pt idx="1085">
                  <c:v>-75072</c:v>
                </c:pt>
                <c:pt idx="1086">
                  <c:v>-75096</c:v>
                </c:pt>
                <c:pt idx="1087">
                  <c:v>-74880</c:v>
                </c:pt>
                <c:pt idx="1088">
                  <c:v>-74782</c:v>
                </c:pt>
                <c:pt idx="1089">
                  <c:v>-74884</c:v>
                </c:pt>
                <c:pt idx="1090">
                  <c:v>-74989</c:v>
                </c:pt>
                <c:pt idx="1091">
                  <c:v>-74990</c:v>
                </c:pt>
                <c:pt idx="1092">
                  <c:v>-74974</c:v>
                </c:pt>
                <c:pt idx="1093">
                  <c:v>-74895</c:v>
                </c:pt>
                <c:pt idx="1094">
                  <c:v>-75175</c:v>
                </c:pt>
                <c:pt idx="1095">
                  <c:v>-75476</c:v>
                </c:pt>
                <c:pt idx="1096">
                  <c:v>-75840</c:v>
                </c:pt>
                <c:pt idx="1097">
                  <c:v>-76723</c:v>
                </c:pt>
                <c:pt idx="1098">
                  <c:v>-78188</c:v>
                </c:pt>
                <c:pt idx="1099">
                  <c:v>-77022</c:v>
                </c:pt>
                <c:pt idx="1100">
                  <c:v>-75494</c:v>
                </c:pt>
                <c:pt idx="1101">
                  <c:v>-74577</c:v>
                </c:pt>
                <c:pt idx="1102">
                  <c:v>-74178</c:v>
                </c:pt>
                <c:pt idx="1103">
                  <c:v>-74178</c:v>
                </c:pt>
                <c:pt idx="1104">
                  <c:v>-74074</c:v>
                </c:pt>
                <c:pt idx="1105">
                  <c:v>-74021</c:v>
                </c:pt>
                <c:pt idx="1106">
                  <c:v>-73969</c:v>
                </c:pt>
                <c:pt idx="1107">
                  <c:v>-74019</c:v>
                </c:pt>
                <c:pt idx="1108">
                  <c:v>-74190</c:v>
                </c:pt>
                <c:pt idx="1109">
                  <c:v>-74194</c:v>
                </c:pt>
                <c:pt idx="1110">
                  <c:v>-74089</c:v>
                </c:pt>
                <c:pt idx="1111">
                  <c:v>-74326</c:v>
                </c:pt>
                <c:pt idx="1112">
                  <c:v>-74493</c:v>
                </c:pt>
                <c:pt idx="1113">
                  <c:v>-74529</c:v>
                </c:pt>
                <c:pt idx="1114">
                  <c:v>-74982</c:v>
                </c:pt>
                <c:pt idx="1115">
                  <c:v>-75368</c:v>
                </c:pt>
                <c:pt idx="1116">
                  <c:v>-74889</c:v>
                </c:pt>
                <c:pt idx="1117">
                  <c:v>-75029</c:v>
                </c:pt>
                <c:pt idx="1118">
                  <c:v>-74673</c:v>
                </c:pt>
                <c:pt idx="1119">
                  <c:v>-74706</c:v>
                </c:pt>
                <c:pt idx="1120">
                  <c:v>-75156</c:v>
                </c:pt>
                <c:pt idx="1121">
                  <c:v>-75174</c:v>
                </c:pt>
                <c:pt idx="1122">
                  <c:v>-75167</c:v>
                </c:pt>
                <c:pt idx="1123">
                  <c:v>-75256</c:v>
                </c:pt>
                <c:pt idx="1124">
                  <c:v>-75510</c:v>
                </c:pt>
                <c:pt idx="1125">
                  <c:v>-75719</c:v>
                </c:pt>
                <c:pt idx="1126">
                  <c:v>-75775</c:v>
                </c:pt>
                <c:pt idx="1127">
                  <c:v>-75920</c:v>
                </c:pt>
                <c:pt idx="1128">
                  <c:v>-76021</c:v>
                </c:pt>
                <c:pt idx="1129">
                  <c:v>-76168</c:v>
                </c:pt>
                <c:pt idx="1130">
                  <c:v>-76302</c:v>
                </c:pt>
                <c:pt idx="1131">
                  <c:v>-76265</c:v>
                </c:pt>
                <c:pt idx="1132">
                  <c:v>-76358</c:v>
                </c:pt>
                <c:pt idx="1133">
                  <c:v>-76559</c:v>
                </c:pt>
                <c:pt idx="1134">
                  <c:v>-76451</c:v>
                </c:pt>
                <c:pt idx="1135">
                  <c:v>-76300</c:v>
                </c:pt>
                <c:pt idx="1136">
                  <c:v>-76154</c:v>
                </c:pt>
                <c:pt idx="1137">
                  <c:v>-76128</c:v>
                </c:pt>
                <c:pt idx="1138">
                  <c:v>-76143</c:v>
                </c:pt>
                <c:pt idx="1139">
                  <c:v>-76040</c:v>
                </c:pt>
                <c:pt idx="1140">
                  <c:v>-76000</c:v>
                </c:pt>
                <c:pt idx="1141">
                  <c:v>-75994</c:v>
                </c:pt>
                <c:pt idx="1142">
                  <c:v>-75937</c:v>
                </c:pt>
                <c:pt idx="1143">
                  <c:v>-75779</c:v>
                </c:pt>
                <c:pt idx="1144">
                  <c:v>-75644</c:v>
                </c:pt>
                <c:pt idx="1145">
                  <c:v>-75685</c:v>
                </c:pt>
                <c:pt idx="1146">
                  <c:v>-75788</c:v>
                </c:pt>
                <c:pt idx="1147">
                  <c:v>-76038</c:v>
                </c:pt>
                <c:pt idx="1148">
                  <c:v>-76229</c:v>
                </c:pt>
                <c:pt idx="1149">
                  <c:v>-77010</c:v>
                </c:pt>
                <c:pt idx="1150">
                  <c:v>-78004</c:v>
                </c:pt>
                <c:pt idx="1151">
                  <c:v>-77669</c:v>
                </c:pt>
                <c:pt idx="1152">
                  <c:v>-75665</c:v>
                </c:pt>
                <c:pt idx="1153">
                  <c:v>-74695</c:v>
                </c:pt>
                <c:pt idx="1154">
                  <c:v>-74488</c:v>
                </c:pt>
                <c:pt idx="1155">
                  <c:v>-74271</c:v>
                </c:pt>
                <c:pt idx="1156">
                  <c:v>-74190</c:v>
                </c:pt>
                <c:pt idx="1157">
                  <c:v>-73925</c:v>
                </c:pt>
                <c:pt idx="1158">
                  <c:v>-73876</c:v>
                </c:pt>
                <c:pt idx="1159">
                  <c:v>-74072</c:v>
                </c:pt>
                <c:pt idx="1160">
                  <c:v>-74113</c:v>
                </c:pt>
                <c:pt idx="1161">
                  <c:v>-74046</c:v>
                </c:pt>
                <c:pt idx="1162">
                  <c:v>-74048</c:v>
                </c:pt>
                <c:pt idx="1163">
                  <c:v>-74835</c:v>
                </c:pt>
                <c:pt idx="1164">
                  <c:v>-74842</c:v>
                </c:pt>
                <c:pt idx="1165">
                  <c:v>-74907</c:v>
                </c:pt>
                <c:pt idx="1166">
                  <c:v>-74957</c:v>
                </c:pt>
                <c:pt idx="1167">
                  <c:v>-74818</c:v>
                </c:pt>
                <c:pt idx="1168">
                  <c:v>-75076</c:v>
                </c:pt>
                <c:pt idx="1169">
                  <c:v>-75533</c:v>
                </c:pt>
                <c:pt idx="1170">
                  <c:v>-76171</c:v>
                </c:pt>
                <c:pt idx="1171">
                  <c:v>-76452</c:v>
                </c:pt>
                <c:pt idx="1172">
                  <c:v>-77153</c:v>
                </c:pt>
                <c:pt idx="1173">
                  <c:v>-77757</c:v>
                </c:pt>
                <c:pt idx="1174">
                  <c:v>-78305</c:v>
                </c:pt>
                <c:pt idx="1175">
                  <c:v>-78785</c:v>
                </c:pt>
                <c:pt idx="1176">
                  <c:v>-79133</c:v>
                </c:pt>
                <c:pt idx="1177">
                  <c:v>-79618</c:v>
                </c:pt>
                <c:pt idx="1178">
                  <c:v>-80105</c:v>
                </c:pt>
                <c:pt idx="1179">
                  <c:v>-80512</c:v>
                </c:pt>
                <c:pt idx="1180">
                  <c:v>-80746</c:v>
                </c:pt>
                <c:pt idx="1181">
                  <c:v>-80952</c:v>
                </c:pt>
                <c:pt idx="1182">
                  <c:v>-81236</c:v>
                </c:pt>
                <c:pt idx="1183">
                  <c:v>-81388</c:v>
                </c:pt>
                <c:pt idx="1184">
                  <c:v>-81288</c:v>
                </c:pt>
                <c:pt idx="1185">
                  <c:v>-81348</c:v>
                </c:pt>
                <c:pt idx="1186">
                  <c:v>-81664</c:v>
                </c:pt>
                <c:pt idx="1187">
                  <c:v>-81695</c:v>
                </c:pt>
                <c:pt idx="1188">
                  <c:v>-81720</c:v>
                </c:pt>
                <c:pt idx="1189">
                  <c:v>-81793</c:v>
                </c:pt>
                <c:pt idx="1190">
                  <c:v>-82060</c:v>
                </c:pt>
                <c:pt idx="1191">
                  <c:v>-82108</c:v>
                </c:pt>
                <c:pt idx="1192">
                  <c:v>-82019</c:v>
                </c:pt>
                <c:pt idx="1193">
                  <c:v>-82130</c:v>
                </c:pt>
                <c:pt idx="1194">
                  <c:v>-82304</c:v>
                </c:pt>
                <c:pt idx="1195">
                  <c:v>-82450</c:v>
                </c:pt>
                <c:pt idx="1196">
                  <c:v>-82551</c:v>
                </c:pt>
                <c:pt idx="1197">
                  <c:v>-82540</c:v>
                </c:pt>
                <c:pt idx="1198">
                  <c:v>-82708</c:v>
                </c:pt>
                <c:pt idx="1199">
                  <c:v>-83163</c:v>
                </c:pt>
                <c:pt idx="1200">
                  <c:v>-83783</c:v>
                </c:pt>
                <c:pt idx="1201">
                  <c:v>-84306</c:v>
                </c:pt>
                <c:pt idx="1202">
                  <c:v>-85246</c:v>
                </c:pt>
                <c:pt idx="1203">
                  <c:v>-85394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E8E-9645-926E-3830DABCE972}"/>
            </c:ext>
          </c:extLst>
        </c:ser>
        <c:ser>
          <c:idx val="19"/>
          <c:order val="19"/>
          <c:tx>
            <c:strRef>
              <c:f>balance_sheet!$Y$5</c:f>
              <c:strCache>
                <c:ptCount val="1"/>
                <c:pt idx="0">
                  <c:v>Reserve balance liabilities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balance_sheet!$Y$6:$Y$1209</c:f>
              <c:numCache>
                <c:formatCode>General</c:formatCode>
                <c:ptCount val="1204"/>
                <c:pt idx="440">
                  <c:v>-24402</c:v>
                </c:pt>
                <c:pt idx="441">
                  <c:v>-24414</c:v>
                </c:pt>
                <c:pt idx="442">
                  <c:v>-24901</c:v>
                </c:pt>
                <c:pt idx="443">
                  <c:v>-21260</c:v>
                </c:pt>
                <c:pt idx="444">
                  <c:v>-21507</c:v>
                </c:pt>
                <c:pt idx="445">
                  <c:v>-20689</c:v>
                </c:pt>
                <c:pt idx="446">
                  <c:v>-20536</c:v>
                </c:pt>
                <c:pt idx="447">
                  <c:v>-20451</c:v>
                </c:pt>
                <c:pt idx="448">
                  <c:v>-19175</c:v>
                </c:pt>
                <c:pt idx="449">
                  <c:v>-19873</c:v>
                </c:pt>
                <c:pt idx="450">
                  <c:v>-20610</c:v>
                </c:pt>
                <c:pt idx="451">
                  <c:v>-19432</c:v>
                </c:pt>
                <c:pt idx="452">
                  <c:v>-18748</c:v>
                </c:pt>
                <c:pt idx="453">
                  <c:v>-19096</c:v>
                </c:pt>
                <c:pt idx="454">
                  <c:v>-18986</c:v>
                </c:pt>
                <c:pt idx="455">
                  <c:v>-19680</c:v>
                </c:pt>
                <c:pt idx="456">
                  <c:v>-18445</c:v>
                </c:pt>
                <c:pt idx="457">
                  <c:v>-18376</c:v>
                </c:pt>
                <c:pt idx="458">
                  <c:v>-18103</c:v>
                </c:pt>
                <c:pt idx="459">
                  <c:v>-22734</c:v>
                </c:pt>
                <c:pt idx="460">
                  <c:v>-17697</c:v>
                </c:pt>
                <c:pt idx="461">
                  <c:v>-17150</c:v>
                </c:pt>
                <c:pt idx="462">
                  <c:v>-17320</c:v>
                </c:pt>
                <c:pt idx="463">
                  <c:v>-17322</c:v>
                </c:pt>
                <c:pt idx="464">
                  <c:v>-15966</c:v>
                </c:pt>
                <c:pt idx="465">
                  <c:v>-19336</c:v>
                </c:pt>
                <c:pt idx="466">
                  <c:v>-17304</c:v>
                </c:pt>
                <c:pt idx="467">
                  <c:v>-18562</c:v>
                </c:pt>
                <c:pt idx="468">
                  <c:v>-19725</c:v>
                </c:pt>
                <c:pt idx="469">
                  <c:v>-20591</c:v>
                </c:pt>
                <c:pt idx="470">
                  <c:v>-20371</c:v>
                </c:pt>
                <c:pt idx="471">
                  <c:v>-20132</c:v>
                </c:pt>
                <c:pt idx="472">
                  <c:v>-20324</c:v>
                </c:pt>
                <c:pt idx="473">
                  <c:v>-19589</c:v>
                </c:pt>
                <c:pt idx="474">
                  <c:v>-18437</c:v>
                </c:pt>
                <c:pt idx="475">
                  <c:v>-18219</c:v>
                </c:pt>
                <c:pt idx="476">
                  <c:v>-17255</c:v>
                </c:pt>
                <c:pt idx="477">
                  <c:v>-17343</c:v>
                </c:pt>
                <c:pt idx="478">
                  <c:v>-17955</c:v>
                </c:pt>
                <c:pt idx="479">
                  <c:v>-17716</c:v>
                </c:pt>
                <c:pt idx="480">
                  <c:v>-17669</c:v>
                </c:pt>
                <c:pt idx="481">
                  <c:v>-16129</c:v>
                </c:pt>
                <c:pt idx="482">
                  <c:v>-17854</c:v>
                </c:pt>
                <c:pt idx="483">
                  <c:v>-18310</c:v>
                </c:pt>
                <c:pt idx="484">
                  <c:v>-18454</c:v>
                </c:pt>
                <c:pt idx="485">
                  <c:v>-18172</c:v>
                </c:pt>
                <c:pt idx="486">
                  <c:v>-17767</c:v>
                </c:pt>
                <c:pt idx="487">
                  <c:v>-19011</c:v>
                </c:pt>
                <c:pt idx="488">
                  <c:v>-17642</c:v>
                </c:pt>
                <c:pt idx="489">
                  <c:v>-17276</c:v>
                </c:pt>
                <c:pt idx="490">
                  <c:v>-17940</c:v>
                </c:pt>
                <c:pt idx="491">
                  <c:v>-18475</c:v>
                </c:pt>
                <c:pt idx="492">
                  <c:v>-16229</c:v>
                </c:pt>
                <c:pt idx="493">
                  <c:v>-17797</c:v>
                </c:pt>
                <c:pt idx="494">
                  <c:v>-18145</c:v>
                </c:pt>
                <c:pt idx="495">
                  <c:v>-17636</c:v>
                </c:pt>
                <c:pt idx="496">
                  <c:v>-18623</c:v>
                </c:pt>
                <c:pt idx="497">
                  <c:v>-17355</c:v>
                </c:pt>
                <c:pt idx="498">
                  <c:v>-36558</c:v>
                </c:pt>
                <c:pt idx="499">
                  <c:v>-17571</c:v>
                </c:pt>
                <c:pt idx="500">
                  <c:v>-17769</c:v>
                </c:pt>
                <c:pt idx="501">
                  <c:v>-17220</c:v>
                </c:pt>
                <c:pt idx="502">
                  <c:v>-18072</c:v>
                </c:pt>
                <c:pt idx="503">
                  <c:v>-17895</c:v>
                </c:pt>
                <c:pt idx="504">
                  <c:v>-19068</c:v>
                </c:pt>
                <c:pt idx="505">
                  <c:v>-17640</c:v>
                </c:pt>
                <c:pt idx="506">
                  <c:v>-19023</c:v>
                </c:pt>
                <c:pt idx="507">
                  <c:v>-20594</c:v>
                </c:pt>
                <c:pt idx="508">
                  <c:v>-19812</c:v>
                </c:pt>
                <c:pt idx="509">
                  <c:v>-29010</c:v>
                </c:pt>
                <c:pt idx="510">
                  <c:v>-29226</c:v>
                </c:pt>
                <c:pt idx="511">
                  <c:v>-26809</c:v>
                </c:pt>
                <c:pt idx="512">
                  <c:v>-20816</c:v>
                </c:pt>
                <c:pt idx="513">
                  <c:v>-21731</c:v>
                </c:pt>
                <c:pt idx="514">
                  <c:v>-24115</c:v>
                </c:pt>
                <c:pt idx="515">
                  <c:v>-20062</c:v>
                </c:pt>
                <c:pt idx="516">
                  <c:v>-22169</c:v>
                </c:pt>
                <c:pt idx="517">
                  <c:v>-22635</c:v>
                </c:pt>
                <c:pt idx="518">
                  <c:v>-24758</c:v>
                </c:pt>
                <c:pt idx="519">
                  <c:v>-23469</c:v>
                </c:pt>
                <c:pt idx="520">
                  <c:v>-21627</c:v>
                </c:pt>
                <c:pt idx="521">
                  <c:v>-23470</c:v>
                </c:pt>
                <c:pt idx="522">
                  <c:v>-24608</c:v>
                </c:pt>
                <c:pt idx="523">
                  <c:v>-25768</c:v>
                </c:pt>
                <c:pt idx="524">
                  <c:v>-25768</c:v>
                </c:pt>
                <c:pt idx="525">
                  <c:v>-23611</c:v>
                </c:pt>
                <c:pt idx="526">
                  <c:v>-24791</c:v>
                </c:pt>
                <c:pt idx="527">
                  <c:v>-21447</c:v>
                </c:pt>
                <c:pt idx="528">
                  <c:v>-27115</c:v>
                </c:pt>
                <c:pt idx="529">
                  <c:v>-21928</c:v>
                </c:pt>
                <c:pt idx="530">
                  <c:v>-23186</c:v>
                </c:pt>
                <c:pt idx="531">
                  <c:v>-22147</c:v>
                </c:pt>
                <c:pt idx="532">
                  <c:v>-23824</c:v>
                </c:pt>
                <c:pt idx="533">
                  <c:v>-22045</c:v>
                </c:pt>
                <c:pt idx="534">
                  <c:v>-30979</c:v>
                </c:pt>
                <c:pt idx="535">
                  <c:v>-20896</c:v>
                </c:pt>
                <c:pt idx="536">
                  <c:v>-27196</c:v>
                </c:pt>
                <c:pt idx="537">
                  <c:v>-23683</c:v>
                </c:pt>
                <c:pt idx="538">
                  <c:v>-27231</c:v>
                </c:pt>
                <c:pt idx="539">
                  <c:v>-26755</c:v>
                </c:pt>
                <c:pt idx="540">
                  <c:v>-28241</c:v>
                </c:pt>
                <c:pt idx="541">
                  <c:v>-28026</c:v>
                </c:pt>
                <c:pt idx="542">
                  <c:v>-22983</c:v>
                </c:pt>
                <c:pt idx="543">
                  <c:v>-30985</c:v>
                </c:pt>
                <c:pt idx="544">
                  <c:v>-27127</c:v>
                </c:pt>
                <c:pt idx="545">
                  <c:v>-26300</c:v>
                </c:pt>
                <c:pt idx="546">
                  <c:v>-25632</c:v>
                </c:pt>
                <c:pt idx="547">
                  <c:v>-32914</c:v>
                </c:pt>
                <c:pt idx="548">
                  <c:v>-28498</c:v>
                </c:pt>
                <c:pt idx="549">
                  <c:v>-23216</c:v>
                </c:pt>
                <c:pt idx="550">
                  <c:v>-28649</c:v>
                </c:pt>
                <c:pt idx="551">
                  <c:v>-26325</c:v>
                </c:pt>
                <c:pt idx="552">
                  <c:v>-28772</c:v>
                </c:pt>
                <c:pt idx="553">
                  <c:v>-27943</c:v>
                </c:pt>
                <c:pt idx="554">
                  <c:v>-28623</c:v>
                </c:pt>
                <c:pt idx="555">
                  <c:v>-28046</c:v>
                </c:pt>
                <c:pt idx="556">
                  <c:v>-29428</c:v>
                </c:pt>
                <c:pt idx="557">
                  <c:v>-27737</c:v>
                </c:pt>
                <c:pt idx="558">
                  <c:v>-29126</c:v>
                </c:pt>
                <c:pt idx="559">
                  <c:v>-28493</c:v>
                </c:pt>
                <c:pt idx="560">
                  <c:v>-32347</c:v>
                </c:pt>
                <c:pt idx="561">
                  <c:v>-27592</c:v>
                </c:pt>
                <c:pt idx="562">
                  <c:v>-50847</c:v>
                </c:pt>
                <c:pt idx="563">
                  <c:v>-34449</c:v>
                </c:pt>
                <c:pt idx="564">
                  <c:v>-55687</c:v>
                </c:pt>
                <c:pt idx="565">
                  <c:v>-49301</c:v>
                </c:pt>
                <c:pt idx="566">
                  <c:v>-52568</c:v>
                </c:pt>
                <c:pt idx="567">
                  <c:v>-41861</c:v>
                </c:pt>
                <c:pt idx="568">
                  <c:v>-42418</c:v>
                </c:pt>
                <c:pt idx="569">
                  <c:v>-49193</c:v>
                </c:pt>
                <c:pt idx="570">
                  <c:v>-52904</c:v>
                </c:pt>
                <c:pt idx="571">
                  <c:v>-36590</c:v>
                </c:pt>
                <c:pt idx="572">
                  <c:v>-43797</c:v>
                </c:pt>
                <c:pt idx="573">
                  <c:v>-38637</c:v>
                </c:pt>
                <c:pt idx="574">
                  <c:v>-49468</c:v>
                </c:pt>
                <c:pt idx="575">
                  <c:v>-37343</c:v>
                </c:pt>
                <c:pt idx="576">
                  <c:v>-41415</c:v>
                </c:pt>
                <c:pt idx="577">
                  <c:v>-48628</c:v>
                </c:pt>
                <c:pt idx="578">
                  <c:v>-46409</c:v>
                </c:pt>
                <c:pt idx="579">
                  <c:v>-53388</c:v>
                </c:pt>
                <c:pt idx="580">
                  <c:v>-37881</c:v>
                </c:pt>
                <c:pt idx="581">
                  <c:v>-24022</c:v>
                </c:pt>
                <c:pt idx="582">
                  <c:v>-35219</c:v>
                </c:pt>
                <c:pt idx="583">
                  <c:v>-42701</c:v>
                </c:pt>
                <c:pt idx="584">
                  <c:v>-33700</c:v>
                </c:pt>
                <c:pt idx="585">
                  <c:v>-46246</c:v>
                </c:pt>
                <c:pt idx="586">
                  <c:v>-31436</c:v>
                </c:pt>
                <c:pt idx="587">
                  <c:v>-36162</c:v>
                </c:pt>
                <c:pt idx="588">
                  <c:v>-50892</c:v>
                </c:pt>
                <c:pt idx="589">
                  <c:v>-44544</c:v>
                </c:pt>
                <c:pt idx="590">
                  <c:v>-58138</c:v>
                </c:pt>
                <c:pt idx="591">
                  <c:v>-69401</c:v>
                </c:pt>
                <c:pt idx="592">
                  <c:v>-68723</c:v>
                </c:pt>
                <c:pt idx="593">
                  <c:v>-79475</c:v>
                </c:pt>
                <c:pt idx="594">
                  <c:v>-80830</c:v>
                </c:pt>
                <c:pt idx="595">
                  <c:v>-87422</c:v>
                </c:pt>
                <c:pt idx="596">
                  <c:v>-95033</c:v>
                </c:pt>
                <c:pt idx="597">
                  <c:v>-102669</c:v>
                </c:pt>
                <c:pt idx="598">
                  <c:v>-109631</c:v>
                </c:pt>
                <c:pt idx="599">
                  <c:v>-115650</c:v>
                </c:pt>
                <c:pt idx="600">
                  <c:v>-121059</c:v>
                </c:pt>
                <c:pt idx="601">
                  <c:v>-129525</c:v>
                </c:pt>
                <c:pt idx="602">
                  <c:v>-135300</c:v>
                </c:pt>
                <c:pt idx="603">
                  <c:v>-140453</c:v>
                </c:pt>
                <c:pt idx="604">
                  <c:v>-147469</c:v>
                </c:pt>
                <c:pt idx="605">
                  <c:v>-153035</c:v>
                </c:pt>
                <c:pt idx="606">
                  <c:v>-158171</c:v>
                </c:pt>
                <c:pt idx="607">
                  <c:v>-161288</c:v>
                </c:pt>
                <c:pt idx="608">
                  <c:v>-163866</c:v>
                </c:pt>
                <c:pt idx="609">
                  <c:v>-133654</c:v>
                </c:pt>
                <c:pt idx="610">
                  <c:v>-137850</c:v>
                </c:pt>
                <c:pt idx="611">
                  <c:v>-136357</c:v>
                </c:pt>
                <c:pt idx="612">
                  <c:v>-137648</c:v>
                </c:pt>
                <c:pt idx="613">
                  <c:v>-135833</c:v>
                </c:pt>
                <c:pt idx="614">
                  <c:v>-139814</c:v>
                </c:pt>
                <c:pt idx="615">
                  <c:v>-135025</c:v>
                </c:pt>
                <c:pt idx="616">
                  <c:v>-138591</c:v>
                </c:pt>
                <c:pt idx="617">
                  <c:v>-136421</c:v>
                </c:pt>
                <c:pt idx="618">
                  <c:v>-140779</c:v>
                </c:pt>
                <c:pt idx="619">
                  <c:v>-146633</c:v>
                </c:pt>
                <c:pt idx="620">
                  <c:v>-150669</c:v>
                </c:pt>
                <c:pt idx="621">
                  <c:v>-151727</c:v>
                </c:pt>
                <c:pt idx="622">
                  <c:v>-147528</c:v>
                </c:pt>
                <c:pt idx="623">
                  <c:v>-150483</c:v>
                </c:pt>
                <c:pt idx="624">
                  <c:v>-145583</c:v>
                </c:pt>
                <c:pt idx="625">
                  <c:v>-147452</c:v>
                </c:pt>
                <c:pt idx="626">
                  <c:v>-145872</c:v>
                </c:pt>
                <c:pt idx="627">
                  <c:v>-147356</c:v>
                </c:pt>
                <c:pt idx="628">
                  <c:v>-144446</c:v>
                </c:pt>
                <c:pt idx="629">
                  <c:v>-144026</c:v>
                </c:pt>
                <c:pt idx="630">
                  <c:v>-147181</c:v>
                </c:pt>
                <c:pt idx="631">
                  <c:v>-151976</c:v>
                </c:pt>
                <c:pt idx="632">
                  <c:v>-156592</c:v>
                </c:pt>
                <c:pt idx="633">
                  <c:v>-159434</c:v>
                </c:pt>
                <c:pt idx="634">
                  <c:v>-160079</c:v>
                </c:pt>
                <c:pt idx="635">
                  <c:v>-154730</c:v>
                </c:pt>
                <c:pt idx="636">
                  <c:v>-155165</c:v>
                </c:pt>
                <c:pt idx="637">
                  <c:v>-155646</c:v>
                </c:pt>
                <c:pt idx="638">
                  <c:v>-154642</c:v>
                </c:pt>
                <c:pt idx="639">
                  <c:v>-150352</c:v>
                </c:pt>
                <c:pt idx="640">
                  <c:v>-150034</c:v>
                </c:pt>
                <c:pt idx="641">
                  <c:v>-153404</c:v>
                </c:pt>
                <c:pt idx="642">
                  <c:v>-152945</c:v>
                </c:pt>
                <c:pt idx="643">
                  <c:v>-152307</c:v>
                </c:pt>
                <c:pt idx="644">
                  <c:v>-151924</c:v>
                </c:pt>
                <c:pt idx="645">
                  <c:v>-151808</c:v>
                </c:pt>
                <c:pt idx="646">
                  <c:v>-151493</c:v>
                </c:pt>
                <c:pt idx="647">
                  <c:v>-150509</c:v>
                </c:pt>
                <c:pt idx="648">
                  <c:v>-151440</c:v>
                </c:pt>
                <c:pt idx="649">
                  <c:v>-150934</c:v>
                </c:pt>
                <c:pt idx="650">
                  <c:v>-150918</c:v>
                </c:pt>
                <c:pt idx="651">
                  <c:v>-150899</c:v>
                </c:pt>
                <c:pt idx="652">
                  <c:v>-149564</c:v>
                </c:pt>
                <c:pt idx="653">
                  <c:v>-149003</c:v>
                </c:pt>
                <c:pt idx="654">
                  <c:v>-149685</c:v>
                </c:pt>
                <c:pt idx="655">
                  <c:v>-149534</c:v>
                </c:pt>
                <c:pt idx="656">
                  <c:v>-150041</c:v>
                </c:pt>
                <c:pt idx="657">
                  <c:v>-148110</c:v>
                </c:pt>
                <c:pt idx="658">
                  <c:v>-150937</c:v>
                </c:pt>
                <c:pt idx="659">
                  <c:v>-151116</c:v>
                </c:pt>
                <c:pt idx="660">
                  <c:v>-151165</c:v>
                </c:pt>
                <c:pt idx="661">
                  <c:v>-151676</c:v>
                </c:pt>
                <c:pt idx="662">
                  <c:v>-151082</c:v>
                </c:pt>
                <c:pt idx="663">
                  <c:v>-147556</c:v>
                </c:pt>
                <c:pt idx="664">
                  <c:v>-146421</c:v>
                </c:pt>
                <c:pt idx="665">
                  <c:v>-144195</c:v>
                </c:pt>
                <c:pt idx="666">
                  <c:v>-143594</c:v>
                </c:pt>
                <c:pt idx="667">
                  <c:v>-143847</c:v>
                </c:pt>
                <c:pt idx="668">
                  <c:v>-143841</c:v>
                </c:pt>
                <c:pt idx="669">
                  <c:v>-143692</c:v>
                </c:pt>
                <c:pt idx="670">
                  <c:v>-142714</c:v>
                </c:pt>
                <c:pt idx="671">
                  <c:v>-142878</c:v>
                </c:pt>
                <c:pt idx="672">
                  <c:v>-143329</c:v>
                </c:pt>
                <c:pt idx="673">
                  <c:v>-143755</c:v>
                </c:pt>
                <c:pt idx="674">
                  <c:v>-143538</c:v>
                </c:pt>
                <c:pt idx="675">
                  <c:v>-142354</c:v>
                </c:pt>
                <c:pt idx="676">
                  <c:v>-144327</c:v>
                </c:pt>
                <c:pt idx="677">
                  <c:v>-143357</c:v>
                </c:pt>
                <c:pt idx="678">
                  <c:v>-140041</c:v>
                </c:pt>
                <c:pt idx="679">
                  <c:v>-139699</c:v>
                </c:pt>
                <c:pt idx="680">
                  <c:v>-138321</c:v>
                </c:pt>
                <c:pt idx="681">
                  <c:v>-138349</c:v>
                </c:pt>
                <c:pt idx="682">
                  <c:v>-139165</c:v>
                </c:pt>
                <c:pt idx="683">
                  <c:v>-140020</c:v>
                </c:pt>
                <c:pt idx="684">
                  <c:v>-138664</c:v>
                </c:pt>
                <c:pt idx="685">
                  <c:v>-139132</c:v>
                </c:pt>
                <c:pt idx="686">
                  <c:v>-139239</c:v>
                </c:pt>
                <c:pt idx="687">
                  <c:v>-138846</c:v>
                </c:pt>
                <c:pt idx="688">
                  <c:v>-138015</c:v>
                </c:pt>
                <c:pt idx="689">
                  <c:v>-137899</c:v>
                </c:pt>
                <c:pt idx="690">
                  <c:v>-138867</c:v>
                </c:pt>
                <c:pt idx="691">
                  <c:v>-135928</c:v>
                </c:pt>
                <c:pt idx="692">
                  <c:v>-134006</c:v>
                </c:pt>
                <c:pt idx="693">
                  <c:v>-134331</c:v>
                </c:pt>
                <c:pt idx="694">
                  <c:v>-133968</c:v>
                </c:pt>
                <c:pt idx="695">
                  <c:v>-134032</c:v>
                </c:pt>
                <c:pt idx="696">
                  <c:v>-132652</c:v>
                </c:pt>
                <c:pt idx="697">
                  <c:v>-132054</c:v>
                </c:pt>
                <c:pt idx="698">
                  <c:v>-131411</c:v>
                </c:pt>
                <c:pt idx="699">
                  <c:v>-131740</c:v>
                </c:pt>
                <c:pt idx="700">
                  <c:v>-132138</c:v>
                </c:pt>
                <c:pt idx="701">
                  <c:v>-131244</c:v>
                </c:pt>
                <c:pt idx="702">
                  <c:v>-130972</c:v>
                </c:pt>
                <c:pt idx="703">
                  <c:v>-130747</c:v>
                </c:pt>
                <c:pt idx="704">
                  <c:v>-129033</c:v>
                </c:pt>
                <c:pt idx="705">
                  <c:v>-129315</c:v>
                </c:pt>
                <c:pt idx="706">
                  <c:v>-127999</c:v>
                </c:pt>
                <c:pt idx="707">
                  <c:v>-127423</c:v>
                </c:pt>
                <c:pt idx="708">
                  <c:v>-127445</c:v>
                </c:pt>
                <c:pt idx="709">
                  <c:v>-125951</c:v>
                </c:pt>
                <c:pt idx="710">
                  <c:v>-127531</c:v>
                </c:pt>
                <c:pt idx="711">
                  <c:v>-127856</c:v>
                </c:pt>
                <c:pt idx="712">
                  <c:v>-128302</c:v>
                </c:pt>
                <c:pt idx="713">
                  <c:v>-128307</c:v>
                </c:pt>
                <c:pt idx="714">
                  <c:v>-127978</c:v>
                </c:pt>
                <c:pt idx="715">
                  <c:v>-127196</c:v>
                </c:pt>
                <c:pt idx="716">
                  <c:v>-126379</c:v>
                </c:pt>
                <c:pt idx="717">
                  <c:v>-123941</c:v>
                </c:pt>
                <c:pt idx="718">
                  <c:v>-123430</c:v>
                </c:pt>
                <c:pt idx="719">
                  <c:v>-125526</c:v>
                </c:pt>
                <c:pt idx="720">
                  <c:v>-126023</c:v>
                </c:pt>
                <c:pt idx="721">
                  <c:v>-125953</c:v>
                </c:pt>
                <c:pt idx="722">
                  <c:v>-128402</c:v>
                </c:pt>
                <c:pt idx="723">
                  <c:v>-133819</c:v>
                </c:pt>
                <c:pt idx="724">
                  <c:v>-138860</c:v>
                </c:pt>
                <c:pt idx="725">
                  <c:v>-143395</c:v>
                </c:pt>
                <c:pt idx="726">
                  <c:v>-147465</c:v>
                </c:pt>
                <c:pt idx="727">
                  <c:v>-151601</c:v>
                </c:pt>
                <c:pt idx="728">
                  <c:v>-155203</c:v>
                </c:pt>
                <c:pt idx="729">
                  <c:v>-159879</c:v>
                </c:pt>
                <c:pt idx="730">
                  <c:v>-160378</c:v>
                </c:pt>
                <c:pt idx="731">
                  <c:v>-166100</c:v>
                </c:pt>
                <c:pt idx="732">
                  <c:v>-165103</c:v>
                </c:pt>
                <c:pt idx="733">
                  <c:v>-164040</c:v>
                </c:pt>
                <c:pt idx="734">
                  <c:v>-167141</c:v>
                </c:pt>
                <c:pt idx="735">
                  <c:v>-173551</c:v>
                </c:pt>
                <c:pt idx="736">
                  <c:v>-174323</c:v>
                </c:pt>
                <c:pt idx="737">
                  <c:v>-179033</c:v>
                </c:pt>
                <c:pt idx="738">
                  <c:v>-184047</c:v>
                </c:pt>
                <c:pt idx="739">
                  <c:v>-185831</c:v>
                </c:pt>
                <c:pt idx="740">
                  <c:v>-188975</c:v>
                </c:pt>
                <c:pt idx="741">
                  <c:v>-192156</c:v>
                </c:pt>
                <c:pt idx="742">
                  <c:v>-195587</c:v>
                </c:pt>
                <c:pt idx="743">
                  <c:v>-196101</c:v>
                </c:pt>
                <c:pt idx="744">
                  <c:v>-201491</c:v>
                </c:pt>
                <c:pt idx="745">
                  <c:v>-204514</c:v>
                </c:pt>
                <c:pt idx="746">
                  <c:v>-206987</c:v>
                </c:pt>
                <c:pt idx="747">
                  <c:v>-210767</c:v>
                </c:pt>
                <c:pt idx="748">
                  <c:v>-215294</c:v>
                </c:pt>
                <c:pt idx="749">
                  <c:v>-220101</c:v>
                </c:pt>
                <c:pt idx="750">
                  <c:v>-226233</c:v>
                </c:pt>
                <c:pt idx="751">
                  <c:v>-230146</c:v>
                </c:pt>
                <c:pt idx="752">
                  <c:v>-231187</c:v>
                </c:pt>
                <c:pt idx="753">
                  <c:v>-231216</c:v>
                </c:pt>
                <c:pt idx="754">
                  <c:v>-230031</c:v>
                </c:pt>
                <c:pt idx="755">
                  <c:v>-229369</c:v>
                </c:pt>
                <c:pt idx="756">
                  <c:v>-229131</c:v>
                </c:pt>
                <c:pt idx="757">
                  <c:v>-227237</c:v>
                </c:pt>
                <c:pt idx="758">
                  <c:v>-226179</c:v>
                </c:pt>
                <c:pt idx="759">
                  <c:v>-230282</c:v>
                </c:pt>
                <c:pt idx="760">
                  <c:v>-229604</c:v>
                </c:pt>
                <c:pt idx="761">
                  <c:v>-231803</c:v>
                </c:pt>
                <c:pt idx="762">
                  <c:v>-237557</c:v>
                </c:pt>
                <c:pt idx="763">
                  <c:v>-242432</c:v>
                </c:pt>
                <c:pt idx="764">
                  <c:v>-246060</c:v>
                </c:pt>
                <c:pt idx="765">
                  <c:v>-248181</c:v>
                </c:pt>
                <c:pt idx="766">
                  <c:v>-251906</c:v>
                </c:pt>
                <c:pt idx="767">
                  <c:v>-255586</c:v>
                </c:pt>
                <c:pt idx="768">
                  <c:v>-256543</c:v>
                </c:pt>
                <c:pt idx="769">
                  <c:v>-260246</c:v>
                </c:pt>
                <c:pt idx="770">
                  <c:v>-259831</c:v>
                </c:pt>
                <c:pt idx="771">
                  <c:v>-262639</c:v>
                </c:pt>
                <c:pt idx="772">
                  <c:v>-266460</c:v>
                </c:pt>
                <c:pt idx="773">
                  <c:v>-269072</c:v>
                </c:pt>
                <c:pt idx="774">
                  <c:v>-272143</c:v>
                </c:pt>
                <c:pt idx="775">
                  <c:v>-275186</c:v>
                </c:pt>
                <c:pt idx="776">
                  <c:v>-277247</c:v>
                </c:pt>
                <c:pt idx="777">
                  <c:v>-280715</c:v>
                </c:pt>
                <c:pt idx="778">
                  <c:v>-281894</c:v>
                </c:pt>
                <c:pt idx="779">
                  <c:v>-281161</c:v>
                </c:pt>
                <c:pt idx="780">
                  <c:v>-281745</c:v>
                </c:pt>
                <c:pt idx="781">
                  <c:v>-280236</c:v>
                </c:pt>
                <c:pt idx="782">
                  <c:v>-279609</c:v>
                </c:pt>
                <c:pt idx="783">
                  <c:v>-277013</c:v>
                </c:pt>
                <c:pt idx="784">
                  <c:v>-274966</c:v>
                </c:pt>
                <c:pt idx="785">
                  <c:v>-271149</c:v>
                </c:pt>
                <c:pt idx="786">
                  <c:v>-271426</c:v>
                </c:pt>
                <c:pt idx="787">
                  <c:v>-276817</c:v>
                </c:pt>
                <c:pt idx="788">
                  <c:v>-278180</c:v>
                </c:pt>
                <c:pt idx="789">
                  <c:v>-273214</c:v>
                </c:pt>
                <c:pt idx="790">
                  <c:v>-272248</c:v>
                </c:pt>
                <c:pt idx="791">
                  <c:v>-272056</c:v>
                </c:pt>
                <c:pt idx="792">
                  <c:v>-278027</c:v>
                </c:pt>
                <c:pt idx="793">
                  <c:v>-279727</c:v>
                </c:pt>
                <c:pt idx="794">
                  <c:v>-279399</c:v>
                </c:pt>
                <c:pt idx="795">
                  <c:v>-280508</c:v>
                </c:pt>
                <c:pt idx="796">
                  <c:v>-276655</c:v>
                </c:pt>
                <c:pt idx="797">
                  <c:v>-278781</c:v>
                </c:pt>
                <c:pt idx="798">
                  <c:v>-278830</c:v>
                </c:pt>
                <c:pt idx="799">
                  <c:v>-281182</c:v>
                </c:pt>
                <c:pt idx="800">
                  <c:v>-286481</c:v>
                </c:pt>
                <c:pt idx="801">
                  <c:v>-286447</c:v>
                </c:pt>
                <c:pt idx="802">
                  <c:v>-286409</c:v>
                </c:pt>
                <c:pt idx="803">
                  <c:v>-286412</c:v>
                </c:pt>
                <c:pt idx="804">
                  <c:v>-289882</c:v>
                </c:pt>
                <c:pt idx="805">
                  <c:v>-289598</c:v>
                </c:pt>
                <c:pt idx="806">
                  <c:v>-289286</c:v>
                </c:pt>
                <c:pt idx="807">
                  <c:v>-288739</c:v>
                </c:pt>
                <c:pt idx="808">
                  <c:v>-287898</c:v>
                </c:pt>
                <c:pt idx="809">
                  <c:v>-289955</c:v>
                </c:pt>
                <c:pt idx="810">
                  <c:v>-290587</c:v>
                </c:pt>
                <c:pt idx="811">
                  <c:v>-290518</c:v>
                </c:pt>
                <c:pt idx="812">
                  <c:v>-290697</c:v>
                </c:pt>
                <c:pt idx="813">
                  <c:v>-294490</c:v>
                </c:pt>
                <c:pt idx="814">
                  <c:v>-294217</c:v>
                </c:pt>
                <c:pt idx="815">
                  <c:v>-293962</c:v>
                </c:pt>
                <c:pt idx="816">
                  <c:v>-294511</c:v>
                </c:pt>
                <c:pt idx="817">
                  <c:v>-295309</c:v>
                </c:pt>
                <c:pt idx="818">
                  <c:v>-295269</c:v>
                </c:pt>
                <c:pt idx="819">
                  <c:v>-298658</c:v>
                </c:pt>
                <c:pt idx="820">
                  <c:v>-296693</c:v>
                </c:pt>
                <c:pt idx="821">
                  <c:v>-297861</c:v>
                </c:pt>
                <c:pt idx="822">
                  <c:v>-294157</c:v>
                </c:pt>
                <c:pt idx="823">
                  <c:v>-294143</c:v>
                </c:pt>
                <c:pt idx="824">
                  <c:v>-294255</c:v>
                </c:pt>
                <c:pt idx="825">
                  <c:v>-298608</c:v>
                </c:pt>
                <c:pt idx="826">
                  <c:v>-299406</c:v>
                </c:pt>
                <c:pt idx="827">
                  <c:v>-299272</c:v>
                </c:pt>
                <c:pt idx="828">
                  <c:v>-298058</c:v>
                </c:pt>
                <c:pt idx="829">
                  <c:v>-302460</c:v>
                </c:pt>
                <c:pt idx="830">
                  <c:v>-302399</c:v>
                </c:pt>
                <c:pt idx="831">
                  <c:v>-303169</c:v>
                </c:pt>
                <c:pt idx="832">
                  <c:v>-302828</c:v>
                </c:pt>
                <c:pt idx="833">
                  <c:v>-300503</c:v>
                </c:pt>
                <c:pt idx="834">
                  <c:v>-301488</c:v>
                </c:pt>
                <c:pt idx="835">
                  <c:v>-298923</c:v>
                </c:pt>
                <c:pt idx="836">
                  <c:v>-297716</c:v>
                </c:pt>
                <c:pt idx="837">
                  <c:v>-297183</c:v>
                </c:pt>
                <c:pt idx="838">
                  <c:v>-297036</c:v>
                </c:pt>
                <c:pt idx="839">
                  <c:v>-299413</c:v>
                </c:pt>
                <c:pt idx="840">
                  <c:v>-300820</c:v>
                </c:pt>
                <c:pt idx="841">
                  <c:v>-300583</c:v>
                </c:pt>
                <c:pt idx="842">
                  <c:v>-302310</c:v>
                </c:pt>
                <c:pt idx="843">
                  <c:v>-302188</c:v>
                </c:pt>
                <c:pt idx="844">
                  <c:v>-303994</c:v>
                </c:pt>
                <c:pt idx="845">
                  <c:v>-305951</c:v>
                </c:pt>
                <c:pt idx="846">
                  <c:v>-305743</c:v>
                </c:pt>
                <c:pt idx="847">
                  <c:v>-306104</c:v>
                </c:pt>
                <c:pt idx="848">
                  <c:v>-295540</c:v>
                </c:pt>
                <c:pt idx="849">
                  <c:v>-299620</c:v>
                </c:pt>
                <c:pt idx="850">
                  <c:v>-300100</c:v>
                </c:pt>
                <c:pt idx="851">
                  <c:v>-299696</c:v>
                </c:pt>
                <c:pt idx="852">
                  <c:v>-300649</c:v>
                </c:pt>
                <c:pt idx="853">
                  <c:v>-299695</c:v>
                </c:pt>
                <c:pt idx="854">
                  <c:v>-303399</c:v>
                </c:pt>
                <c:pt idx="855">
                  <c:v>-303808</c:v>
                </c:pt>
                <c:pt idx="856">
                  <c:v>-304262</c:v>
                </c:pt>
                <c:pt idx="857">
                  <c:v>-304876</c:v>
                </c:pt>
                <c:pt idx="858">
                  <c:v>-304879</c:v>
                </c:pt>
                <c:pt idx="859">
                  <c:v>-305548</c:v>
                </c:pt>
                <c:pt idx="860">
                  <c:v>-305980</c:v>
                </c:pt>
                <c:pt idx="861">
                  <c:v>-303405</c:v>
                </c:pt>
                <c:pt idx="862">
                  <c:v>-303435</c:v>
                </c:pt>
                <c:pt idx="863">
                  <c:v>-303599</c:v>
                </c:pt>
                <c:pt idx="864">
                  <c:v>-303764</c:v>
                </c:pt>
                <c:pt idx="865">
                  <c:v>-303718</c:v>
                </c:pt>
                <c:pt idx="866">
                  <c:v>-303931</c:v>
                </c:pt>
                <c:pt idx="867">
                  <c:v>-303509</c:v>
                </c:pt>
                <c:pt idx="868">
                  <c:v>-303183</c:v>
                </c:pt>
                <c:pt idx="869">
                  <c:v>-304120</c:v>
                </c:pt>
                <c:pt idx="870">
                  <c:v>-303843</c:v>
                </c:pt>
                <c:pt idx="871">
                  <c:v>-303539</c:v>
                </c:pt>
                <c:pt idx="872">
                  <c:v>-302778</c:v>
                </c:pt>
                <c:pt idx="873">
                  <c:v>-301950</c:v>
                </c:pt>
                <c:pt idx="874">
                  <c:v>-288265</c:v>
                </c:pt>
                <c:pt idx="875">
                  <c:v>-289724</c:v>
                </c:pt>
                <c:pt idx="876">
                  <c:v>-289788</c:v>
                </c:pt>
                <c:pt idx="877">
                  <c:v>-293613</c:v>
                </c:pt>
                <c:pt idx="878">
                  <c:v>-299079</c:v>
                </c:pt>
                <c:pt idx="879">
                  <c:v>-300727</c:v>
                </c:pt>
                <c:pt idx="880">
                  <c:v>-304393</c:v>
                </c:pt>
                <c:pt idx="881">
                  <c:v>-302106</c:v>
                </c:pt>
                <c:pt idx="882">
                  <c:v>-304766</c:v>
                </c:pt>
                <c:pt idx="883">
                  <c:v>-304993</c:v>
                </c:pt>
                <c:pt idx="884">
                  <c:v>-304297</c:v>
                </c:pt>
                <c:pt idx="885">
                  <c:v>-303509</c:v>
                </c:pt>
                <c:pt idx="886">
                  <c:v>-303668</c:v>
                </c:pt>
                <c:pt idx="887">
                  <c:v>-300956</c:v>
                </c:pt>
                <c:pt idx="888">
                  <c:v>-300352</c:v>
                </c:pt>
                <c:pt idx="889">
                  <c:v>-299414</c:v>
                </c:pt>
                <c:pt idx="890">
                  <c:v>-298544</c:v>
                </c:pt>
                <c:pt idx="891">
                  <c:v>-301237</c:v>
                </c:pt>
                <c:pt idx="892">
                  <c:v>-303304</c:v>
                </c:pt>
                <c:pt idx="893">
                  <c:v>-304769</c:v>
                </c:pt>
                <c:pt idx="894">
                  <c:v>-304983</c:v>
                </c:pt>
                <c:pt idx="895">
                  <c:v>-306174</c:v>
                </c:pt>
                <c:pt idx="896">
                  <c:v>-306302</c:v>
                </c:pt>
                <c:pt idx="897">
                  <c:v>-307311</c:v>
                </c:pt>
                <c:pt idx="898">
                  <c:v>-307017</c:v>
                </c:pt>
                <c:pt idx="899">
                  <c:v>-306862</c:v>
                </c:pt>
                <c:pt idx="900">
                  <c:v>-303217</c:v>
                </c:pt>
                <c:pt idx="901">
                  <c:v>-304713</c:v>
                </c:pt>
                <c:pt idx="902">
                  <c:v>-305656</c:v>
                </c:pt>
                <c:pt idx="903">
                  <c:v>-304265</c:v>
                </c:pt>
                <c:pt idx="904">
                  <c:v>-304285</c:v>
                </c:pt>
                <c:pt idx="905">
                  <c:v>-309000</c:v>
                </c:pt>
                <c:pt idx="906">
                  <c:v>-309803</c:v>
                </c:pt>
                <c:pt idx="907">
                  <c:v>-312707</c:v>
                </c:pt>
                <c:pt idx="908">
                  <c:v>-312342</c:v>
                </c:pt>
                <c:pt idx="909">
                  <c:v>-313855</c:v>
                </c:pt>
                <c:pt idx="910">
                  <c:v>-318172</c:v>
                </c:pt>
                <c:pt idx="911">
                  <c:v>-317155</c:v>
                </c:pt>
                <c:pt idx="912">
                  <c:v>-316634</c:v>
                </c:pt>
                <c:pt idx="913">
                  <c:v>-314440</c:v>
                </c:pt>
                <c:pt idx="914">
                  <c:v>-315355</c:v>
                </c:pt>
                <c:pt idx="915">
                  <c:v>-315669</c:v>
                </c:pt>
                <c:pt idx="916">
                  <c:v>-314944</c:v>
                </c:pt>
                <c:pt idx="917">
                  <c:v>-314924</c:v>
                </c:pt>
                <c:pt idx="918">
                  <c:v>-316813</c:v>
                </c:pt>
                <c:pt idx="919">
                  <c:v>-317300</c:v>
                </c:pt>
                <c:pt idx="920">
                  <c:v>-317794</c:v>
                </c:pt>
                <c:pt idx="921">
                  <c:v>-316892</c:v>
                </c:pt>
                <c:pt idx="922">
                  <c:v>-316861</c:v>
                </c:pt>
                <c:pt idx="923">
                  <c:v>-318345</c:v>
                </c:pt>
                <c:pt idx="924">
                  <c:v>-317865</c:v>
                </c:pt>
                <c:pt idx="925">
                  <c:v>-317245</c:v>
                </c:pt>
                <c:pt idx="926">
                  <c:v>-301128</c:v>
                </c:pt>
                <c:pt idx="927">
                  <c:v>-304930</c:v>
                </c:pt>
                <c:pt idx="928">
                  <c:v>-308068</c:v>
                </c:pt>
                <c:pt idx="929">
                  <c:v>-311762</c:v>
                </c:pt>
                <c:pt idx="930">
                  <c:v>-314821</c:v>
                </c:pt>
                <c:pt idx="931">
                  <c:v>-313758</c:v>
                </c:pt>
                <c:pt idx="932">
                  <c:v>-316345</c:v>
                </c:pt>
                <c:pt idx="933">
                  <c:v>-316052</c:v>
                </c:pt>
                <c:pt idx="934">
                  <c:v>-315984</c:v>
                </c:pt>
                <c:pt idx="935">
                  <c:v>-315331</c:v>
                </c:pt>
                <c:pt idx="936">
                  <c:v>-315467</c:v>
                </c:pt>
                <c:pt idx="937">
                  <c:v>-314545</c:v>
                </c:pt>
                <c:pt idx="938">
                  <c:v>-311934</c:v>
                </c:pt>
                <c:pt idx="939">
                  <c:v>-296547</c:v>
                </c:pt>
                <c:pt idx="940">
                  <c:v>-300926</c:v>
                </c:pt>
                <c:pt idx="941">
                  <c:v>-309769</c:v>
                </c:pt>
                <c:pt idx="942">
                  <c:v>-310112</c:v>
                </c:pt>
                <c:pt idx="943">
                  <c:v>-311981</c:v>
                </c:pt>
                <c:pt idx="944">
                  <c:v>-314629</c:v>
                </c:pt>
                <c:pt idx="945">
                  <c:v>-315863</c:v>
                </c:pt>
                <c:pt idx="946">
                  <c:v>-311501</c:v>
                </c:pt>
                <c:pt idx="947">
                  <c:v>-315378</c:v>
                </c:pt>
                <c:pt idx="948">
                  <c:v>-317318</c:v>
                </c:pt>
                <c:pt idx="949">
                  <c:v>-316165</c:v>
                </c:pt>
                <c:pt idx="950">
                  <c:v>-314415</c:v>
                </c:pt>
                <c:pt idx="951">
                  <c:v>-314843</c:v>
                </c:pt>
                <c:pt idx="952">
                  <c:v>-312137</c:v>
                </c:pt>
                <c:pt idx="953">
                  <c:v>-315435</c:v>
                </c:pt>
                <c:pt idx="954">
                  <c:v>-314226</c:v>
                </c:pt>
                <c:pt idx="955">
                  <c:v>-313863</c:v>
                </c:pt>
                <c:pt idx="956">
                  <c:v>-318419</c:v>
                </c:pt>
                <c:pt idx="957">
                  <c:v>-319051</c:v>
                </c:pt>
                <c:pt idx="958">
                  <c:v>-319093</c:v>
                </c:pt>
                <c:pt idx="959">
                  <c:v>-317165</c:v>
                </c:pt>
                <c:pt idx="960">
                  <c:v>-318068</c:v>
                </c:pt>
                <c:pt idx="961">
                  <c:v>-317932</c:v>
                </c:pt>
                <c:pt idx="962">
                  <c:v>-317528</c:v>
                </c:pt>
                <c:pt idx="963">
                  <c:v>-317800</c:v>
                </c:pt>
                <c:pt idx="964">
                  <c:v>-317689</c:v>
                </c:pt>
                <c:pt idx="965">
                  <c:v>-315276</c:v>
                </c:pt>
                <c:pt idx="966">
                  <c:v>-315182</c:v>
                </c:pt>
                <c:pt idx="967">
                  <c:v>-315851</c:v>
                </c:pt>
                <c:pt idx="968">
                  <c:v>-316666</c:v>
                </c:pt>
                <c:pt idx="969">
                  <c:v>-319679</c:v>
                </c:pt>
                <c:pt idx="970">
                  <c:v>-317053</c:v>
                </c:pt>
                <c:pt idx="971">
                  <c:v>-319931</c:v>
                </c:pt>
                <c:pt idx="972">
                  <c:v>-319040</c:v>
                </c:pt>
                <c:pt idx="973">
                  <c:v>-320728</c:v>
                </c:pt>
                <c:pt idx="974">
                  <c:v>-323645</c:v>
                </c:pt>
                <c:pt idx="975">
                  <c:v>-326164</c:v>
                </c:pt>
                <c:pt idx="976">
                  <c:v>-328861</c:v>
                </c:pt>
                <c:pt idx="977">
                  <c:v>-329063</c:v>
                </c:pt>
                <c:pt idx="978">
                  <c:v>-318481</c:v>
                </c:pt>
                <c:pt idx="979">
                  <c:v>-318442</c:v>
                </c:pt>
                <c:pt idx="980">
                  <c:v>-320701</c:v>
                </c:pt>
                <c:pt idx="981">
                  <c:v>-326116</c:v>
                </c:pt>
                <c:pt idx="982">
                  <c:v>-330847</c:v>
                </c:pt>
                <c:pt idx="983">
                  <c:v>-333314</c:v>
                </c:pt>
                <c:pt idx="984">
                  <c:v>-337867</c:v>
                </c:pt>
                <c:pt idx="985">
                  <c:v>-344471</c:v>
                </c:pt>
                <c:pt idx="986">
                  <c:v>-347260</c:v>
                </c:pt>
                <c:pt idx="987">
                  <c:v>-350556</c:v>
                </c:pt>
                <c:pt idx="988">
                  <c:v>-352614</c:v>
                </c:pt>
                <c:pt idx="989">
                  <c:v>-353950</c:v>
                </c:pt>
                <c:pt idx="990">
                  <c:v>-358716</c:v>
                </c:pt>
                <c:pt idx="991">
                  <c:v>-363777</c:v>
                </c:pt>
                <c:pt idx="992">
                  <c:v>-362866</c:v>
                </c:pt>
                <c:pt idx="993">
                  <c:v>-373021</c:v>
                </c:pt>
                <c:pt idx="994">
                  <c:v>-370510</c:v>
                </c:pt>
                <c:pt idx="995">
                  <c:v>-374472</c:v>
                </c:pt>
                <c:pt idx="996">
                  <c:v>-380647</c:v>
                </c:pt>
                <c:pt idx="997">
                  <c:v>-382630</c:v>
                </c:pt>
                <c:pt idx="998">
                  <c:v>-384936</c:v>
                </c:pt>
                <c:pt idx="999">
                  <c:v>-391315</c:v>
                </c:pt>
                <c:pt idx="1000">
                  <c:v>-398242</c:v>
                </c:pt>
                <c:pt idx="1001">
                  <c:v>-401862</c:v>
                </c:pt>
                <c:pt idx="1002">
                  <c:v>-406486</c:v>
                </c:pt>
                <c:pt idx="1003">
                  <c:v>-410929</c:v>
                </c:pt>
                <c:pt idx="1004">
                  <c:v>-409829</c:v>
                </c:pt>
                <c:pt idx="1005">
                  <c:v>-414142</c:v>
                </c:pt>
                <c:pt idx="1006">
                  <c:v>-416376</c:v>
                </c:pt>
                <c:pt idx="1007">
                  <c:v>-424021</c:v>
                </c:pt>
                <c:pt idx="1008">
                  <c:v>-429363</c:v>
                </c:pt>
                <c:pt idx="1009">
                  <c:v>-431207</c:v>
                </c:pt>
                <c:pt idx="1010">
                  <c:v>-430195</c:v>
                </c:pt>
                <c:pt idx="1011">
                  <c:v>-434068</c:v>
                </c:pt>
                <c:pt idx="1012">
                  <c:v>-434532</c:v>
                </c:pt>
                <c:pt idx="1013">
                  <c:v>-435710</c:v>
                </c:pt>
                <c:pt idx="1014">
                  <c:v>-438405</c:v>
                </c:pt>
                <c:pt idx="1015">
                  <c:v>-440568</c:v>
                </c:pt>
                <c:pt idx="1016">
                  <c:v>-437760</c:v>
                </c:pt>
                <c:pt idx="1017">
                  <c:v>-439528</c:v>
                </c:pt>
                <c:pt idx="1018">
                  <c:v>-437837</c:v>
                </c:pt>
                <c:pt idx="1019">
                  <c:v>-440845</c:v>
                </c:pt>
                <c:pt idx="1020">
                  <c:v>-441717</c:v>
                </c:pt>
                <c:pt idx="1021">
                  <c:v>-447611</c:v>
                </c:pt>
                <c:pt idx="1022">
                  <c:v>-445381</c:v>
                </c:pt>
                <c:pt idx="1023">
                  <c:v>-446250</c:v>
                </c:pt>
                <c:pt idx="1024">
                  <c:v>-448603</c:v>
                </c:pt>
                <c:pt idx="1025">
                  <c:v>-448704</c:v>
                </c:pt>
                <c:pt idx="1026">
                  <c:v>-450082</c:v>
                </c:pt>
                <c:pt idx="1027">
                  <c:v>-449866</c:v>
                </c:pt>
                <c:pt idx="1028">
                  <c:v>-443926</c:v>
                </c:pt>
                <c:pt idx="1029">
                  <c:v>-445784</c:v>
                </c:pt>
                <c:pt idx="1030">
                  <c:v>-428797</c:v>
                </c:pt>
                <c:pt idx="1031">
                  <c:v>-441894</c:v>
                </c:pt>
                <c:pt idx="1032">
                  <c:v>-445826</c:v>
                </c:pt>
                <c:pt idx="1033">
                  <c:v>-448753</c:v>
                </c:pt>
                <c:pt idx="1034">
                  <c:v>-453804</c:v>
                </c:pt>
                <c:pt idx="1035">
                  <c:v>-456370</c:v>
                </c:pt>
                <c:pt idx="1036">
                  <c:v>-456816</c:v>
                </c:pt>
                <c:pt idx="1037">
                  <c:v>-458084</c:v>
                </c:pt>
                <c:pt idx="1038">
                  <c:v>-457648</c:v>
                </c:pt>
                <c:pt idx="1039">
                  <c:v>-457705</c:v>
                </c:pt>
                <c:pt idx="1040">
                  <c:v>-457665</c:v>
                </c:pt>
                <c:pt idx="1041">
                  <c:v>-456730</c:v>
                </c:pt>
                <c:pt idx="1042">
                  <c:v>-458666</c:v>
                </c:pt>
                <c:pt idx="1043">
                  <c:v>-458571</c:v>
                </c:pt>
                <c:pt idx="1044">
                  <c:v>-463511</c:v>
                </c:pt>
                <c:pt idx="1045">
                  <c:v>-463435</c:v>
                </c:pt>
                <c:pt idx="1046">
                  <c:v>-460366</c:v>
                </c:pt>
                <c:pt idx="1047">
                  <c:v>-465536</c:v>
                </c:pt>
                <c:pt idx="1048">
                  <c:v>-467473</c:v>
                </c:pt>
                <c:pt idx="1049">
                  <c:v>-469351</c:v>
                </c:pt>
                <c:pt idx="1050">
                  <c:v>-471629</c:v>
                </c:pt>
                <c:pt idx="1051">
                  <c:v>-472128</c:v>
                </c:pt>
                <c:pt idx="1052">
                  <c:v>-473964</c:v>
                </c:pt>
                <c:pt idx="1053">
                  <c:v>-478462</c:v>
                </c:pt>
                <c:pt idx="1054">
                  <c:v>-480877</c:v>
                </c:pt>
                <c:pt idx="1055">
                  <c:v>-492226</c:v>
                </c:pt>
                <c:pt idx="1056">
                  <c:v>-473603</c:v>
                </c:pt>
                <c:pt idx="1057">
                  <c:v>-474943</c:v>
                </c:pt>
                <c:pt idx="1058">
                  <c:v>-478595</c:v>
                </c:pt>
                <c:pt idx="1059">
                  <c:v>-481950</c:v>
                </c:pt>
                <c:pt idx="1060">
                  <c:v>-483981</c:v>
                </c:pt>
                <c:pt idx="1061">
                  <c:v>-491192</c:v>
                </c:pt>
                <c:pt idx="1062">
                  <c:v>-496425</c:v>
                </c:pt>
                <c:pt idx="1063">
                  <c:v>-496302</c:v>
                </c:pt>
                <c:pt idx="1064">
                  <c:v>-495298</c:v>
                </c:pt>
                <c:pt idx="1065">
                  <c:v>-495869</c:v>
                </c:pt>
                <c:pt idx="1066">
                  <c:v>-494283</c:v>
                </c:pt>
                <c:pt idx="1067">
                  <c:v>-488391</c:v>
                </c:pt>
                <c:pt idx="1068">
                  <c:v>-493354</c:v>
                </c:pt>
                <c:pt idx="1069">
                  <c:v>-491577</c:v>
                </c:pt>
                <c:pt idx="1070">
                  <c:v>-487703</c:v>
                </c:pt>
                <c:pt idx="1071">
                  <c:v>-488221</c:v>
                </c:pt>
                <c:pt idx="1072">
                  <c:v>-488323</c:v>
                </c:pt>
                <c:pt idx="1073">
                  <c:v>-487918</c:v>
                </c:pt>
                <c:pt idx="1074">
                  <c:v>-490315</c:v>
                </c:pt>
                <c:pt idx="1075">
                  <c:v>-484138</c:v>
                </c:pt>
                <c:pt idx="1076">
                  <c:v>-486890</c:v>
                </c:pt>
                <c:pt idx="1077">
                  <c:v>-488157</c:v>
                </c:pt>
                <c:pt idx="1078">
                  <c:v>-489566</c:v>
                </c:pt>
                <c:pt idx="1079">
                  <c:v>-491426</c:v>
                </c:pt>
                <c:pt idx="1080">
                  <c:v>-488556</c:v>
                </c:pt>
                <c:pt idx="1081">
                  <c:v>-490880</c:v>
                </c:pt>
                <c:pt idx="1082">
                  <c:v>-491073</c:v>
                </c:pt>
                <c:pt idx="1083">
                  <c:v>-487381</c:v>
                </c:pt>
                <c:pt idx="1084">
                  <c:v>-487671</c:v>
                </c:pt>
                <c:pt idx="1085">
                  <c:v>-488810</c:v>
                </c:pt>
                <c:pt idx="1086">
                  <c:v>-489126</c:v>
                </c:pt>
                <c:pt idx="1087">
                  <c:v>-491587</c:v>
                </c:pt>
                <c:pt idx="1088">
                  <c:v>-492930</c:v>
                </c:pt>
                <c:pt idx="1089">
                  <c:v>-492580</c:v>
                </c:pt>
                <c:pt idx="1090">
                  <c:v>-491033</c:v>
                </c:pt>
                <c:pt idx="1091">
                  <c:v>-492628</c:v>
                </c:pt>
                <c:pt idx="1092">
                  <c:v>-487888</c:v>
                </c:pt>
                <c:pt idx="1093">
                  <c:v>-488529</c:v>
                </c:pt>
                <c:pt idx="1094">
                  <c:v>-488938</c:v>
                </c:pt>
                <c:pt idx="1095">
                  <c:v>-487301</c:v>
                </c:pt>
                <c:pt idx="1096">
                  <c:v>-486572</c:v>
                </c:pt>
                <c:pt idx="1097">
                  <c:v>-484932</c:v>
                </c:pt>
                <c:pt idx="1098">
                  <c:v>-484262</c:v>
                </c:pt>
                <c:pt idx="1099">
                  <c:v>-485156</c:v>
                </c:pt>
                <c:pt idx="1100">
                  <c:v>-487445</c:v>
                </c:pt>
                <c:pt idx="1101">
                  <c:v>-489815</c:v>
                </c:pt>
                <c:pt idx="1102">
                  <c:v>-487910</c:v>
                </c:pt>
                <c:pt idx="1103">
                  <c:v>-488792</c:v>
                </c:pt>
                <c:pt idx="1104">
                  <c:v>-488315</c:v>
                </c:pt>
                <c:pt idx="1105">
                  <c:v>-491320</c:v>
                </c:pt>
                <c:pt idx="1106">
                  <c:v>-491212</c:v>
                </c:pt>
                <c:pt idx="1107">
                  <c:v>-491220</c:v>
                </c:pt>
                <c:pt idx="1108">
                  <c:v>-471255</c:v>
                </c:pt>
                <c:pt idx="1109">
                  <c:v>-473585</c:v>
                </c:pt>
                <c:pt idx="1110">
                  <c:v>-476641</c:v>
                </c:pt>
                <c:pt idx="1111">
                  <c:v>-478655</c:v>
                </c:pt>
                <c:pt idx="1112">
                  <c:v>-482697</c:v>
                </c:pt>
                <c:pt idx="1113">
                  <c:v>-489268</c:v>
                </c:pt>
                <c:pt idx="1114">
                  <c:v>-491067</c:v>
                </c:pt>
                <c:pt idx="1115">
                  <c:v>-492892</c:v>
                </c:pt>
                <c:pt idx="1116">
                  <c:v>-495534</c:v>
                </c:pt>
                <c:pt idx="1117">
                  <c:v>-491878</c:v>
                </c:pt>
                <c:pt idx="1118">
                  <c:v>-491822</c:v>
                </c:pt>
                <c:pt idx="1119">
                  <c:v>-490866</c:v>
                </c:pt>
                <c:pt idx="1120">
                  <c:v>-491997</c:v>
                </c:pt>
                <c:pt idx="1121">
                  <c:v>-492925</c:v>
                </c:pt>
                <c:pt idx="1122">
                  <c:v>-487661</c:v>
                </c:pt>
                <c:pt idx="1123">
                  <c:v>-488356</c:v>
                </c:pt>
                <c:pt idx="1124">
                  <c:v>-489961</c:v>
                </c:pt>
                <c:pt idx="1125">
                  <c:v>-489015</c:v>
                </c:pt>
                <c:pt idx="1126">
                  <c:v>-487373</c:v>
                </c:pt>
                <c:pt idx="1127">
                  <c:v>-480773</c:v>
                </c:pt>
                <c:pt idx="1128">
                  <c:v>-487025</c:v>
                </c:pt>
                <c:pt idx="1129">
                  <c:v>-486936</c:v>
                </c:pt>
                <c:pt idx="1130">
                  <c:v>-487676</c:v>
                </c:pt>
                <c:pt idx="1131">
                  <c:v>-487144</c:v>
                </c:pt>
                <c:pt idx="1132">
                  <c:v>-486850</c:v>
                </c:pt>
                <c:pt idx="1133">
                  <c:v>-477604</c:v>
                </c:pt>
                <c:pt idx="1134">
                  <c:v>-466583</c:v>
                </c:pt>
                <c:pt idx="1135">
                  <c:v>-468687</c:v>
                </c:pt>
                <c:pt idx="1136">
                  <c:v>-472920</c:v>
                </c:pt>
                <c:pt idx="1137">
                  <c:v>-476654</c:v>
                </c:pt>
                <c:pt idx="1138">
                  <c:v>-480443</c:v>
                </c:pt>
                <c:pt idx="1139">
                  <c:v>-484757</c:v>
                </c:pt>
                <c:pt idx="1140">
                  <c:v>-484528</c:v>
                </c:pt>
                <c:pt idx="1141">
                  <c:v>-484366</c:v>
                </c:pt>
                <c:pt idx="1142">
                  <c:v>-485886</c:v>
                </c:pt>
                <c:pt idx="1143">
                  <c:v>-487077</c:v>
                </c:pt>
                <c:pt idx="1144">
                  <c:v>-485724</c:v>
                </c:pt>
                <c:pt idx="1145">
                  <c:v>-483761</c:v>
                </c:pt>
                <c:pt idx="1146">
                  <c:v>-483356</c:v>
                </c:pt>
                <c:pt idx="1147">
                  <c:v>-484171</c:v>
                </c:pt>
                <c:pt idx="1148">
                  <c:v>-479192</c:v>
                </c:pt>
                <c:pt idx="1149">
                  <c:v>-476327</c:v>
                </c:pt>
                <c:pt idx="1150">
                  <c:v>-475579</c:v>
                </c:pt>
                <c:pt idx="1151">
                  <c:v>-473150</c:v>
                </c:pt>
                <c:pt idx="1152">
                  <c:v>-475642</c:v>
                </c:pt>
                <c:pt idx="1153">
                  <c:v>-474291</c:v>
                </c:pt>
                <c:pt idx="1154">
                  <c:v>-473473</c:v>
                </c:pt>
                <c:pt idx="1155">
                  <c:v>-475796</c:v>
                </c:pt>
                <c:pt idx="1156">
                  <c:v>-475770</c:v>
                </c:pt>
                <c:pt idx="1157">
                  <c:v>-476201</c:v>
                </c:pt>
                <c:pt idx="1158">
                  <c:v>-477016</c:v>
                </c:pt>
                <c:pt idx="1159">
                  <c:v>-474973</c:v>
                </c:pt>
                <c:pt idx="1160">
                  <c:v>-469040</c:v>
                </c:pt>
                <c:pt idx="1161">
                  <c:v>-460129</c:v>
                </c:pt>
                <c:pt idx="1162">
                  <c:v>-465635</c:v>
                </c:pt>
                <c:pt idx="1163">
                  <c:v>-481339</c:v>
                </c:pt>
                <c:pt idx="1164">
                  <c:v>-512834</c:v>
                </c:pt>
                <c:pt idx="1165">
                  <c:v>-532371</c:v>
                </c:pt>
                <c:pt idx="1166">
                  <c:v>-552079</c:v>
                </c:pt>
                <c:pt idx="1167">
                  <c:v>-570640</c:v>
                </c:pt>
                <c:pt idx="1168">
                  <c:v>-594210</c:v>
                </c:pt>
                <c:pt idx="1169">
                  <c:v>-614755</c:v>
                </c:pt>
                <c:pt idx="1170">
                  <c:v>-627404</c:v>
                </c:pt>
                <c:pt idx="1171">
                  <c:v>-643792</c:v>
                </c:pt>
                <c:pt idx="1172">
                  <c:v>-657680</c:v>
                </c:pt>
                <c:pt idx="1173">
                  <c:v>-666056</c:v>
                </c:pt>
                <c:pt idx="1174">
                  <c:v>-675541</c:v>
                </c:pt>
                <c:pt idx="1175">
                  <c:v>-686007</c:v>
                </c:pt>
                <c:pt idx="1176">
                  <c:v>-694623</c:v>
                </c:pt>
                <c:pt idx="1177">
                  <c:v>-695052</c:v>
                </c:pt>
                <c:pt idx="1178">
                  <c:v>-706027</c:v>
                </c:pt>
                <c:pt idx="1179">
                  <c:v>-708984</c:v>
                </c:pt>
                <c:pt idx="1180">
                  <c:v>-705387</c:v>
                </c:pt>
                <c:pt idx="1181">
                  <c:v>-710964</c:v>
                </c:pt>
                <c:pt idx="1182">
                  <c:v>-721079</c:v>
                </c:pt>
                <c:pt idx="1183">
                  <c:v>-723510</c:v>
                </c:pt>
                <c:pt idx="1184">
                  <c:v>-729045</c:v>
                </c:pt>
                <c:pt idx="1185">
                  <c:v>-735560</c:v>
                </c:pt>
                <c:pt idx="1186">
                  <c:v>-732945</c:v>
                </c:pt>
                <c:pt idx="1187">
                  <c:v>-720979</c:v>
                </c:pt>
                <c:pt idx="1188">
                  <c:v>-720704</c:v>
                </c:pt>
                <c:pt idx="1189">
                  <c:v>-722703</c:v>
                </c:pt>
                <c:pt idx="1190">
                  <c:v>-731618</c:v>
                </c:pt>
                <c:pt idx="1191">
                  <c:v>-740507</c:v>
                </c:pt>
                <c:pt idx="1192">
                  <c:v>-745080</c:v>
                </c:pt>
                <c:pt idx="1193">
                  <c:v>-747633</c:v>
                </c:pt>
                <c:pt idx="1194">
                  <c:v>-754166</c:v>
                </c:pt>
                <c:pt idx="1195">
                  <c:v>-761947</c:v>
                </c:pt>
                <c:pt idx="1196">
                  <c:v>-766661</c:v>
                </c:pt>
                <c:pt idx="1197">
                  <c:v>-768196</c:v>
                </c:pt>
                <c:pt idx="1198">
                  <c:v>-770091</c:v>
                </c:pt>
                <c:pt idx="1199">
                  <c:v>-769745</c:v>
                </c:pt>
                <c:pt idx="1200">
                  <c:v>-767734</c:v>
                </c:pt>
                <c:pt idx="1201">
                  <c:v>-772815</c:v>
                </c:pt>
                <c:pt idx="1202">
                  <c:v>-770976</c:v>
                </c:pt>
                <c:pt idx="1203">
                  <c:v>-767807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E8E-9645-926E-3830DABCE972}"/>
            </c:ext>
          </c:extLst>
        </c:ser>
        <c:ser>
          <c:idx val="20"/>
          <c:order val="20"/>
          <c:tx>
            <c:strRef>
              <c:f>balance_sheet!$Z$5</c:f>
              <c:strCache>
                <c:ptCount val="1"/>
                <c:pt idx="0">
                  <c:v>Short-term market operations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balance_sheet!$Z$6:$Z$1209</c:f>
              <c:numCache>
                <c:formatCode>General</c:formatCode>
                <c:ptCount val="1204"/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-2392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-1416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-848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-1900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-1300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-19999</c:v>
                </c:pt>
                <c:pt idx="564">
                  <c:v>-10000</c:v>
                </c:pt>
                <c:pt idx="565">
                  <c:v>-24950</c:v>
                </c:pt>
                <c:pt idx="566">
                  <c:v>-23550</c:v>
                </c:pt>
                <c:pt idx="567">
                  <c:v>-41760</c:v>
                </c:pt>
                <c:pt idx="568">
                  <c:v>-50959</c:v>
                </c:pt>
                <c:pt idx="569">
                  <c:v>-31470</c:v>
                </c:pt>
                <c:pt idx="570">
                  <c:v>-35320</c:v>
                </c:pt>
                <c:pt idx="571">
                  <c:v>-52830</c:v>
                </c:pt>
                <c:pt idx="572">
                  <c:v>-60450</c:v>
                </c:pt>
                <c:pt idx="573">
                  <c:v>-69737</c:v>
                </c:pt>
                <c:pt idx="574">
                  <c:v>-56310</c:v>
                </c:pt>
                <c:pt idx="575">
                  <c:v>-77929</c:v>
                </c:pt>
                <c:pt idx="576">
                  <c:v>-83335</c:v>
                </c:pt>
                <c:pt idx="577">
                  <c:v>-80855</c:v>
                </c:pt>
                <c:pt idx="578">
                  <c:v>-87350</c:v>
                </c:pt>
                <c:pt idx="579">
                  <c:v>-101250</c:v>
                </c:pt>
                <c:pt idx="580">
                  <c:v>-76970</c:v>
                </c:pt>
                <c:pt idx="581">
                  <c:v>-64429</c:v>
                </c:pt>
                <c:pt idx="582">
                  <c:v>-44839</c:v>
                </c:pt>
                <c:pt idx="583">
                  <c:v>-41323</c:v>
                </c:pt>
                <c:pt idx="584">
                  <c:v>-43940</c:v>
                </c:pt>
                <c:pt idx="585">
                  <c:v>-37185</c:v>
                </c:pt>
                <c:pt idx="586">
                  <c:v>-42220</c:v>
                </c:pt>
                <c:pt idx="587">
                  <c:v>-48310</c:v>
                </c:pt>
                <c:pt idx="588">
                  <c:v>-23800</c:v>
                </c:pt>
                <c:pt idx="589">
                  <c:v>-39880</c:v>
                </c:pt>
                <c:pt idx="590">
                  <c:v>-34950</c:v>
                </c:pt>
                <c:pt idx="591">
                  <c:v>-47900</c:v>
                </c:pt>
                <c:pt idx="592">
                  <c:v>-35710</c:v>
                </c:pt>
                <c:pt idx="593">
                  <c:v>-37009</c:v>
                </c:pt>
                <c:pt idx="594">
                  <c:v>-38550</c:v>
                </c:pt>
                <c:pt idx="595">
                  <c:v>-38740</c:v>
                </c:pt>
                <c:pt idx="596">
                  <c:v>-27540</c:v>
                </c:pt>
                <c:pt idx="597">
                  <c:v>-27190</c:v>
                </c:pt>
                <c:pt idx="598">
                  <c:v>-18980</c:v>
                </c:pt>
                <c:pt idx="599">
                  <c:v>-20399</c:v>
                </c:pt>
                <c:pt idx="600">
                  <c:v>-9690</c:v>
                </c:pt>
                <c:pt idx="601">
                  <c:v>-8370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E8E-9645-926E-3830DABCE972}"/>
            </c:ext>
          </c:extLst>
        </c:ser>
        <c:ser>
          <c:idx val="21"/>
          <c:order val="21"/>
          <c:tx>
            <c:strRef>
              <c:f>balance_sheet!$AA$5</c:f>
              <c:strCache>
                <c:ptCount val="1"/>
                <c:pt idx="0">
                  <c:v>Foreign currency public securities issued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balance_sheet!$AA$6:$AA$1209</c:f>
              <c:numCache>
                <c:formatCode>General</c:formatCode>
                <c:ptCount val="1204"/>
                <c:pt idx="440">
                  <c:v>-6611</c:v>
                </c:pt>
                <c:pt idx="441">
                  <c:v>-6631</c:v>
                </c:pt>
                <c:pt idx="442">
                  <c:v>-6668</c:v>
                </c:pt>
                <c:pt idx="443">
                  <c:v>-6621</c:v>
                </c:pt>
                <c:pt idx="444">
                  <c:v>-6030</c:v>
                </c:pt>
                <c:pt idx="445">
                  <c:v>-6064</c:v>
                </c:pt>
                <c:pt idx="446">
                  <c:v>-6094</c:v>
                </c:pt>
                <c:pt idx="447">
                  <c:v>-6090</c:v>
                </c:pt>
                <c:pt idx="448">
                  <c:v>-5404</c:v>
                </c:pt>
                <c:pt idx="449">
                  <c:v>-5408</c:v>
                </c:pt>
                <c:pt idx="450">
                  <c:v>-5398</c:v>
                </c:pt>
                <c:pt idx="451">
                  <c:v>-5348</c:v>
                </c:pt>
                <c:pt idx="452">
                  <c:v>-5161</c:v>
                </c:pt>
                <c:pt idx="453">
                  <c:v>-5162</c:v>
                </c:pt>
                <c:pt idx="454">
                  <c:v>-5145</c:v>
                </c:pt>
                <c:pt idx="455">
                  <c:v>-5193</c:v>
                </c:pt>
                <c:pt idx="456">
                  <c:v>-5174</c:v>
                </c:pt>
                <c:pt idx="457">
                  <c:v>-4938</c:v>
                </c:pt>
                <c:pt idx="458">
                  <c:v>-4955</c:v>
                </c:pt>
                <c:pt idx="459">
                  <c:v>-4959</c:v>
                </c:pt>
                <c:pt idx="460">
                  <c:v>-4973</c:v>
                </c:pt>
                <c:pt idx="461">
                  <c:v>-4735</c:v>
                </c:pt>
                <c:pt idx="462">
                  <c:v>-4737</c:v>
                </c:pt>
                <c:pt idx="463">
                  <c:v>-4734</c:v>
                </c:pt>
                <c:pt idx="464">
                  <c:v>-4741</c:v>
                </c:pt>
                <c:pt idx="465">
                  <c:v>-4802</c:v>
                </c:pt>
                <c:pt idx="466">
                  <c:v>-4788</c:v>
                </c:pt>
                <c:pt idx="467">
                  <c:v>-4783</c:v>
                </c:pt>
                <c:pt idx="468">
                  <c:v>-4795</c:v>
                </c:pt>
                <c:pt idx="469">
                  <c:v>-4767</c:v>
                </c:pt>
                <c:pt idx="470">
                  <c:v>-4758</c:v>
                </c:pt>
                <c:pt idx="471">
                  <c:v>-4759</c:v>
                </c:pt>
                <c:pt idx="472">
                  <c:v>-4795</c:v>
                </c:pt>
                <c:pt idx="473">
                  <c:v>-4753</c:v>
                </c:pt>
                <c:pt idx="474">
                  <c:v>-4666</c:v>
                </c:pt>
                <c:pt idx="475">
                  <c:v>-4685</c:v>
                </c:pt>
                <c:pt idx="476">
                  <c:v>-3260</c:v>
                </c:pt>
                <c:pt idx="477">
                  <c:v>-3255</c:v>
                </c:pt>
                <c:pt idx="478">
                  <c:v>-3293</c:v>
                </c:pt>
                <c:pt idx="479">
                  <c:v>-3314</c:v>
                </c:pt>
                <c:pt idx="480">
                  <c:v>-3328</c:v>
                </c:pt>
                <c:pt idx="481">
                  <c:v>-3364</c:v>
                </c:pt>
                <c:pt idx="482">
                  <c:v>-4417</c:v>
                </c:pt>
                <c:pt idx="483">
                  <c:v>-4373</c:v>
                </c:pt>
                <c:pt idx="484">
                  <c:v>-4379</c:v>
                </c:pt>
                <c:pt idx="485">
                  <c:v>-4354</c:v>
                </c:pt>
                <c:pt idx="486">
                  <c:v>-4364</c:v>
                </c:pt>
                <c:pt idx="487">
                  <c:v>-4345</c:v>
                </c:pt>
                <c:pt idx="488">
                  <c:v>-4366</c:v>
                </c:pt>
                <c:pt idx="489">
                  <c:v>-4383</c:v>
                </c:pt>
                <c:pt idx="490">
                  <c:v>-4361</c:v>
                </c:pt>
                <c:pt idx="491">
                  <c:v>-4393</c:v>
                </c:pt>
                <c:pt idx="492">
                  <c:v>-4357</c:v>
                </c:pt>
                <c:pt idx="493">
                  <c:v>-4371</c:v>
                </c:pt>
                <c:pt idx="494">
                  <c:v>-4351</c:v>
                </c:pt>
                <c:pt idx="495">
                  <c:v>-4339</c:v>
                </c:pt>
                <c:pt idx="496">
                  <c:v>-4333</c:v>
                </c:pt>
                <c:pt idx="497">
                  <c:v>-4334</c:v>
                </c:pt>
                <c:pt idx="498">
                  <c:v>-4341</c:v>
                </c:pt>
                <c:pt idx="499">
                  <c:v>-4343</c:v>
                </c:pt>
                <c:pt idx="500">
                  <c:v>-4314</c:v>
                </c:pt>
                <c:pt idx="501">
                  <c:v>-4301</c:v>
                </c:pt>
                <c:pt idx="502">
                  <c:v>-4346</c:v>
                </c:pt>
                <c:pt idx="503">
                  <c:v>-4361</c:v>
                </c:pt>
                <c:pt idx="504">
                  <c:v>-4388</c:v>
                </c:pt>
                <c:pt idx="505">
                  <c:v>-4405</c:v>
                </c:pt>
                <c:pt idx="506">
                  <c:v>-4390</c:v>
                </c:pt>
                <c:pt idx="507">
                  <c:v>-4381</c:v>
                </c:pt>
                <c:pt idx="508">
                  <c:v>-4426</c:v>
                </c:pt>
                <c:pt idx="509">
                  <c:v>-4514</c:v>
                </c:pt>
                <c:pt idx="510">
                  <c:v>-4521</c:v>
                </c:pt>
                <c:pt idx="511">
                  <c:v>-4482</c:v>
                </c:pt>
                <c:pt idx="512">
                  <c:v>-4473</c:v>
                </c:pt>
                <c:pt idx="513">
                  <c:v>-4499</c:v>
                </c:pt>
                <c:pt idx="514">
                  <c:v>-4502</c:v>
                </c:pt>
                <c:pt idx="515">
                  <c:v>-4492</c:v>
                </c:pt>
                <c:pt idx="516">
                  <c:v>-4490</c:v>
                </c:pt>
                <c:pt idx="517">
                  <c:v>-4586</c:v>
                </c:pt>
                <c:pt idx="518">
                  <c:v>-4653</c:v>
                </c:pt>
                <c:pt idx="519">
                  <c:v>-4602</c:v>
                </c:pt>
                <c:pt idx="520">
                  <c:v>-4680</c:v>
                </c:pt>
                <c:pt idx="521">
                  <c:v>-4637</c:v>
                </c:pt>
                <c:pt idx="522">
                  <c:v>-4667</c:v>
                </c:pt>
                <c:pt idx="523">
                  <c:v>-4727</c:v>
                </c:pt>
                <c:pt idx="524">
                  <c:v>-4727</c:v>
                </c:pt>
                <c:pt idx="525">
                  <c:v>-4856</c:v>
                </c:pt>
                <c:pt idx="526">
                  <c:v>-4872</c:v>
                </c:pt>
                <c:pt idx="527">
                  <c:v>-4872</c:v>
                </c:pt>
                <c:pt idx="528">
                  <c:v>-4901</c:v>
                </c:pt>
                <c:pt idx="529">
                  <c:v>-3368</c:v>
                </c:pt>
                <c:pt idx="530">
                  <c:v>-3299</c:v>
                </c:pt>
                <c:pt idx="531">
                  <c:v>-3284</c:v>
                </c:pt>
                <c:pt idx="532">
                  <c:v>-3327</c:v>
                </c:pt>
                <c:pt idx="533">
                  <c:v>-3315</c:v>
                </c:pt>
                <c:pt idx="534">
                  <c:v>-3343</c:v>
                </c:pt>
                <c:pt idx="535">
                  <c:v>-4311</c:v>
                </c:pt>
                <c:pt idx="536">
                  <c:v>-4422</c:v>
                </c:pt>
                <c:pt idx="537">
                  <c:v>-4396</c:v>
                </c:pt>
                <c:pt idx="538">
                  <c:v>-4410</c:v>
                </c:pt>
                <c:pt idx="539">
                  <c:v>-4463</c:v>
                </c:pt>
                <c:pt idx="540">
                  <c:v>-4477</c:v>
                </c:pt>
                <c:pt idx="541">
                  <c:v>-4444</c:v>
                </c:pt>
                <c:pt idx="542">
                  <c:v>-4396</c:v>
                </c:pt>
                <c:pt idx="543">
                  <c:v>-4438</c:v>
                </c:pt>
                <c:pt idx="544">
                  <c:v>-4463</c:v>
                </c:pt>
                <c:pt idx="545">
                  <c:v>-4469</c:v>
                </c:pt>
                <c:pt idx="546">
                  <c:v>-4406</c:v>
                </c:pt>
                <c:pt idx="547">
                  <c:v>-4440</c:v>
                </c:pt>
                <c:pt idx="548">
                  <c:v>-4411</c:v>
                </c:pt>
                <c:pt idx="549">
                  <c:v>-4419</c:v>
                </c:pt>
                <c:pt idx="550">
                  <c:v>-4408</c:v>
                </c:pt>
                <c:pt idx="551">
                  <c:v>-4415</c:v>
                </c:pt>
                <c:pt idx="552">
                  <c:v>-4432</c:v>
                </c:pt>
                <c:pt idx="553">
                  <c:v>-4413</c:v>
                </c:pt>
                <c:pt idx="554">
                  <c:v>-4376</c:v>
                </c:pt>
                <c:pt idx="555">
                  <c:v>-4408</c:v>
                </c:pt>
                <c:pt idx="556">
                  <c:v>-4453</c:v>
                </c:pt>
                <c:pt idx="557">
                  <c:v>-4578</c:v>
                </c:pt>
                <c:pt idx="558">
                  <c:v>-4576</c:v>
                </c:pt>
                <c:pt idx="559">
                  <c:v>-4618</c:v>
                </c:pt>
                <c:pt idx="560">
                  <c:v>-4745</c:v>
                </c:pt>
                <c:pt idx="561">
                  <c:v>-4732</c:v>
                </c:pt>
                <c:pt idx="562">
                  <c:v>-4669</c:v>
                </c:pt>
                <c:pt idx="563">
                  <c:v>-4585</c:v>
                </c:pt>
                <c:pt idx="564">
                  <c:v>-4695</c:v>
                </c:pt>
                <c:pt idx="565">
                  <c:v>-4754</c:v>
                </c:pt>
                <c:pt idx="566">
                  <c:v>-4702</c:v>
                </c:pt>
                <c:pt idx="567">
                  <c:v>-4917</c:v>
                </c:pt>
                <c:pt idx="568">
                  <c:v>-4901</c:v>
                </c:pt>
                <c:pt idx="569">
                  <c:v>-4992</c:v>
                </c:pt>
                <c:pt idx="570">
                  <c:v>-5270</c:v>
                </c:pt>
                <c:pt idx="571">
                  <c:v>-5274</c:v>
                </c:pt>
                <c:pt idx="572">
                  <c:v>-5226</c:v>
                </c:pt>
                <c:pt idx="573">
                  <c:v>-5397</c:v>
                </c:pt>
                <c:pt idx="574">
                  <c:v>-5459</c:v>
                </c:pt>
                <c:pt idx="575">
                  <c:v>-5534</c:v>
                </c:pt>
                <c:pt idx="576">
                  <c:v>-5711</c:v>
                </c:pt>
                <c:pt idx="577">
                  <c:v>-5814</c:v>
                </c:pt>
                <c:pt idx="578">
                  <c:v>-5499</c:v>
                </c:pt>
                <c:pt idx="579">
                  <c:v>-5621</c:v>
                </c:pt>
                <c:pt idx="580">
                  <c:v>-5903</c:v>
                </c:pt>
                <c:pt idx="581">
                  <c:v>-2882</c:v>
                </c:pt>
                <c:pt idx="582">
                  <c:v>-2824</c:v>
                </c:pt>
                <c:pt idx="583">
                  <c:v>-2864</c:v>
                </c:pt>
                <c:pt idx="584">
                  <c:v>-2893</c:v>
                </c:pt>
                <c:pt idx="585">
                  <c:v>-2878</c:v>
                </c:pt>
                <c:pt idx="586">
                  <c:v>-2903</c:v>
                </c:pt>
                <c:pt idx="587">
                  <c:v>-4402</c:v>
                </c:pt>
                <c:pt idx="588">
                  <c:v>-4365</c:v>
                </c:pt>
                <c:pt idx="589">
                  <c:v>-4190</c:v>
                </c:pt>
                <c:pt idx="590">
                  <c:v>-4261</c:v>
                </c:pt>
                <c:pt idx="591">
                  <c:v>-4175</c:v>
                </c:pt>
                <c:pt idx="592">
                  <c:v>-4089</c:v>
                </c:pt>
                <c:pt idx="593">
                  <c:v>-4209</c:v>
                </c:pt>
                <c:pt idx="594">
                  <c:v>-4143</c:v>
                </c:pt>
                <c:pt idx="595">
                  <c:v>-4071</c:v>
                </c:pt>
                <c:pt idx="596">
                  <c:v>-4053</c:v>
                </c:pt>
                <c:pt idx="597">
                  <c:v>-3932</c:v>
                </c:pt>
                <c:pt idx="598">
                  <c:v>-3823</c:v>
                </c:pt>
                <c:pt idx="599">
                  <c:v>-3740</c:v>
                </c:pt>
                <c:pt idx="600">
                  <c:v>-3718</c:v>
                </c:pt>
                <c:pt idx="601">
                  <c:v>-3754</c:v>
                </c:pt>
                <c:pt idx="602">
                  <c:v>-3706</c:v>
                </c:pt>
                <c:pt idx="603">
                  <c:v>-3715</c:v>
                </c:pt>
                <c:pt idx="604">
                  <c:v>-3815</c:v>
                </c:pt>
                <c:pt idx="605">
                  <c:v>-3732</c:v>
                </c:pt>
                <c:pt idx="606">
                  <c:v>-3732</c:v>
                </c:pt>
                <c:pt idx="607">
                  <c:v>-3729</c:v>
                </c:pt>
                <c:pt idx="608">
                  <c:v>-3609</c:v>
                </c:pt>
                <c:pt idx="609">
                  <c:v>-3700</c:v>
                </c:pt>
                <c:pt idx="610">
                  <c:v>-3716</c:v>
                </c:pt>
                <c:pt idx="611">
                  <c:v>-3778</c:v>
                </c:pt>
                <c:pt idx="612">
                  <c:v>-3776</c:v>
                </c:pt>
                <c:pt idx="613">
                  <c:v>-3701</c:v>
                </c:pt>
                <c:pt idx="614">
                  <c:v>-3712</c:v>
                </c:pt>
                <c:pt idx="615">
                  <c:v>-3728</c:v>
                </c:pt>
                <c:pt idx="616">
                  <c:v>-3834</c:v>
                </c:pt>
                <c:pt idx="617">
                  <c:v>-3852</c:v>
                </c:pt>
                <c:pt idx="618">
                  <c:v>-3839</c:v>
                </c:pt>
                <c:pt idx="619">
                  <c:v>-3681</c:v>
                </c:pt>
                <c:pt idx="620">
                  <c:v>-3739</c:v>
                </c:pt>
                <c:pt idx="621">
                  <c:v>-3691</c:v>
                </c:pt>
                <c:pt idx="622">
                  <c:v>-3697</c:v>
                </c:pt>
                <c:pt idx="623">
                  <c:v>-3661</c:v>
                </c:pt>
                <c:pt idx="624">
                  <c:v>-3682</c:v>
                </c:pt>
                <c:pt idx="625">
                  <c:v>-3680</c:v>
                </c:pt>
                <c:pt idx="626">
                  <c:v>-3777</c:v>
                </c:pt>
                <c:pt idx="627">
                  <c:v>-3731</c:v>
                </c:pt>
                <c:pt idx="628">
                  <c:v>-3826</c:v>
                </c:pt>
                <c:pt idx="629">
                  <c:v>-3810</c:v>
                </c:pt>
                <c:pt idx="630">
                  <c:v>-3814</c:v>
                </c:pt>
                <c:pt idx="631">
                  <c:v>-3753</c:v>
                </c:pt>
                <c:pt idx="632">
                  <c:v>-3753</c:v>
                </c:pt>
                <c:pt idx="633">
                  <c:v>-3774</c:v>
                </c:pt>
                <c:pt idx="634">
                  <c:v>-3832</c:v>
                </c:pt>
                <c:pt idx="635">
                  <c:v>-3915</c:v>
                </c:pt>
                <c:pt idx="636">
                  <c:v>-3881</c:v>
                </c:pt>
                <c:pt idx="637">
                  <c:v>-3950</c:v>
                </c:pt>
                <c:pt idx="638">
                  <c:v>-4049</c:v>
                </c:pt>
                <c:pt idx="639">
                  <c:v>-5403</c:v>
                </c:pt>
                <c:pt idx="640">
                  <c:v>-5287</c:v>
                </c:pt>
                <c:pt idx="641">
                  <c:v>-4071</c:v>
                </c:pt>
                <c:pt idx="642">
                  <c:v>-4006</c:v>
                </c:pt>
                <c:pt idx="643">
                  <c:v>-3992</c:v>
                </c:pt>
                <c:pt idx="644">
                  <c:v>-3930</c:v>
                </c:pt>
                <c:pt idx="645">
                  <c:v>-3945</c:v>
                </c:pt>
                <c:pt idx="646">
                  <c:v>-3995</c:v>
                </c:pt>
                <c:pt idx="647">
                  <c:v>-4017</c:v>
                </c:pt>
                <c:pt idx="648">
                  <c:v>-4087</c:v>
                </c:pt>
                <c:pt idx="649">
                  <c:v>-4230</c:v>
                </c:pt>
                <c:pt idx="650">
                  <c:v>-4202</c:v>
                </c:pt>
                <c:pt idx="651">
                  <c:v>-4163</c:v>
                </c:pt>
                <c:pt idx="652">
                  <c:v>-4159</c:v>
                </c:pt>
                <c:pt idx="653">
                  <c:v>-4093</c:v>
                </c:pt>
                <c:pt idx="654">
                  <c:v>-4081</c:v>
                </c:pt>
                <c:pt idx="655">
                  <c:v>-4067</c:v>
                </c:pt>
                <c:pt idx="656">
                  <c:v>-4007</c:v>
                </c:pt>
                <c:pt idx="657">
                  <c:v>-3986</c:v>
                </c:pt>
                <c:pt idx="658">
                  <c:v>-4008</c:v>
                </c:pt>
                <c:pt idx="659">
                  <c:v>-3903</c:v>
                </c:pt>
                <c:pt idx="660">
                  <c:v>-3846</c:v>
                </c:pt>
                <c:pt idx="661">
                  <c:v>-3905</c:v>
                </c:pt>
                <c:pt idx="662">
                  <c:v>-3911</c:v>
                </c:pt>
                <c:pt idx="663">
                  <c:v>-3963</c:v>
                </c:pt>
                <c:pt idx="664">
                  <c:v>-3953</c:v>
                </c:pt>
                <c:pt idx="665">
                  <c:v>-3946</c:v>
                </c:pt>
                <c:pt idx="666">
                  <c:v>-3909</c:v>
                </c:pt>
                <c:pt idx="667">
                  <c:v>-3905</c:v>
                </c:pt>
                <c:pt idx="668">
                  <c:v>-3871</c:v>
                </c:pt>
                <c:pt idx="669">
                  <c:v>-3851</c:v>
                </c:pt>
                <c:pt idx="670">
                  <c:v>-3865</c:v>
                </c:pt>
                <c:pt idx="671">
                  <c:v>-3860</c:v>
                </c:pt>
                <c:pt idx="672">
                  <c:v>-3875</c:v>
                </c:pt>
                <c:pt idx="673">
                  <c:v>-3805</c:v>
                </c:pt>
                <c:pt idx="674">
                  <c:v>-3808</c:v>
                </c:pt>
                <c:pt idx="675">
                  <c:v>-3834</c:v>
                </c:pt>
                <c:pt idx="676">
                  <c:v>-3864</c:v>
                </c:pt>
                <c:pt idx="677">
                  <c:v>-3913</c:v>
                </c:pt>
                <c:pt idx="678">
                  <c:v>-3857</c:v>
                </c:pt>
                <c:pt idx="679">
                  <c:v>-3891</c:v>
                </c:pt>
                <c:pt idx="680">
                  <c:v>-3948</c:v>
                </c:pt>
                <c:pt idx="681">
                  <c:v>-3938</c:v>
                </c:pt>
                <c:pt idx="682">
                  <c:v>-3928</c:v>
                </c:pt>
                <c:pt idx="683">
                  <c:v>-3872</c:v>
                </c:pt>
                <c:pt idx="684">
                  <c:v>-3804</c:v>
                </c:pt>
                <c:pt idx="685">
                  <c:v>-3826</c:v>
                </c:pt>
                <c:pt idx="686">
                  <c:v>-3753</c:v>
                </c:pt>
                <c:pt idx="687">
                  <c:v>-3767</c:v>
                </c:pt>
                <c:pt idx="688">
                  <c:v>-3783</c:v>
                </c:pt>
                <c:pt idx="689">
                  <c:v>-3740</c:v>
                </c:pt>
                <c:pt idx="690">
                  <c:v>-4949</c:v>
                </c:pt>
                <c:pt idx="691">
                  <c:v>-4977</c:v>
                </c:pt>
                <c:pt idx="692">
                  <c:v>-5049</c:v>
                </c:pt>
                <c:pt idx="693">
                  <c:v>-3742</c:v>
                </c:pt>
                <c:pt idx="694">
                  <c:v>-3776</c:v>
                </c:pt>
                <c:pt idx="695">
                  <c:v>-3713</c:v>
                </c:pt>
                <c:pt idx="696">
                  <c:v>-3729</c:v>
                </c:pt>
                <c:pt idx="697">
                  <c:v>-3706</c:v>
                </c:pt>
                <c:pt idx="698">
                  <c:v>-3682</c:v>
                </c:pt>
                <c:pt idx="699">
                  <c:v>-3684</c:v>
                </c:pt>
                <c:pt idx="700">
                  <c:v>-3701</c:v>
                </c:pt>
                <c:pt idx="701">
                  <c:v>-3774</c:v>
                </c:pt>
                <c:pt idx="702">
                  <c:v>-3746</c:v>
                </c:pt>
                <c:pt idx="703">
                  <c:v>-3723</c:v>
                </c:pt>
                <c:pt idx="704">
                  <c:v>-3730</c:v>
                </c:pt>
                <c:pt idx="705">
                  <c:v>-3756</c:v>
                </c:pt>
                <c:pt idx="706">
                  <c:v>-3783</c:v>
                </c:pt>
                <c:pt idx="707">
                  <c:v>-3801</c:v>
                </c:pt>
                <c:pt idx="708">
                  <c:v>-3815</c:v>
                </c:pt>
                <c:pt idx="709">
                  <c:v>-3791</c:v>
                </c:pt>
                <c:pt idx="710">
                  <c:v>-3776</c:v>
                </c:pt>
                <c:pt idx="711">
                  <c:v>-3729</c:v>
                </c:pt>
                <c:pt idx="712">
                  <c:v>-3718</c:v>
                </c:pt>
                <c:pt idx="713">
                  <c:v>-3789</c:v>
                </c:pt>
                <c:pt idx="714">
                  <c:v>-3689</c:v>
                </c:pt>
                <c:pt idx="715">
                  <c:v>-3722</c:v>
                </c:pt>
                <c:pt idx="716">
                  <c:v>-3751</c:v>
                </c:pt>
                <c:pt idx="717">
                  <c:v>-3827</c:v>
                </c:pt>
                <c:pt idx="718">
                  <c:v>-3876</c:v>
                </c:pt>
                <c:pt idx="719">
                  <c:v>-3911</c:v>
                </c:pt>
                <c:pt idx="720">
                  <c:v>-3891</c:v>
                </c:pt>
                <c:pt idx="721">
                  <c:v>-3944</c:v>
                </c:pt>
                <c:pt idx="722">
                  <c:v>-3851</c:v>
                </c:pt>
                <c:pt idx="723">
                  <c:v>-3840</c:v>
                </c:pt>
                <c:pt idx="724">
                  <c:v>-3819</c:v>
                </c:pt>
                <c:pt idx="725">
                  <c:v>-3809</c:v>
                </c:pt>
                <c:pt idx="726">
                  <c:v>-3812</c:v>
                </c:pt>
                <c:pt idx="727">
                  <c:v>-3847</c:v>
                </c:pt>
                <c:pt idx="728">
                  <c:v>-3910</c:v>
                </c:pt>
                <c:pt idx="729">
                  <c:v>-3858</c:v>
                </c:pt>
                <c:pt idx="730">
                  <c:v>-3876</c:v>
                </c:pt>
                <c:pt idx="731">
                  <c:v>-3940</c:v>
                </c:pt>
                <c:pt idx="732">
                  <c:v>-3874</c:v>
                </c:pt>
                <c:pt idx="733">
                  <c:v>-3921</c:v>
                </c:pt>
                <c:pt idx="734">
                  <c:v>-3890</c:v>
                </c:pt>
                <c:pt idx="735">
                  <c:v>-3956</c:v>
                </c:pt>
                <c:pt idx="736">
                  <c:v>-3944</c:v>
                </c:pt>
                <c:pt idx="737">
                  <c:v>-3898</c:v>
                </c:pt>
                <c:pt idx="738">
                  <c:v>-3833</c:v>
                </c:pt>
                <c:pt idx="739">
                  <c:v>-3840</c:v>
                </c:pt>
                <c:pt idx="740">
                  <c:v>-3870</c:v>
                </c:pt>
                <c:pt idx="741">
                  <c:v>-3875</c:v>
                </c:pt>
                <c:pt idx="742">
                  <c:v>-5048</c:v>
                </c:pt>
                <c:pt idx="743">
                  <c:v>-5135</c:v>
                </c:pt>
                <c:pt idx="744">
                  <c:v>-5134</c:v>
                </c:pt>
                <c:pt idx="745">
                  <c:v>-3821</c:v>
                </c:pt>
                <c:pt idx="746">
                  <c:v>-3826</c:v>
                </c:pt>
                <c:pt idx="747">
                  <c:v>-3818</c:v>
                </c:pt>
                <c:pt idx="748">
                  <c:v>-3813</c:v>
                </c:pt>
                <c:pt idx="749">
                  <c:v>-3784</c:v>
                </c:pt>
                <c:pt idx="750">
                  <c:v>-3763</c:v>
                </c:pt>
                <c:pt idx="751">
                  <c:v>-3742</c:v>
                </c:pt>
                <c:pt idx="752">
                  <c:v>-3764</c:v>
                </c:pt>
                <c:pt idx="753">
                  <c:v>-3803</c:v>
                </c:pt>
                <c:pt idx="754">
                  <c:v>-3852</c:v>
                </c:pt>
                <c:pt idx="755">
                  <c:v>-3899</c:v>
                </c:pt>
                <c:pt idx="756">
                  <c:v>-3918</c:v>
                </c:pt>
                <c:pt idx="757">
                  <c:v>-3888</c:v>
                </c:pt>
                <c:pt idx="758">
                  <c:v>-3851</c:v>
                </c:pt>
                <c:pt idx="759">
                  <c:v>-3897</c:v>
                </c:pt>
                <c:pt idx="760">
                  <c:v>-3891</c:v>
                </c:pt>
                <c:pt idx="761">
                  <c:v>-3898</c:v>
                </c:pt>
                <c:pt idx="762">
                  <c:v>-3885</c:v>
                </c:pt>
                <c:pt idx="763">
                  <c:v>-3923</c:v>
                </c:pt>
                <c:pt idx="764">
                  <c:v>-3894</c:v>
                </c:pt>
                <c:pt idx="765">
                  <c:v>-3874</c:v>
                </c:pt>
                <c:pt idx="766">
                  <c:v>-3861</c:v>
                </c:pt>
                <c:pt idx="767">
                  <c:v>-3834</c:v>
                </c:pt>
                <c:pt idx="768">
                  <c:v>-3829</c:v>
                </c:pt>
                <c:pt idx="769">
                  <c:v>-3811</c:v>
                </c:pt>
                <c:pt idx="770">
                  <c:v>-3765</c:v>
                </c:pt>
                <c:pt idx="771">
                  <c:v>-3737</c:v>
                </c:pt>
                <c:pt idx="772">
                  <c:v>-3753</c:v>
                </c:pt>
                <c:pt idx="773">
                  <c:v>-3773</c:v>
                </c:pt>
                <c:pt idx="774">
                  <c:v>-3783</c:v>
                </c:pt>
                <c:pt idx="775">
                  <c:v>-3748</c:v>
                </c:pt>
                <c:pt idx="776">
                  <c:v>-3778</c:v>
                </c:pt>
                <c:pt idx="777">
                  <c:v>-3759</c:v>
                </c:pt>
                <c:pt idx="778">
                  <c:v>-3786</c:v>
                </c:pt>
                <c:pt idx="779">
                  <c:v>-3820</c:v>
                </c:pt>
                <c:pt idx="780">
                  <c:v>-3796</c:v>
                </c:pt>
                <c:pt idx="781">
                  <c:v>-3784</c:v>
                </c:pt>
                <c:pt idx="782">
                  <c:v>-3760</c:v>
                </c:pt>
                <c:pt idx="783">
                  <c:v>-3754</c:v>
                </c:pt>
                <c:pt idx="784">
                  <c:v>-3716</c:v>
                </c:pt>
                <c:pt idx="785">
                  <c:v>-3738</c:v>
                </c:pt>
                <c:pt idx="786">
                  <c:v>-3712</c:v>
                </c:pt>
                <c:pt idx="787">
                  <c:v>-3776</c:v>
                </c:pt>
                <c:pt idx="788">
                  <c:v>-3778</c:v>
                </c:pt>
                <c:pt idx="789">
                  <c:v>-3814</c:v>
                </c:pt>
                <c:pt idx="790">
                  <c:v>-3825</c:v>
                </c:pt>
                <c:pt idx="791">
                  <c:v>-3857</c:v>
                </c:pt>
                <c:pt idx="792">
                  <c:v>-3882</c:v>
                </c:pt>
                <c:pt idx="793">
                  <c:v>-3943</c:v>
                </c:pt>
                <c:pt idx="794">
                  <c:v>-3987</c:v>
                </c:pt>
                <c:pt idx="795">
                  <c:v>-4006</c:v>
                </c:pt>
                <c:pt idx="796">
                  <c:v>-5383</c:v>
                </c:pt>
                <c:pt idx="797">
                  <c:v>-4006</c:v>
                </c:pt>
                <c:pt idx="798">
                  <c:v>-4009</c:v>
                </c:pt>
                <c:pt idx="799">
                  <c:v>-4006</c:v>
                </c:pt>
                <c:pt idx="800">
                  <c:v>-3936</c:v>
                </c:pt>
                <c:pt idx="801">
                  <c:v>-3961</c:v>
                </c:pt>
                <c:pt idx="802">
                  <c:v>-3953</c:v>
                </c:pt>
                <c:pt idx="803">
                  <c:v>-3874</c:v>
                </c:pt>
                <c:pt idx="804">
                  <c:v>-3877</c:v>
                </c:pt>
                <c:pt idx="805">
                  <c:v>-3962</c:v>
                </c:pt>
                <c:pt idx="806">
                  <c:v>-4009</c:v>
                </c:pt>
                <c:pt idx="807">
                  <c:v>-3984</c:v>
                </c:pt>
                <c:pt idx="808">
                  <c:v>-3913</c:v>
                </c:pt>
                <c:pt idx="809">
                  <c:v>-3836</c:v>
                </c:pt>
                <c:pt idx="810">
                  <c:v>-3846</c:v>
                </c:pt>
                <c:pt idx="811">
                  <c:v>-3915</c:v>
                </c:pt>
                <c:pt idx="812">
                  <c:v>-3941</c:v>
                </c:pt>
                <c:pt idx="813">
                  <c:v>-4024</c:v>
                </c:pt>
                <c:pt idx="814">
                  <c:v>-3966</c:v>
                </c:pt>
                <c:pt idx="815">
                  <c:v>-3917</c:v>
                </c:pt>
                <c:pt idx="816">
                  <c:v>-3967</c:v>
                </c:pt>
                <c:pt idx="817">
                  <c:v>-3878</c:v>
                </c:pt>
                <c:pt idx="818">
                  <c:v>-3870</c:v>
                </c:pt>
                <c:pt idx="819">
                  <c:v>-3831</c:v>
                </c:pt>
                <c:pt idx="820">
                  <c:v>-3866</c:v>
                </c:pt>
                <c:pt idx="821">
                  <c:v>-3842</c:v>
                </c:pt>
                <c:pt idx="822">
                  <c:v>-3796</c:v>
                </c:pt>
                <c:pt idx="823">
                  <c:v>-3763</c:v>
                </c:pt>
                <c:pt idx="824">
                  <c:v>-3745</c:v>
                </c:pt>
                <c:pt idx="825">
                  <c:v>-3710</c:v>
                </c:pt>
                <c:pt idx="826">
                  <c:v>-3777</c:v>
                </c:pt>
                <c:pt idx="827">
                  <c:v>-3778</c:v>
                </c:pt>
                <c:pt idx="828">
                  <c:v>-3726</c:v>
                </c:pt>
                <c:pt idx="829">
                  <c:v>-3747</c:v>
                </c:pt>
                <c:pt idx="830">
                  <c:v>-3744</c:v>
                </c:pt>
                <c:pt idx="831">
                  <c:v>-3763</c:v>
                </c:pt>
                <c:pt idx="832">
                  <c:v>-3723</c:v>
                </c:pt>
                <c:pt idx="833">
                  <c:v>-3698</c:v>
                </c:pt>
                <c:pt idx="834">
                  <c:v>-3683</c:v>
                </c:pt>
                <c:pt idx="835">
                  <c:v>-3676</c:v>
                </c:pt>
                <c:pt idx="836">
                  <c:v>-3669</c:v>
                </c:pt>
                <c:pt idx="837">
                  <c:v>-3670</c:v>
                </c:pt>
                <c:pt idx="838">
                  <c:v>-3634</c:v>
                </c:pt>
                <c:pt idx="839">
                  <c:v>-3647</c:v>
                </c:pt>
                <c:pt idx="840">
                  <c:v>-3674</c:v>
                </c:pt>
                <c:pt idx="841">
                  <c:v>-3624</c:v>
                </c:pt>
                <c:pt idx="842">
                  <c:v>-3632</c:v>
                </c:pt>
                <c:pt idx="843">
                  <c:v>-3687</c:v>
                </c:pt>
                <c:pt idx="844">
                  <c:v>-3624</c:v>
                </c:pt>
                <c:pt idx="845">
                  <c:v>-3597</c:v>
                </c:pt>
                <c:pt idx="846">
                  <c:v>-3612</c:v>
                </c:pt>
                <c:pt idx="847">
                  <c:v>-3592</c:v>
                </c:pt>
                <c:pt idx="848">
                  <c:v>-3620</c:v>
                </c:pt>
                <c:pt idx="849">
                  <c:v>-3616</c:v>
                </c:pt>
                <c:pt idx="850">
                  <c:v>-3624</c:v>
                </c:pt>
                <c:pt idx="851">
                  <c:v>-3608</c:v>
                </c:pt>
                <c:pt idx="852">
                  <c:v>-3587</c:v>
                </c:pt>
                <c:pt idx="853">
                  <c:v>-3580</c:v>
                </c:pt>
                <c:pt idx="854">
                  <c:v>-3581</c:v>
                </c:pt>
                <c:pt idx="855">
                  <c:v>-3560</c:v>
                </c:pt>
                <c:pt idx="856">
                  <c:v>-3544</c:v>
                </c:pt>
                <c:pt idx="857">
                  <c:v>-3589</c:v>
                </c:pt>
                <c:pt idx="858">
                  <c:v>-3567</c:v>
                </c:pt>
                <c:pt idx="859">
                  <c:v>-3605</c:v>
                </c:pt>
                <c:pt idx="860">
                  <c:v>-3590</c:v>
                </c:pt>
                <c:pt idx="861">
                  <c:v>-3581</c:v>
                </c:pt>
                <c:pt idx="862">
                  <c:v>-3547</c:v>
                </c:pt>
                <c:pt idx="863">
                  <c:v>-3540</c:v>
                </c:pt>
                <c:pt idx="864">
                  <c:v>-3501</c:v>
                </c:pt>
                <c:pt idx="865">
                  <c:v>-3504</c:v>
                </c:pt>
                <c:pt idx="866">
                  <c:v>-3504</c:v>
                </c:pt>
                <c:pt idx="867">
                  <c:v>-3526</c:v>
                </c:pt>
                <c:pt idx="868">
                  <c:v>-3550</c:v>
                </c:pt>
                <c:pt idx="869">
                  <c:v>-3571</c:v>
                </c:pt>
                <c:pt idx="870">
                  <c:v>-3602</c:v>
                </c:pt>
                <c:pt idx="871">
                  <c:v>-3611</c:v>
                </c:pt>
                <c:pt idx="872">
                  <c:v>-3623</c:v>
                </c:pt>
                <c:pt idx="873">
                  <c:v>-3651</c:v>
                </c:pt>
                <c:pt idx="874">
                  <c:v>-3717</c:v>
                </c:pt>
                <c:pt idx="875">
                  <c:v>-3678</c:v>
                </c:pt>
                <c:pt idx="876">
                  <c:v>-3672</c:v>
                </c:pt>
                <c:pt idx="877">
                  <c:v>-3708</c:v>
                </c:pt>
                <c:pt idx="878">
                  <c:v>-3739</c:v>
                </c:pt>
                <c:pt idx="879">
                  <c:v>-3792</c:v>
                </c:pt>
                <c:pt idx="880">
                  <c:v>-3750</c:v>
                </c:pt>
                <c:pt idx="881">
                  <c:v>-3725</c:v>
                </c:pt>
                <c:pt idx="882">
                  <c:v>-3761</c:v>
                </c:pt>
                <c:pt idx="883">
                  <c:v>-3796</c:v>
                </c:pt>
                <c:pt idx="884">
                  <c:v>-3835</c:v>
                </c:pt>
                <c:pt idx="885">
                  <c:v>-3805</c:v>
                </c:pt>
                <c:pt idx="886">
                  <c:v>-3824</c:v>
                </c:pt>
                <c:pt idx="887">
                  <c:v>-3827</c:v>
                </c:pt>
                <c:pt idx="888">
                  <c:v>-3839</c:v>
                </c:pt>
                <c:pt idx="889">
                  <c:v>-3861</c:v>
                </c:pt>
                <c:pt idx="890">
                  <c:v>-3851</c:v>
                </c:pt>
                <c:pt idx="891">
                  <c:v>-3980</c:v>
                </c:pt>
                <c:pt idx="892">
                  <c:v>-3954</c:v>
                </c:pt>
                <c:pt idx="893">
                  <c:v>-3981</c:v>
                </c:pt>
                <c:pt idx="894">
                  <c:v>-3961</c:v>
                </c:pt>
                <c:pt idx="895">
                  <c:v>-3951</c:v>
                </c:pt>
                <c:pt idx="896">
                  <c:v>-3933</c:v>
                </c:pt>
                <c:pt idx="897">
                  <c:v>-3891</c:v>
                </c:pt>
                <c:pt idx="898">
                  <c:v>-3875</c:v>
                </c:pt>
                <c:pt idx="899">
                  <c:v>-3935</c:v>
                </c:pt>
                <c:pt idx="900">
                  <c:v>-4004</c:v>
                </c:pt>
                <c:pt idx="901">
                  <c:v>-4020</c:v>
                </c:pt>
                <c:pt idx="902">
                  <c:v>-4020</c:v>
                </c:pt>
                <c:pt idx="903">
                  <c:v>-4068</c:v>
                </c:pt>
                <c:pt idx="904">
                  <c:v>-4042</c:v>
                </c:pt>
                <c:pt idx="905">
                  <c:v>-4069</c:v>
                </c:pt>
                <c:pt idx="906">
                  <c:v>-4009</c:v>
                </c:pt>
                <c:pt idx="907">
                  <c:v>-3897</c:v>
                </c:pt>
                <c:pt idx="908">
                  <c:v>-3948</c:v>
                </c:pt>
                <c:pt idx="909">
                  <c:v>-3831</c:v>
                </c:pt>
                <c:pt idx="910">
                  <c:v>-3878</c:v>
                </c:pt>
                <c:pt idx="911">
                  <c:v>-3926</c:v>
                </c:pt>
                <c:pt idx="912">
                  <c:v>-3925</c:v>
                </c:pt>
                <c:pt idx="913">
                  <c:v>-3868</c:v>
                </c:pt>
                <c:pt idx="914">
                  <c:v>-3827</c:v>
                </c:pt>
                <c:pt idx="915">
                  <c:v>-3828</c:v>
                </c:pt>
                <c:pt idx="916">
                  <c:v>-3849</c:v>
                </c:pt>
                <c:pt idx="917">
                  <c:v>-3926</c:v>
                </c:pt>
                <c:pt idx="918">
                  <c:v>-3850</c:v>
                </c:pt>
                <c:pt idx="919">
                  <c:v>-3849</c:v>
                </c:pt>
                <c:pt idx="920">
                  <c:v>-3845</c:v>
                </c:pt>
                <c:pt idx="921">
                  <c:v>-3853</c:v>
                </c:pt>
                <c:pt idx="922">
                  <c:v>-3852</c:v>
                </c:pt>
                <c:pt idx="923">
                  <c:v>-3847</c:v>
                </c:pt>
                <c:pt idx="924">
                  <c:v>-3877</c:v>
                </c:pt>
                <c:pt idx="925">
                  <c:v>-3937</c:v>
                </c:pt>
                <c:pt idx="926">
                  <c:v>-3915</c:v>
                </c:pt>
                <c:pt idx="927">
                  <c:v>-3877</c:v>
                </c:pt>
                <c:pt idx="928">
                  <c:v>-3956</c:v>
                </c:pt>
                <c:pt idx="929">
                  <c:v>-3980</c:v>
                </c:pt>
                <c:pt idx="930">
                  <c:v>-3937</c:v>
                </c:pt>
                <c:pt idx="931">
                  <c:v>-3909</c:v>
                </c:pt>
                <c:pt idx="932">
                  <c:v>-3901</c:v>
                </c:pt>
                <c:pt idx="933">
                  <c:v>-3947</c:v>
                </c:pt>
                <c:pt idx="934">
                  <c:v>-3909</c:v>
                </c:pt>
                <c:pt idx="935">
                  <c:v>-3953</c:v>
                </c:pt>
                <c:pt idx="936">
                  <c:v>-3951</c:v>
                </c:pt>
                <c:pt idx="937">
                  <c:v>-3971</c:v>
                </c:pt>
                <c:pt idx="938">
                  <c:v>-4019</c:v>
                </c:pt>
                <c:pt idx="939">
                  <c:v>-3957</c:v>
                </c:pt>
                <c:pt idx="940">
                  <c:v>-4000</c:v>
                </c:pt>
                <c:pt idx="941">
                  <c:v>-4036</c:v>
                </c:pt>
                <c:pt idx="942">
                  <c:v>-4043</c:v>
                </c:pt>
                <c:pt idx="943">
                  <c:v>-4110</c:v>
                </c:pt>
                <c:pt idx="944">
                  <c:v>-4161</c:v>
                </c:pt>
                <c:pt idx="945">
                  <c:v>-4239</c:v>
                </c:pt>
                <c:pt idx="946">
                  <c:v>-4218</c:v>
                </c:pt>
                <c:pt idx="947">
                  <c:v>-4130</c:v>
                </c:pt>
                <c:pt idx="948">
                  <c:v>-4161</c:v>
                </c:pt>
                <c:pt idx="949">
                  <c:v>-4205</c:v>
                </c:pt>
                <c:pt idx="950">
                  <c:v>-4325</c:v>
                </c:pt>
                <c:pt idx="951">
                  <c:v>-4275</c:v>
                </c:pt>
                <c:pt idx="952">
                  <c:v>-5630</c:v>
                </c:pt>
                <c:pt idx="953">
                  <c:v>-5673</c:v>
                </c:pt>
                <c:pt idx="954">
                  <c:v>-4260</c:v>
                </c:pt>
                <c:pt idx="955">
                  <c:v>-4170</c:v>
                </c:pt>
                <c:pt idx="956">
                  <c:v>-4279</c:v>
                </c:pt>
                <c:pt idx="957">
                  <c:v>-4243</c:v>
                </c:pt>
                <c:pt idx="958">
                  <c:v>-4185</c:v>
                </c:pt>
                <c:pt idx="959">
                  <c:v>-4139</c:v>
                </c:pt>
                <c:pt idx="960">
                  <c:v>-4165</c:v>
                </c:pt>
                <c:pt idx="961">
                  <c:v>-4170</c:v>
                </c:pt>
                <c:pt idx="962">
                  <c:v>-4117</c:v>
                </c:pt>
                <c:pt idx="963">
                  <c:v>-4085</c:v>
                </c:pt>
                <c:pt idx="964">
                  <c:v>-4172</c:v>
                </c:pt>
                <c:pt idx="965">
                  <c:v>-4141</c:v>
                </c:pt>
                <c:pt idx="966">
                  <c:v>-4251</c:v>
                </c:pt>
                <c:pt idx="967">
                  <c:v>-4104</c:v>
                </c:pt>
                <c:pt idx="968">
                  <c:v>-4468</c:v>
                </c:pt>
                <c:pt idx="969">
                  <c:v>-4690</c:v>
                </c:pt>
                <c:pt idx="970">
                  <c:v>-4565</c:v>
                </c:pt>
                <c:pt idx="971">
                  <c:v>-4572</c:v>
                </c:pt>
                <c:pt idx="972">
                  <c:v>-4593</c:v>
                </c:pt>
                <c:pt idx="973">
                  <c:v>-4525</c:v>
                </c:pt>
                <c:pt idx="974">
                  <c:v>-4632</c:v>
                </c:pt>
                <c:pt idx="975">
                  <c:v>-4627</c:v>
                </c:pt>
                <c:pt idx="976">
                  <c:v>-4546</c:v>
                </c:pt>
                <c:pt idx="977">
                  <c:v>-4595</c:v>
                </c:pt>
                <c:pt idx="978">
                  <c:v>-4511</c:v>
                </c:pt>
                <c:pt idx="979">
                  <c:v>-4567</c:v>
                </c:pt>
                <c:pt idx="980">
                  <c:v>-4642</c:v>
                </c:pt>
                <c:pt idx="981">
                  <c:v>-4635</c:v>
                </c:pt>
                <c:pt idx="982">
                  <c:v>-4720</c:v>
                </c:pt>
                <c:pt idx="983">
                  <c:v>-4931</c:v>
                </c:pt>
                <c:pt idx="984">
                  <c:v>-4893</c:v>
                </c:pt>
                <c:pt idx="985">
                  <c:v>-4910</c:v>
                </c:pt>
                <c:pt idx="986">
                  <c:v>-4883</c:v>
                </c:pt>
                <c:pt idx="987">
                  <c:v>-4826</c:v>
                </c:pt>
                <c:pt idx="988">
                  <c:v>-4823</c:v>
                </c:pt>
                <c:pt idx="989">
                  <c:v>-4827</c:v>
                </c:pt>
                <c:pt idx="990">
                  <c:v>-4795</c:v>
                </c:pt>
                <c:pt idx="991">
                  <c:v>-4747</c:v>
                </c:pt>
                <c:pt idx="992">
                  <c:v>-4711</c:v>
                </c:pt>
                <c:pt idx="993">
                  <c:v>-4830</c:v>
                </c:pt>
                <c:pt idx="994">
                  <c:v>-4886</c:v>
                </c:pt>
                <c:pt idx="995">
                  <c:v>-4866</c:v>
                </c:pt>
                <c:pt idx="996">
                  <c:v>-4887</c:v>
                </c:pt>
                <c:pt idx="997">
                  <c:v>-4870</c:v>
                </c:pt>
                <c:pt idx="998">
                  <c:v>-4745</c:v>
                </c:pt>
                <c:pt idx="999">
                  <c:v>-4732</c:v>
                </c:pt>
                <c:pt idx="1000">
                  <c:v>-4778</c:v>
                </c:pt>
                <c:pt idx="1001">
                  <c:v>-4806</c:v>
                </c:pt>
                <c:pt idx="1002">
                  <c:v>-4807</c:v>
                </c:pt>
                <c:pt idx="1003">
                  <c:v>-6477</c:v>
                </c:pt>
                <c:pt idx="1004">
                  <c:v>-6550</c:v>
                </c:pt>
                <c:pt idx="1005">
                  <c:v>-6519</c:v>
                </c:pt>
                <c:pt idx="1006">
                  <c:v>-4799</c:v>
                </c:pt>
                <c:pt idx="1007">
                  <c:v>-4820</c:v>
                </c:pt>
                <c:pt idx="1008">
                  <c:v>-4801</c:v>
                </c:pt>
                <c:pt idx="1009">
                  <c:v>-4792</c:v>
                </c:pt>
                <c:pt idx="1010">
                  <c:v>-4684</c:v>
                </c:pt>
                <c:pt idx="1011">
                  <c:v>-4662</c:v>
                </c:pt>
                <c:pt idx="1012">
                  <c:v>-4647</c:v>
                </c:pt>
                <c:pt idx="1013">
                  <c:v>-4629</c:v>
                </c:pt>
                <c:pt idx="1014">
                  <c:v>-4632</c:v>
                </c:pt>
                <c:pt idx="1015">
                  <c:v>-4628</c:v>
                </c:pt>
                <c:pt idx="1016">
                  <c:v>-4649</c:v>
                </c:pt>
                <c:pt idx="1017">
                  <c:v>-4627</c:v>
                </c:pt>
                <c:pt idx="1018">
                  <c:v>-4692</c:v>
                </c:pt>
                <c:pt idx="1019">
                  <c:v>-4732</c:v>
                </c:pt>
                <c:pt idx="1020">
                  <c:v>-4636</c:v>
                </c:pt>
                <c:pt idx="1021">
                  <c:v>-4633</c:v>
                </c:pt>
                <c:pt idx="1022">
                  <c:v>-4651</c:v>
                </c:pt>
                <c:pt idx="1023">
                  <c:v>-4597</c:v>
                </c:pt>
                <c:pt idx="1024">
                  <c:v>-4590</c:v>
                </c:pt>
                <c:pt idx="1025">
                  <c:v>-4535</c:v>
                </c:pt>
                <c:pt idx="1026">
                  <c:v>-4618</c:v>
                </c:pt>
                <c:pt idx="1027">
                  <c:v>-4660</c:v>
                </c:pt>
                <c:pt idx="1028">
                  <c:v>-4690</c:v>
                </c:pt>
                <c:pt idx="1029">
                  <c:v>-4645</c:v>
                </c:pt>
                <c:pt idx="1030">
                  <c:v>-4596</c:v>
                </c:pt>
                <c:pt idx="1031">
                  <c:v>-4533</c:v>
                </c:pt>
                <c:pt idx="1032">
                  <c:v>-4418</c:v>
                </c:pt>
                <c:pt idx="1033">
                  <c:v>-4476</c:v>
                </c:pt>
                <c:pt idx="1034">
                  <c:v>-4510</c:v>
                </c:pt>
                <c:pt idx="1035">
                  <c:v>-4541</c:v>
                </c:pt>
                <c:pt idx="1036">
                  <c:v>-4545</c:v>
                </c:pt>
                <c:pt idx="1037">
                  <c:v>-4514</c:v>
                </c:pt>
                <c:pt idx="1038">
                  <c:v>-4514</c:v>
                </c:pt>
                <c:pt idx="1039">
                  <c:v>-4566</c:v>
                </c:pt>
                <c:pt idx="1040">
                  <c:v>-4542</c:v>
                </c:pt>
                <c:pt idx="1041">
                  <c:v>-4499</c:v>
                </c:pt>
                <c:pt idx="1042">
                  <c:v>-4456</c:v>
                </c:pt>
                <c:pt idx="1043">
                  <c:v>-4462</c:v>
                </c:pt>
                <c:pt idx="1044">
                  <c:v>-4468</c:v>
                </c:pt>
                <c:pt idx="1045">
                  <c:v>-4451</c:v>
                </c:pt>
                <c:pt idx="1046">
                  <c:v>-4450</c:v>
                </c:pt>
                <c:pt idx="1047">
                  <c:v>-4415</c:v>
                </c:pt>
                <c:pt idx="1048">
                  <c:v>-4407</c:v>
                </c:pt>
                <c:pt idx="1049">
                  <c:v>-4309</c:v>
                </c:pt>
                <c:pt idx="1050">
                  <c:v>-4190</c:v>
                </c:pt>
                <c:pt idx="1051">
                  <c:v>-4191</c:v>
                </c:pt>
                <c:pt idx="1052">
                  <c:v>-4291</c:v>
                </c:pt>
                <c:pt idx="1053">
                  <c:v>-4266</c:v>
                </c:pt>
                <c:pt idx="1054">
                  <c:v>-4263</c:v>
                </c:pt>
                <c:pt idx="1055">
                  <c:v>-5765</c:v>
                </c:pt>
                <c:pt idx="1056">
                  <c:v>-5720</c:v>
                </c:pt>
                <c:pt idx="1057">
                  <c:v>-5702</c:v>
                </c:pt>
                <c:pt idx="1058">
                  <c:v>-4222</c:v>
                </c:pt>
                <c:pt idx="1059">
                  <c:v>-4220</c:v>
                </c:pt>
                <c:pt idx="1060">
                  <c:v>-4223</c:v>
                </c:pt>
                <c:pt idx="1061">
                  <c:v>-4186</c:v>
                </c:pt>
                <c:pt idx="1062">
                  <c:v>-4175</c:v>
                </c:pt>
                <c:pt idx="1063">
                  <c:v>-4255</c:v>
                </c:pt>
                <c:pt idx="1064">
                  <c:v>-4359</c:v>
                </c:pt>
                <c:pt idx="1065">
                  <c:v>-4373</c:v>
                </c:pt>
                <c:pt idx="1066">
                  <c:v>-4394</c:v>
                </c:pt>
                <c:pt idx="1067">
                  <c:v>-4444</c:v>
                </c:pt>
                <c:pt idx="1068">
                  <c:v>-4478</c:v>
                </c:pt>
                <c:pt idx="1069">
                  <c:v>-4419</c:v>
                </c:pt>
                <c:pt idx="1070">
                  <c:v>-4439</c:v>
                </c:pt>
                <c:pt idx="1071">
                  <c:v>-4504</c:v>
                </c:pt>
                <c:pt idx="1072">
                  <c:v>-4519</c:v>
                </c:pt>
                <c:pt idx="1073">
                  <c:v>-4497</c:v>
                </c:pt>
                <c:pt idx="1074">
                  <c:v>-4480</c:v>
                </c:pt>
                <c:pt idx="1075">
                  <c:v>-4551</c:v>
                </c:pt>
                <c:pt idx="1076">
                  <c:v>-4515</c:v>
                </c:pt>
                <c:pt idx="1077">
                  <c:v>-4523</c:v>
                </c:pt>
                <c:pt idx="1078">
                  <c:v>-4610</c:v>
                </c:pt>
                <c:pt idx="1079">
                  <c:v>-4694</c:v>
                </c:pt>
                <c:pt idx="1080">
                  <c:v>-4606</c:v>
                </c:pt>
                <c:pt idx="1081">
                  <c:v>-4571</c:v>
                </c:pt>
                <c:pt idx="1082">
                  <c:v>-4588</c:v>
                </c:pt>
                <c:pt idx="1083">
                  <c:v>-4560</c:v>
                </c:pt>
                <c:pt idx="1084">
                  <c:v>-4512</c:v>
                </c:pt>
                <c:pt idx="1085">
                  <c:v>-4500</c:v>
                </c:pt>
                <c:pt idx="1086">
                  <c:v>-4562</c:v>
                </c:pt>
                <c:pt idx="1087">
                  <c:v>-4493</c:v>
                </c:pt>
                <c:pt idx="1088">
                  <c:v>-4518</c:v>
                </c:pt>
                <c:pt idx="1089">
                  <c:v>-4598</c:v>
                </c:pt>
                <c:pt idx="1090">
                  <c:v>-4644</c:v>
                </c:pt>
                <c:pt idx="1091">
                  <c:v>-4514</c:v>
                </c:pt>
                <c:pt idx="1092">
                  <c:v>-4566</c:v>
                </c:pt>
                <c:pt idx="1093">
                  <c:v>-4651</c:v>
                </c:pt>
                <c:pt idx="1094">
                  <c:v>-4663</c:v>
                </c:pt>
                <c:pt idx="1095">
                  <c:v>-4666</c:v>
                </c:pt>
                <c:pt idx="1096">
                  <c:v>-4699</c:v>
                </c:pt>
                <c:pt idx="1097">
                  <c:v>-4714</c:v>
                </c:pt>
                <c:pt idx="1098">
                  <c:v>-4714</c:v>
                </c:pt>
                <c:pt idx="1099">
                  <c:v>-4739</c:v>
                </c:pt>
                <c:pt idx="1100">
                  <c:v>-4684</c:v>
                </c:pt>
                <c:pt idx="1101">
                  <c:v>-4642</c:v>
                </c:pt>
                <c:pt idx="1102">
                  <c:v>-4570</c:v>
                </c:pt>
                <c:pt idx="1103">
                  <c:v>-4567</c:v>
                </c:pt>
                <c:pt idx="1104">
                  <c:v>-4610</c:v>
                </c:pt>
                <c:pt idx="1105">
                  <c:v>-6224</c:v>
                </c:pt>
                <c:pt idx="1106">
                  <c:v>-6145</c:v>
                </c:pt>
                <c:pt idx="1107">
                  <c:v>-6021</c:v>
                </c:pt>
                <c:pt idx="1108">
                  <c:v>-6076</c:v>
                </c:pt>
                <c:pt idx="1109">
                  <c:v>-6050</c:v>
                </c:pt>
                <c:pt idx="1110">
                  <c:v>-4545</c:v>
                </c:pt>
                <c:pt idx="1111">
                  <c:v>-4548</c:v>
                </c:pt>
                <c:pt idx="1112">
                  <c:v>-4568</c:v>
                </c:pt>
                <c:pt idx="1113">
                  <c:v>-4596</c:v>
                </c:pt>
                <c:pt idx="1114">
                  <c:v>-4606</c:v>
                </c:pt>
                <c:pt idx="1115">
                  <c:v>-4647</c:v>
                </c:pt>
                <c:pt idx="1116">
                  <c:v>-4609</c:v>
                </c:pt>
                <c:pt idx="1117">
                  <c:v>-4639</c:v>
                </c:pt>
                <c:pt idx="1118">
                  <c:v>-4698</c:v>
                </c:pt>
                <c:pt idx="1119">
                  <c:v>-4774</c:v>
                </c:pt>
                <c:pt idx="1120">
                  <c:v>-4795</c:v>
                </c:pt>
                <c:pt idx="1121">
                  <c:v>-4779</c:v>
                </c:pt>
                <c:pt idx="1122">
                  <c:v>-4781</c:v>
                </c:pt>
                <c:pt idx="1123">
                  <c:v>-4816</c:v>
                </c:pt>
                <c:pt idx="1124">
                  <c:v>-4808</c:v>
                </c:pt>
                <c:pt idx="1125">
                  <c:v>-4850</c:v>
                </c:pt>
                <c:pt idx="1126">
                  <c:v>-4877</c:v>
                </c:pt>
                <c:pt idx="1127">
                  <c:v>-4904</c:v>
                </c:pt>
                <c:pt idx="1128">
                  <c:v>-4881</c:v>
                </c:pt>
                <c:pt idx="1129">
                  <c:v>-4986</c:v>
                </c:pt>
                <c:pt idx="1130">
                  <c:v>-5045</c:v>
                </c:pt>
                <c:pt idx="1131">
                  <c:v>-5083</c:v>
                </c:pt>
                <c:pt idx="1132">
                  <c:v>-5057</c:v>
                </c:pt>
                <c:pt idx="1133">
                  <c:v>-5004</c:v>
                </c:pt>
                <c:pt idx="1134">
                  <c:v>-5020</c:v>
                </c:pt>
                <c:pt idx="1135">
                  <c:v>-4917</c:v>
                </c:pt>
                <c:pt idx="1136">
                  <c:v>-4855</c:v>
                </c:pt>
                <c:pt idx="1137">
                  <c:v>-4901</c:v>
                </c:pt>
                <c:pt idx="1138">
                  <c:v>-4942</c:v>
                </c:pt>
                <c:pt idx="1139">
                  <c:v>-4982</c:v>
                </c:pt>
                <c:pt idx="1140">
                  <c:v>-4747</c:v>
                </c:pt>
                <c:pt idx="1141">
                  <c:v>-4718</c:v>
                </c:pt>
                <c:pt idx="1142">
                  <c:v>-4721</c:v>
                </c:pt>
                <c:pt idx="1143">
                  <c:v>-4723</c:v>
                </c:pt>
                <c:pt idx="1144">
                  <c:v>-4734</c:v>
                </c:pt>
                <c:pt idx="1145">
                  <c:v>-4714</c:v>
                </c:pt>
                <c:pt idx="1146">
                  <c:v>-4728</c:v>
                </c:pt>
                <c:pt idx="1147">
                  <c:v>-4646</c:v>
                </c:pt>
                <c:pt idx="1148">
                  <c:v>-4620</c:v>
                </c:pt>
                <c:pt idx="1149">
                  <c:v>-4656</c:v>
                </c:pt>
                <c:pt idx="1150">
                  <c:v>-4709</c:v>
                </c:pt>
                <c:pt idx="1151">
                  <c:v>-4622</c:v>
                </c:pt>
                <c:pt idx="1152">
                  <c:v>-4658</c:v>
                </c:pt>
                <c:pt idx="1153">
                  <c:v>-4687</c:v>
                </c:pt>
                <c:pt idx="1154">
                  <c:v>-4648</c:v>
                </c:pt>
                <c:pt idx="1155">
                  <c:v>-4701</c:v>
                </c:pt>
                <c:pt idx="1156">
                  <c:v>-4705</c:v>
                </c:pt>
                <c:pt idx="1157">
                  <c:v>-4715</c:v>
                </c:pt>
                <c:pt idx="1158">
                  <c:v>-4727</c:v>
                </c:pt>
                <c:pt idx="1159">
                  <c:v>-4730</c:v>
                </c:pt>
                <c:pt idx="1160">
                  <c:v>-4796</c:v>
                </c:pt>
                <c:pt idx="1161">
                  <c:v>-3195</c:v>
                </c:pt>
                <c:pt idx="1162">
                  <c:v>-3500</c:v>
                </c:pt>
                <c:pt idx="1163">
                  <c:v>-3492</c:v>
                </c:pt>
                <c:pt idx="1164">
                  <c:v>-3324</c:v>
                </c:pt>
                <c:pt idx="1165">
                  <c:v>-3318</c:v>
                </c:pt>
                <c:pt idx="1166">
                  <c:v>-3293</c:v>
                </c:pt>
                <c:pt idx="1167">
                  <c:v>-3346</c:v>
                </c:pt>
                <c:pt idx="1168">
                  <c:v>-4932</c:v>
                </c:pt>
                <c:pt idx="1169">
                  <c:v>-4961</c:v>
                </c:pt>
                <c:pt idx="1170">
                  <c:v>-5024</c:v>
                </c:pt>
                <c:pt idx="1171">
                  <c:v>-5004</c:v>
                </c:pt>
                <c:pt idx="1172">
                  <c:v>-5028</c:v>
                </c:pt>
                <c:pt idx="1173">
                  <c:v>-4873</c:v>
                </c:pt>
                <c:pt idx="1174">
                  <c:v>-4814</c:v>
                </c:pt>
                <c:pt idx="1175">
                  <c:v>-4897</c:v>
                </c:pt>
                <c:pt idx="1176">
                  <c:v>-4934</c:v>
                </c:pt>
                <c:pt idx="1177">
                  <c:v>-4934</c:v>
                </c:pt>
                <c:pt idx="1178">
                  <c:v>-4881</c:v>
                </c:pt>
                <c:pt idx="1179">
                  <c:v>-4879</c:v>
                </c:pt>
                <c:pt idx="1180">
                  <c:v>-4831</c:v>
                </c:pt>
                <c:pt idx="1181">
                  <c:v>-4745</c:v>
                </c:pt>
                <c:pt idx="1182">
                  <c:v>-4684</c:v>
                </c:pt>
                <c:pt idx="1183">
                  <c:v>-4710</c:v>
                </c:pt>
                <c:pt idx="1184">
                  <c:v>-4667</c:v>
                </c:pt>
                <c:pt idx="1185">
                  <c:v>-4647</c:v>
                </c:pt>
                <c:pt idx="1186">
                  <c:v>-4612</c:v>
                </c:pt>
                <c:pt idx="1187">
                  <c:v>-4698</c:v>
                </c:pt>
                <c:pt idx="1188">
                  <c:v>-4695</c:v>
                </c:pt>
                <c:pt idx="1189">
                  <c:v>-4784</c:v>
                </c:pt>
                <c:pt idx="1190">
                  <c:v>-4723</c:v>
                </c:pt>
                <c:pt idx="1191">
                  <c:v>-4733</c:v>
                </c:pt>
                <c:pt idx="1192">
                  <c:v>-4682</c:v>
                </c:pt>
                <c:pt idx="1193">
                  <c:v>-4640</c:v>
                </c:pt>
                <c:pt idx="1194">
                  <c:v>-4695</c:v>
                </c:pt>
                <c:pt idx="1195">
                  <c:v>-4702</c:v>
                </c:pt>
                <c:pt idx="1196">
                  <c:v>-4621</c:v>
                </c:pt>
                <c:pt idx="1197">
                  <c:v>-4590</c:v>
                </c:pt>
                <c:pt idx="1198">
                  <c:v>-4562</c:v>
                </c:pt>
                <c:pt idx="1199">
                  <c:v>-4580</c:v>
                </c:pt>
                <c:pt idx="1200">
                  <c:v>-4556</c:v>
                </c:pt>
                <c:pt idx="1201">
                  <c:v>-4526</c:v>
                </c:pt>
                <c:pt idx="1202">
                  <c:v>-4516</c:v>
                </c:pt>
                <c:pt idx="1203">
                  <c:v>-4489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E8E-9645-926E-3830DABCE972}"/>
            </c:ext>
          </c:extLst>
        </c:ser>
        <c:ser>
          <c:idx val="22"/>
          <c:order val="22"/>
          <c:tx>
            <c:strRef>
              <c:f>balance_sheet!$AB$5</c:f>
              <c:strCache>
                <c:ptCount val="1"/>
                <c:pt idx="0">
                  <c:v>Cash ratio deposits from monetary financial institutions 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balance_sheet!$AB$6:$AB$1209</c:f>
              <c:numCache>
                <c:formatCode>General</c:formatCode>
                <c:ptCount val="1204"/>
                <c:pt idx="440">
                  <c:v>-2223</c:v>
                </c:pt>
                <c:pt idx="441">
                  <c:v>-2223</c:v>
                </c:pt>
                <c:pt idx="442">
                  <c:v>-2365</c:v>
                </c:pt>
                <c:pt idx="443">
                  <c:v>-2365</c:v>
                </c:pt>
                <c:pt idx="444">
                  <c:v>-2365</c:v>
                </c:pt>
                <c:pt idx="445">
                  <c:v>-2365</c:v>
                </c:pt>
                <c:pt idx="446">
                  <c:v>-2365</c:v>
                </c:pt>
                <c:pt idx="447">
                  <c:v>-2365</c:v>
                </c:pt>
                <c:pt idx="448">
                  <c:v>-2365</c:v>
                </c:pt>
                <c:pt idx="449">
                  <c:v>-2365</c:v>
                </c:pt>
                <c:pt idx="450">
                  <c:v>-2365</c:v>
                </c:pt>
                <c:pt idx="451">
                  <c:v>-2365</c:v>
                </c:pt>
                <c:pt idx="452">
                  <c:v>-2365</c:v>
                </c:pt>
                <c:pt idx="453">
                  <c:v>-2365</c:v>
                </c:pt>
                <c:pt idx="454">
                  <c:v>-2365</c:v>
                </c:pt>
                <c:pt idx="455">
                  <c:v>-2365</c:v>
                </c:pt>
                <c:pt idx="456">
                  <c:v>-2365</c:v>
                </c:pt>
                <c:pt idx="457">
                  <c:v>-2365</c:v>
                </c:pt>
                <c:pt idx="458">
                  <c:v>-2365</c:v>
                </c:pt>
                <c:pt idx="459">
                  <c:v>-2365</c:v>
                </c:pt>
                <c:pt idx="460">
                  <c:v>-2365</c:v>
                </c:pt>
                <c:pt idx="461">
                  <c:v>-2365</c:v>
                </c:pt>
                <c:pt idx="462">
                  <c:v>-2365</c:v>
                </c:pt>
                <c:pt idx="463">
                  <c:v>-2365</c:v>
                </c:pt>
                <c:pt idx="464">
                  <c:v>-2365</c:v>
                </c:pt>
                <c:pt idx="465">
                  <c:v>-2365</c:v>
                </c:pt>
                <c:pt idx="466">
                  <c:v>-2365</c:v>
                </c:pt>
                <c:pt idx="467">
                  <c:v>-2365</c:v>
                </c:pt>
                <c:pt idx="468">
                  <c:v>-2568</c:v>
                </c:pt>
                <c:pt idx="469">
                  <c:v>-2568</c:v>
                </c:pt>
                <c:pt idx="470">
                  <c:v>-2568</c:v>
                </c:pt>
                <c:pt idx="471">
                  <c:v>-2568</c:v>
                </c:pt>
                <c:pt idx="472">
                  <c:v>-2568</c:v>
                </c:pt>
                <c:pt idx="473">
                  <c:v>-2568</c:v>
                </c:pt>
                <c:pt idx="474">
                  <c:v>-2568</c:v>
                </c:pt>
                <c:pt idx="475">
                  <c:v>-2568</c:v>
                </c:pt>
                <c:pt idx="476">
                  <c:v>-2568</c:v>
                </c:pt>
                <c:pt idx="477">
                  <c:v>-2568</c:v>
                </c:pt>
                <c:pt idx="478">
                  <c:v>-2568</c:v>
                </c:pt>
                <c:pt idx="479">
                  <c:v>-2568</c:v>
                </c:pt>
                <c:pt idx="480">
                  <c:v>-2568</c:v>
                </c:pt>
                <c:pt idx="481">
                  <c:v>-2568</c:v>
                </c:pt>
                <c:pt idx="482">
                  <c:v>-2568</c:v>
                </c:pt>
                <c:pt idx="483">
                  <c:v>-2568</c:v>
                </c:pt>
                <c:pt idx="484">
                  <c:v>-2568</c:v>
                </c:pt>
                <c:pt idx="485">
                  <c:v>-2568</c:v>
                </c:pt>
                <c:pt idx="486">
                  <c:v>-2568</c:v>
                </c:pt>
                <c:pt idx="487">
                  <c:v>-2568</c:v>
                </c:pt>
                <c:pt idx="488">
                  <c:v>-2568</c:v>
                </c:pt>
                <c:pt idx="489">
                  <c:v>-2568</c:v>
                </c:pt>
                <c:pt idx="490">
                  <c:v>-2568</c:v>
                </c:pt>
                <c:pt idx="491">
                  <c:v>-2568</c:v>
                </c:pt>
                <c:pt idx="492">
                  <c:v>-2568</c:v>
                </c:pt>
                <c:pt idx="493">
                  <c:v>-2568</c:v>
                </c:pt>
                <c:pt idx="494">
                  <c:v>-2716</c:v>
                </c:pt>
                <c:pt idx="495">
                  <c:v>-2716</c:v>
                </c:pt>
                <c:pt idx="496">
                  <c:v>-2716</c:v>
                </c:pt>
                <c:pt idx="497">
                  <c:v>-2716</c:v>
                </c:pt>
                <c:pt idx="498">
                  <c:v>-2716</c:v>
                </c:pt>
                <c:pt idx="499">
                  <c:v>-2716</c:v>
                </c:pt>
                <c:pt idx="500">
                  <c:v>-2716</c:v>
                </c:pt>
                <c:pt idx="501">
                  <c:v>-2716</c:v>
                </c:pt>
                <c:pt idx="502">
                  <c:v>-2716</c:v>
                </c:pt>
                <c:pt idx="503">
                  <c:v>-2716</c:v>
                </c:pt>
                <c:pt idx="504">
                  <c:v>-2716</c:v>
                </c:pt>
                <c:pt idx="505">
                  <c:v>-2716</c:v>
                </c:pt>
                <c:pt idx="506">
                  <c:v>-2716</c:v>
                </c:pt>
                <c:pt idx="507">
                  <c:v>-2716</c:v>
                </c:pt>
                <c:pt idx="508">
                  <c:v>-2716</c:v>
                </c:pt>
                <c:pt idx="509">
                  <c:v>-2716</c:v>
                </c:pt>
                <c:pt idx="510">
                  <c:v>-2716</c:v>
                </c:pt>
                <c:pt idx="511">
                  <c:v>-2716</c:v>
                </c:pt>
                <c:pt idx="512">
                  <c:v>-2716</c:v>
                </c:pt>
                <c:pt idx="513">
                  <c:v>-2716</c:v>
                </c:pt>
                <c:pt idx="514">
                  <c:v>-2716</c:v>
                </c:pt>
                <c:pt idx="515">
                  <c:v>-2716</c:v>
                </c:pt>
                <c:pt idx="516">
                  <c:v>-2716</c:v>
                </c:pt>
                <c:pt idx="517">
                  <c:v>-2716</c:v>
                </c:pt>
                <c:pt idx="518">
                  <c:v>-2716</c:v>
                </c:pt>
                <c:pt idx="519">
                  <c:v>-2716</c:v>
                </c:pt>
                <c:pt idx="520">
                  <c:v>-2936</c:v>
                </c:pt>
                <c:pt idx="521">
                  <c:v>-2936</c:v>
                </c:pt>
                <c:pt idx="522">
                  <c:v>-2936</c:v>
                </c:pt>
                <c:pt idx="523">
                  <c:v>-2936</c:v>
                </c:pt>
                <c:pt idx="524">
                  <c:v>-2936</c:v>
                </c:pt>
                <c:pt idx="525">
                  <c:v>-2936</c:v>
                </c:pt>
                <c:pt idx="526">
                  <c:v>-2936</c:v>
                </c:pt>
                <c:pt idx="527">
                  <c:v>-2936</c:v>
                </c:pt>
                <c:pt idx="528">
                  <c:v>-2936</c:v>
                </c:pt>
                <c:pt idx="529">
                  <c:v>-2936</c:v>
                </c:pt>
                <c:pt idx="530">
                  <c:v>-2936</c:v>
                </c:pt>
                <c:pt idx="531">
                  <c:v>-2936</c:v>
                </c:pt>
                <c:pt idx="532">
                  <c:v>-2936</c:v>
                </c:pt>
                <c:pt idx="533">
                  <c:v>-2936</c:v>
                </c:pt>
                <c:pt idx="534">
                  <c:v>-2936</c:v>
                </c:pt>
                <c:pt idx="535">
                  <c:v>-2936</c:v>
                </c:pt>
                <c:pt idx="536">
                  <c:v>-2936</c:v>
                </c:pt>
                <c:pt idx="537">
                  <c:v>-2936</c:v>
                </c:pt>
                <c:pt idx="538">
                  <c:v>-2936</c:v>
                </c:pt>
                <c:pt idx="539">
                  <c:v>-2936</c:v>
                </c:pt>
                <c:pt idx="540">
                  <c:v>-2936</c:v>
                </c:pt>
                <c:pt idx="541">
                  <c:v>-2936</c:v>
                </c:pt>
                <c:pt idx="542">
                  <c:v>-2936</c:v>
                </c:pt>
                <c:pt idx="543">
                  <c:v>-2936</c:v>
                </c:pt>
                <c:pt idx="544">
                  <c:v>-2936</c:v>
                </c:pt>
                <c:pt idx="545">
                  <c:v>-2936</c:v>
                </c:pt>
                <c:pt idx="546">
                  <c:v>-2936</c:v>
                </c:pt>
                <c:pt idx="547">
                  <c:v>-2275</c:v>
                </c:pt>
                <c:pt idx="548">
                  <c:v>-2275</c:v>
                </c:pt>
                <c:pt idx="549">
                  <c:v>-2275</c:v>
                </c:pt>
                <c:pt idx="550">
                  <c:v>-2275</c:v>
                </c:pt>
                <c:pt idx="551">
                  <c:v>-2280</c:v>
                </c:pt>
                <c:pt idx="552">
                  <c:v>-2280</c:v>
                </c:pt>
                <c:pt idx="553">
                  <c:v>-2280</c:v>
                </c:pt>
                <c:pt idx="554">
                  <c:v>-2280</c:v>
                </c:pt>
                <c:pt idx="555">
                  <c:v>-2280</c:v>
                </c:pt>
                <c:pt idx="556">
                  <c:v>-2280</c:v>
                </c:pt>
                <c:pt idx="557">
                  <c:v>-2280</c:v>
                </c:pt>
                <c:pt idx="558">
                  <c:v>-2280</c:v>
                </c:pt>
                <c:pt idx="559">
                  <c:v>-2280</c:v>
                </c:pt>
                <c:pt idx="560">
                  <c:v>-2280</c:v>
                </c:pt>
                <c:pt idx="561">
                  <c:v>-2280</c:v>
                </c:pt>
                <c:pt idx="562">
                  <c:v>-2280</c:v>
                </c:pt>
                <c:pt idx="563">
                  <c:v>-2280</c:v>
                </c:pt>
                <c:pt idx="564">
                  <c:v>-2280</c:v>
                </c:pt>
                <c:pt idx="565">
                  <c:v>-2280</c:v>
                </c:pt>
                <c:pt idx="566">
                  <c:v>-2280</c:v>
                </c:pt>
                <c:pt idx="567">
                  <c:v>-2280</c:v>
                </c:pt>
                <c:pt idx="568">
                  <c:v>-2280</c:v>
                </c:pt>
                <c:pt idx="569">
                  <c:v>-2280</c:v>
                </c:pt>
                <c:pt idx="570">
                  <c:v>-2280</c:v>
                </c:pt>
                <c:pt idx="571">
                  <c:v>-2280</c:v>
                </c:pt>
                <c:pt idx="572">
                  <c:v>-2280</c:v>
                </c:pt>
                <c:pt idx="573">
                  <c:v>-2433</c:v>
                </c:pt>
                <c:pt idx="574">
                  <c:v>-2433</c:v>
                </c:pt>
                <c:pt idx="575">
                  <c:v>-2433</c:v>
                </c:pt>
                <c:pt idx="576">
                  <c:v>-2433</c:v>
                </c:pt>
                <c:pt idx="577">
                  <c:v>-2433</c:v>
                </c:pt>
                <c:pt idx="578">
                  <c:v>-2433</c:v>
                </c:pt>
                <c:pt idx="579">
                  <c:v>-2427</c:v>
                </c:pt>
                <c:pt idx="580">
                  <c:v>-2427</c:v>
                </c:pt>
                <c:pt idx="581">
                  <c:v>-2427</c:v>
                </c:pt>
                <c:pt idx="582">
                  <c:v>-2427</c:v>
                </c:pt>
                <c:pt idx="583">
                  <c:v>-2427</c:v>
                </c:pt>
                <c:pt idx="584">
                  <c:v>-2427</c:v>
                </c:pt>
                <c:pt idx="585">
                  <c:v>-2427</c:v>
                </c:pt>
                <c:pt idx="586">
                  <c:v>-2427</c:v>
                </c:pt>
                <c:pt idx="587">
                  <c:v>-2427</c:v>
                </c:pt>
                <c:pt idx="588">
                  <c:v>-2427</c:v>
                </c:pt>
                <c:pt idx="589">
                  <c:v>-2427</c:v>
                </c:pt>
                <c:pt idx="590">
                  <c:v>-2427</c:v>
                </c:pt>
                <c:pt idx="591">
                  <c:v>-2427</c:v>
                </c:pt>
                <c:pt idx="592">
                  <c:v>-2427</c:v>
                </c:pt>
                <c:pt idx="593">
                  <c:v>-2427</c:v>
                </c:pt>
                <c:pt idx="594">
                  <c:v>-2427</c:v>
                </c:pt>
                <c:pt idx="595">
                  <c:v>-2427</c:v>
                </c:pt>
                <c:pt idx="596">
                  <c:v>-2427</c:v>
                </c:pt>
                <c:pt idx="597">
                  <c:v>-2427</c:v>
                </c:pt>
                <c:pt idx="598">
                  <c:v>-2427</c:v>
                </c:pt>
                <c:pt idx="599">
                  <c:v>-2547</c:v>
                </c:pt>
                <c:pt idx="600">
                  <c:v>-2547</c:v>
                </c:pt>
                <c:pt idx="601">
                  <c:v>-2547</c:v>
                </c:pt>
                <c:pt idx="602">
                  <c:v>-2547</c:v>
                </c:pt>
                <c:pt idx="603">
                  <c:v>-2547</c:v>
                </c:pt>
                <c:pt idx="604">
                  <c:v>-2547</c:v>
                </c:pt>
                <c:pt idx="605">
                  <c:v>-2547</c:v>
                </c:pt>
                <c:pt idx="606">
                  <c:v>-2547</c:v>
                </c:pt>
                <c:pt idx="607">
                  <c:v>-2547</c:v>
                </c:pt>
                <c:pt idx="608">
                  <c:v>-2547</c:v>
                </c:pt>
                <c:pt idx="609">
                  <c:v>-2547</c:v>
                </c:pt>
                <c:pt idx="610">
                  <c:v>-2547</c:v>
                </c:pt>
                <c:pt idx="611">
                  <c:v>-2547</c:v>
                </c:pt>
                <c:pt idx="612">
                  <c:v>-2547</c:v>
                </c:pt>
                <c:pt idx="613">
                  <c:v>-2547</c:v>
                </c:pt>
                <c:pt idx="614">
                  <c:v>-2547</c:v>
                </c:pt>
                <c:pt idx="615">
                  <c:v>-2547</c:v>
                </c:pt>
                <c:pt idx="616">
                  <c:v>-2547</c:v>
                </c:pt>
                <c:pt idx="617">
                  <c:v>-2547</c:v>
                </c:pt>
                <c:pt idx="618">
                  <c:v>-2547</c:v>
                </c:pt>
                <c:pt idx="619">
                  <c:v>-2545</c:v>
                </c:pt>
                <c:pt idx="620">
                  <c:v>-2545</c:v>
                </c:pt>
                <c:pt idx="621">
                  <c:v>-2545</c:v>
                </c:pt>
                <c:pt idx="622">
                  <c:v>-2545</c:v>
                </c:pt>
                <c:pt idx="623">
                  <c:v>-2545</c:v>
                </c:pt>
                <c:pt idx="624">
                  <c:v>-2545</c:v>
                </c:pt>
                <c:pt idx="625">
                  <c:v>-2599</c:v>
                </c:pt>
                <c:pt idx="626">
                  <c:v>-2599</c:v>
                </c:pt>
                <c:pt idx="627">
                  <c:v>-2599</c:v>
                </c:pt>
                <c:pt idx="628">
                  <c:v>-2599</c:v>
                </c:pt>
                <c:pt idx="629">
                  <c:v>-2599</c:v>
                </c:pt>
                <c:pt idx="630">
                  <c:v>-2574</c:v>
                </c:pt>
                <c:pt idx="631">
                  <c:v>-2574</c:v>
                </c:pt>
                <c:pt idx="632">
                  <c:v>-2574</c:v>
                </c:pt>
                <c:pt idx="633">
                  <c:v>-2574</c:v>
                </c:pt>
                <c:pt idx="634">
                  <c:v>-2574</c:v>
                </c:pt>
                <c:pt idx="635">
                  <c:v>-2574</c:v>
                </c:pt>
                <c:pt idx="636">
                  <c:v>-2574</c:v>
                </c:pt>
                <c:pt idx="637">
                  <c:v>-2574</c:v>
                </c:pt>
                <c:pt idx="638">
                  <c:v>-2574</c:v>
                </c:pt>
                <c:pt idx="639">
                  <c:v>-2574</c:v>
                </c:pt>
                <c:pt idx="640">
                  <c:v>-2574</c:v>
                </c:pt>
                <c:pt idx="641">
                  <c:v>-2574</c:v>
                </c:pt>
                <c:pt idx="642">
                  <c:v>-2574</c:v>
                </c:pt>
                <c:pt idx="643">
                  <c:v>-2574</c:v>
                </c:pt>
                <c:pt idx="644">
                  <c:v>-2574</c:v>
                </c:pt>
                <c:pt idx="645">
                  <c:v>-2574</c:v>
                </c:pt>
                <c:pt idx="646">
                  <c:v>-2574</c:v>
                </c:pt>
                <c:pt idx="647">
                  <c:v>-2574</c:v>
                </c:pt>
                <c:pt idx="648">
                  <c:v>-2574</c:v>
                </c:pt>
                <c:pt idx="649">
                  <c:v>-2574</c:v>
                </c:pt>
                <c:pt idx="650">
                  <c:v>-2574</c:v>
                </c:pt>
                <c:pt idx="651">
                  <c:v>-2570</c:v>
                </c:pt>
                <c:pt idx="652">
                  <c:v>-2562</c:v>
                </c:pt>
                <c:pt idx="653">
                  <c:v>-2570</c:v>
                </c:pt>
                <c:pt idx="654">
                  <c:v>-2570</c:v>
                </c:pt>
                <c:pt idx="655">
                  <c:v>-2570</c:v>
                </c:pt>
                <c:pt idx="656">
                  <c:v>-2570</c:v>
                </c:pt>
                <c:pt idx="657">
                  <c:v>-2570</c:v>
                </c:pt>
                <c:pt idx="658">
                  <c:v>-2570</c:v>
                </c:pt>
                <c:pt idx="659">
                  <c:v>-2570</c:v>
                </c:pt>
                <c:pt idx="660">
                  <c:v>-2570</c:v>
                </c:pt>
                <c:pt idx="661">
                  <c:v>-2570</c:v>
                </c:pt>
                <c:pt idx="662">
                  <c:v>-2570</c:v>
                </c:pt>
                <c:pt idx="663">
                  <c:v>-2570</c:v>
                </c:pt>
                <c:pt idx="664">
                  <c:v>-2570</c:v>
                </c:pt>
                <c:pt idx="665">
                  <c:v>-2548</c:v>
                </c:pt>
                <c:pt idx="666">
                  <c:v>-2548</c:v>
                </c:pt>
                <c:pt idx="667">
                  <c:v>-2548</c:v>
                </c:pt>
                <c:pt idx="668">
                  <c:v>-2548</c:v>
                </c:pt>
                <c:pt idx="669">
                  <c:v>-2548</c:v>
                </c:pt>
                <c:pt idx="670">
                  <c:v>-2548</c:v>
                </c:pt>
                <c:pt idx="671">
                  <c:v>-2548</c:v>
                </c:pt>
                <c:pt idx="672">
                  <c:v>-2548</c:v>
                </c:pt>
                <c:pt idx="673">
                  <c:v>-2548</c:v>
                </c:pt>
                <c:pt idx="674">
                  <c:v>-2548</c:v>
                </c:pt>
                <c:pt idx="675">
                  <c:v>-2548</c:v>
                </c:pt>
                <c:pt idx="676">
                  <c:v>-2548</c:v>
                </c:pt>
                <c:pt idx="677">
                  <c:v>-2447</c:v>
                </c:pt>
                <c:pt idx="678">
                  <c:v>-2447</c:v>
                </c:pt>
                <c:pt idx="679">
                  <c:v>-2445</c:v>
                </c:pt>
                <c:pt idx="680">
                  <c:v>-2445</c:v>
                </c:pt>
                <c:pt idx="681">
                  <c:v>-2445</c:v>
                </c:pt>
                <c:pt idx="682">
                  <c:v>-2445</c:v>
                </c:pt>
                <c:pt idx="683">
                  <c:v>-2444</c:v>
                </c:pt>
                <c:pt idx="684">
                  <c:v>-2444</c:v>
                </c:pt>
                <c:pt idx="685">
                  <c:v>-2443</c:v>
                </c:pt>
                <c:pt idx="686">
                  <c:v>-2443</c:v>
                </c:pt>
                <c:pt idx="687">
                  <c:v>-2444</c:v>
                </c:pt>
                <c:pt idx="688">
                  <c:v>-2444</c:v>
                </c:pt>
                <c:pt idx="689">
                  <c:v>-2444</c:v>
                </c:pt>
                <c:pt idx="690">
                  <c:v>-2444</c:v>
                </c:pt>
                <c:pt idx="691">
                  <c:v>-2444</c:v>
                </c:pt>
                <c:pt idx="692">
                  <c:v>-2444</c:v>
                </c:pt>
                <c:pt idx="693">
                  <c:v>-2444</c:v>
                </c:pt>
                <c:pt idx="694">
                  <c:v>-2444</c:v>
                </c:pt>
                <c:pt idx="695">
                  <c:v>-2444</c:v>
                </c:pt>
                <c:pt idx="696">
                  <c:v>-2444</c:v>
                </c:pt>
                <c:pt idx="697">
                  <c:v>-2444</c:v>
                </c:pt>
                <c:pt idx="698">
                  <c:v>-2444</c:v>
                </c:pt>
                <c:pt idx="699">
                  <c:v>-2444</c:v>
                </c:pt>
                <c:pt idx="700">
                  <c:v>-2444</c:v>
                </c:pt>
                <c:pt idx="701">
                  <c:v>-2444</c:v>
                </c:pt>
                <c:pt idx="702">
                  <c:v>-2444</c:v>
                </c:pt>
                <c:pt idx="703">
                  <c:v>-2388</c:v>
                </c:pt>
                <c:pt idx="704">
                  <c:v>-2388</c:v>
                </c:pt>
                <c:pt idx="705">
                  <c:v>-2388</c:v>
                </c:pt>
                <c:pt idx="706">
                  <c:v>-2388</c:v>
                </c:pt>
                <c:pt idx="707">
                  <c:v>-2388</c:v>
                </c:pt>
                <c:pt idx="708">
                  <c:v>-2388</c:v>
                </c:pt>
                <c:pt idx="709">
                  <c:v>-2388</c:v>
                </c:pt>
                <c:pt idx="710">
                  <c:v>-2388</c:v>
                </c:pt>
                <c:pt idx="711">
                  <c:v>-2388</c:v>
                </c:pt>
                <c:pt idx="712">
                  <c:v>-2388</c:v>
                </c:pt>
                <c:pt idx="713">
                  <c:v>-2388</c:v>
                </c:pt>
                <c:pt idx="714">
                  <c:v>-2388</c:v>
                </c:pt>
                <c:pt idx="715">
                  <c:v>-2388</c:v>
                </c:pt>
                <c:pt idx="716">
                  <c:v>-2388</c:v>
                </c:pt>
                <c:pt idx="717">
                  <c:v>-2388</c:v>
                </c:pt>
                <c:pt idx="718">
                  <c:v>-2388</c:v>
                </c:pt>
                <c:pt idx="719">
                  <c:v>-2389</c:v>
                </c:pt>
                <c:pt idx="720">
                  <c:v>-2389</c:v>
                </c:pt>
                <c:pt idx="721">
                  <c:v>-2389</c:v>
                </c:pt>
                <c:pt idx="722">
                  <c:v>-2389</c:v>
                </c:pt>
                <c:pt idx="723">
                  <c:v>-2389</c:v>
                </c:pt>
                <c:pt idx="724">
                  <c:v>-2389</c:v>
                </c:pt>
                <c:pt idx="725">
                  <c:v>-2389</c:v>
                </c:pt>
                <c:pt idx="726">
                  <c:v>-2389</c:v>
                </c:pt>
                <c:pt idx="727">
                  <c:v>-2388</c:v>
                </c:pt>
                <c:pt idx="728">
                  <c:v>-2388</c:v>
                </c:pt>
                <c:pt idx="729">
                  <c:v>-2404</c:v>
                </c:pt>
                <c:pt idx="730">
                  <c:v>-2386</c:v>
                </c:pt>
                <c:pt idx="731">
                  <c:v>-2386</c:v>
                </c:pt>
                <c:pt idx="732">
                  <c:v>-2386</c:v>
                </c:pt>
                <c:pt idx="733">
                  <c:v>-2386</c:v>
                </c:pt>
                <c:pt idx="734">
                  <c:v>-2386</c:v>
                </c:pt>
                <c:pt idx="735">
                  <c:v>-2386</c:v>
                </c:pt>
                <c:pt idx="736">
                  <c:v>-2386</c:v>
                </c:pt>
                <c:pt idx="737">
                  <c:v>-2386</c:v>
                </c:pt>
                <c:pt idx="738">
                  <c:v>-2386</c:v>
                </c:pt>
                <c:pt idx="739">
                  <c:v>-2386</c:v>
                </c:pt>
                <c:pt idx="740">
                  <c:v>-2386</c:v>
                </c:pt>
                <c:pt idx="741">
                  <c:v>-2386</c:v>
                </c:pt>
                <c:pt idx="742">
                  <c:v>-2386</c:v>
                </c:pt>
                <c:pt idx="743">
                  <c:v>-2386</c:v>
                </c:pt>
                <c:pt idx="744">
                  <c:v>-2386</c:v>
                </c:pt>
                <c:pt idx="745">
                  <c:v>-2386</c:v>
                </c:pt>
                <c:pt idx="746">
                  <c:v>-2386</c:v>
                </c:pt>
                <c:pt idx="747">
                  <c:v>-2386</c:v>
                </c:pt>
                <c:pt idx="748">
                  <c:v>-2386</c:v>
                </c:pt>
                <c:pt idx="749">
                  <c:v>-2386</c:v>
                </c:pt>
                <c:pt idx="750">
                  <c:v>-2386</c:v>
                </c:pt>
                <c:pt idx="751">
                  <c:v>-2386</c:v>
                </c:pt>
                <c:pt idx="752">
                  <c:v>-2386</c:v>
                </c:pt>
                <c:pt idx="753">
                  <c:v>-2386</c:v>
                </c:pt>
                <c:pt idx="754">
                  <c:v>-2386</c:v>
                </c:pt>
                <c:pt idx="755">
                  <c:v>-2386</c:v>
                </c:pt>
                <c:pt idx="756">
                  <c:v>-2419</c:v>
                </c:pt>
                <c:pt idx="757">
                  <c:v>-2419</c:v>
                </c:pt>
                <c:pt idx="758">
                  <c:v>-2419</c:v>
                </c:pt>
                <c:pt idx="759">
                  <c:v>-2419</c:v>
                </c:pt>
                <c:pt idx="760">
                  <c:v>-2419</c:v>
                </c:pt>
                <c:pt idx="761">
                  <c:v>-2419</c:v>
                </c:pt>
                <c:pt idx="762">
                  <c:v>-2419</c:v>
                </c:pt>
                <c:pt idx="763">
                  <c:v>-2419</c:v>
                </c:pt>
                <c:pt idx="764">
                  <c:v>-2419</c:v>
                </c:pt>
                <c:pt idx="765">
                  <c:v>-2419</c:v>
                </c:pt>
                <c:pt idx="766">
                  <c:v>-2419</c:v>
                </c:pt>
                <c:pt idx="767">
                  <c:v>-2419</c:v>
                </c:pt>
                <c:pt idx="768">
                  <c:v>-2419</c:v>
                </c:pt>
                <c:pt idx="769">
                  <c:v>-2419</c:v>
                </c:pt>
                <c:pt idx="770">
                  <c:v>-2419</c:v>
                </c:pt>
                <c:pt idx="771">
                  <c:v>-2419</c:v>
                </c:pt>
                <c:pt idx="772">
                  <c:v>-2419</c:v>
                </c:pt>
                <c:pt idx="773">
                  <c:v>-2419</c:v>
                </c:pt>
                <c:pt idx="774">
                  <c:v>-2419</c:v>
                </c:pt>
                <c:pt idx="775">
                  <c:v>-2419</c:v>
                </c:pt>
                <c:pt idx="776">
                  <c:v>-2419</c:v>
                </c:pt>
                <c:pt idx="777">
                  <c:v>-2419</c:v>
                </c:pt>
                <c:pt idx="778">
                  <c:v>-2419</c:v>
                </c:pt>
                <c:pt idx="779">
                  <c:v>-2419</c:v>
                </c:pt>
                <c:pt idx="780">
                  <c:v>-2419</c:v>
                </c:pt>
                <c:pt idx="781">
                  <c:v>-2419</c:v>
                </c:pt>
                <c:pt idx="782">
                  <c:v>-2483</c:v>
                </c:pt>
                <c:pt idx="783">
                  <c:v>-2483</c:v>
                </c:pt>
                <c:pt idx="784">
                  <c:v>-2483</c:v>
                </c:pt>
                <c:pt idx="785">
                  <c:v>-2483</c:v>
                </c:pt>
                <c:pt idx="786">
                  <c:v>-2483</c:v>
                </c:pt>
                <c:pt idx="787">
                  <c:v>-2483</c:v>
                </c:pt>
                <c:pt idx="788">
                  <c:v>-2483</c:v>
                </c:pt>
                <c:pt idx="789">
                  <c:v>-2483</c:v>
                </c:pt>
                <c:pt idx="790">
                  <c:v>-2483</c:v>
                </c:pt>
                <c:pt idx="791">
                  <c:v>-2479</c:v>
                </c:pt>
                <c:pt idx="792">
                  <c:v>-2479</c:v>
                </c:pt>
                <c:pt idx="793">
                  <c:v>-2479</c:v>
                </c:pt>
                <c:pt idx="794">
                  <c:v>-2479</c:v>
                </c:pt>
                <c:pt idx="795">
                  <c:v>-2479</c:v>
                </c:pt>
                <c:pt idx="796">
                  <c:v>-2479</c:v>
                </c:pt>
                <c:pt idx="797">
                  <c:v>-2479</c:v>
                </c:pt>
                <c:pt idx="798">
                  <c:v>-2479</c:v>
                </c:pt>
                <c:pt idx="799">
                  <c:v>-2479</c:v>
                </c:pt>
                <c:pt idx="800">
                  <c:v>-2479</c:v>
                </c:pt>
                <c:pt idx="801">
                  <c:v>-2479</c:v>
                </c:pt>
                <c:pt idx="802">
                  <c:v>-2479</c:v>
                </c:pt>
                <c:pt idx="803">
                  <c:v>-2479</c:v>
                </c:pt>
                <c:pt idx="804">
                  <c:v>-2479</c:v>
                </c:pt>
                <c:pt idx="805">
                  <c:v>-2479</c:v>
                </c:pt>
                <c:pt idx="806">
                  <c:v>-2468</c:v>
                </c:pt>
                <c:pt idx="807">
                  <c:v>-2468</c:v>
                </c:pt>
                <c:pt idx="808">
                  <c:v>-4013</c:v>
                </c:pt>
                <c:pt idx="809">
                  <c:v>-4013</c:v>
                </c:pt>
                <c:pt idx="810">
                  <c:v>-4013</c:v>
                </c:pt>
                <c:pt idx="811">
                  <c:v>-4013</c:v>
                </c:pt>
                <c:pt idx="812">
                  <c:v>-4013</c:v>
                </c:pt>
                <c:pt idx="813">
                  <c:v>-4013</c:v>
                </c:pt>
                <c:pt idx="814">
                  <c:v>-4013</c:v>
                </c:pt>
                <c:pt idx="815">
                  <c:v>-4013</c:v>
                </c:pt>
                <c:pt idx="816">
                  <c:v>-4013</c:v>
                </c:pt>
                <c:pt idx="817">
                  <c:v>-4013</c:v>
                </c:pt>
                <c:pt idx="818">
                  <c:v>-4013</c:v>
                </c:pt>
                <c:pt idx="819">
                  <c:v>-4013</c:v>
                </c:pt>
                <c:pt idx="820">
                  <c:v>-4013</c:v>
                </c:pt>
                <c:pt idx="821">
                  <c:v>-4013</c:v>
                </c:pt>
                <c:pt idx="822">
                  <c:v>-4013</c:v>
                </c:pt>
                <c:pt idx="823">
                  <c:v>-4013</c:v>
                </c:pt>
                <c:pt idx="824">
                  <c:v>-4013</c:v>
                </c:pt>
                <c:pt idx="825">
                  <c:v>-4013</c:v>
                </c:pt>
                <c:pt idx="826">
                  <c:v>-4013</c:v>
                </c:pt>
                <c:pt idx="827">
                  <c:v>-4013</c:v>
                </c:pt>
                <c:pt idx="828">
                  <c:v>-4013</c:v>
                </c:pt>
                <c:pt idx="829">
                  <c:v>-4013</c:v>
                </c:pt>
                <c:pt idx="830">
                  <c:v>-4013</c:v>
                </c:pt>
                <c:pt idx="831">
                  <c:v>-4013</c:v>
                </c:pt>
                <c:pt idx="832">
                  <c:v>-4013</c:v>
                </c:pt>
                <c:pt idx="833">
                  <c:v>-4013</c:v>
                </c:pt>
                <c:pt idx="834">
                  <c:v>-4078</c:v>
                </c:pt>
                <c:pt idx="835">
                  <c:v>-4078</c:v>
                </c:pt>
                <c:pt idx="836">
                  <c:v>-4078</c:v>
                </c:pt>
                <c:pt idx="837">
                  <c:v>-4078</c:v>
                </c:pt>
                <c:pt idx="838">
                  <c:v>-4078</c:v>
                </c:pt>
                <c:pt idx="839">
                  <c:v>-4078</c:v>
                </c:pt>
                <c:pt idx="840">
                  <c:v>-4078</c:v>
                </c:pt>
                <c:pt idx="841">
                  <c:v>-4078</c:v>
                </c:pt>
                <c:pt idx="842">
                  <c:v>-4078</c:v>
                </c:pt>
                <c:pt idx="843">
                  <c:v>-4078</c:v>
                </c:pt>
                <c:pt idx="844">
                  <c:v>-4078</c:v>
                </c:pt>
                <c:pt idx="845">
                  <c:v>-4078</c:v>
                </c:pt>
                <c:pt idx="846">
                  <c:v>-4078</c:v>
                </c:pt>
                <c:pt idx="847">
                  <c:v>-4078</c:v>
                </c:pt>
                <c:pt idx="848">
                  <c:v>-4073</c:v>
                </c:pt>
                <c:pt idx="849">
                  <c:v>-4073</c:v>
                </c:pt>
                <c:pt idx="850">
                  <c:v>-4073</c:v>
                </c:pt>
                <c:pt idx="851">
                  <c:v>-4073</c:v>
                </c:pt>
                <c:pt idx="852">
                  <c:v>-4073</c:v>
                </c:pt>
                <c:pt idx="853">
                  <c:v>-4078</c:v>
                </c:pt>
                <c:pt idx="854">
                  <c:v>-4078</c:v>
                </c:pt>
                <c:pt idx="855">
                  <c:v>-4078</c:v>
                </c:pt>
                <c:pt idx="856">
                  <c:v>-4078</c:v>
                </c:pt>
                <c:pt idx="857">
                  <c:v>-4078</c:v>
                </c:pt>
                <c:pt idx="858">
                  <c:v>-4078</c:v>
                </c:pt>
                <c:pt idx="859">
                  <c:v>-4078</c:v>
                </c:pt>
                <c:pt idx="860">
                  <c:v>-4128</c:v>
                </c:pt>
                <c:pt idx="861">
                  <c:v>-4128</c:v>
                </c:pt>
                <c:pt idx="862">
                  <c:v>-4128</c:v>
                </c:pt>
                <c:pt idx="863">
                  <c:v>-4128</c:v>
                </c:pt>
                <c:pt idx="864">
                  <c:v>-4128</c:v>
                </c:pt>
                <c:pt idx="865">
                  <c:v>-4128</c:v>
                </c:pt>
                <c:pt idx="866">
                  <c:v>-4128</c:v>
                </c:pt>
                <c:pt idx="867">
                  <c:v>-4128</c:v>
                </c:pt>
                <c:pt idx="868">
                  <c:v>-4128</c:v>
                </c:pt>
                <c:pt idx="869">
                  <c:v>-4128</c:v>
                </c:pt>
                <c:pt idx="870">
                  <c:v>-4128</c:v>
                </c:pt>
                <c:pt idx="871">
                  <c:v>-4128</c:v>
                </c:pt>
                <c:pt idx="872">
                  <c:v>-4128</c:v>
                </c:pt>
                <c:pt idx="873">
                  <c:v>-4128</c:v>
                </c:pt>
                <c:pt idx="874">
                  <c:v>-4128</c:v>
                </c:pt>
                <c:pt idx="875">
                  <c:v>-4128</c:v>
                </c:pt>
                <c:pt idx="876">
                  <c:v>-4128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E8E-9645-926E-3830DABCE972}"/>
            </c:ext>
          </c:extLst>
        </c:ser>
        <c:ser>
          <c:idx val="23"/>
          <c:order val="23"/>
          <c:tx>
            <c:strRef>
              <c:f>balance_sheet!$AC$5</c:f>
              <c:strCache>
                <c:ptCount val="1"/>
                <c:pt idx="0">
                  <c:v>Other liabilities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balance_sheet!$AC$6:$AC$1209</c:f>
              <c:numCache>
                <c:formatCode>General</c:formatCode>
                <c:ptCount val="1204"/>
                <c:pt idx="440">
                  <c:v>-15497</c:v>
                </c:pt>
                <c:pt idx="441">
                  <c:v>-15388</c:v>
                </c:pt>
                <c:pt idx="442">
                  <c:v>-15676</c:v>
                </c:pt>
                <c:pt idx="443">
                  <c:v>-14527</c:v>
                </c:pt>
                <c:pt idx="444">
                  <c:v>-14461</c:v>
                </c:pt>
                <c:pt idx="445">
                  <c:v>-15053</c:v>
                </c:pt>
                <c:pt idx="446">
                  <c:v>-15651</c:v>
                </c:pt>
                <c:pt idx="447">
                  <c:v>-15328</c:v>
                </c:pt>
                <c:pt idx="448">
                  <c:v>-14640</c:v>
                </c:pt>
                <c:pt idx="449">
                  <c:v>-14871</c:v>
                </c:pt>
                <c:pt idx="450">
                  <c:v>-14602</c:v>
                </c:pt>
                <c:pt idx="451">
                  <c:v>-14404</c:v>
                </c:pt>
                <c:pt idx="452">
                  <c:v>-14721</c:v>
                </c:pt>
                <c:pt idx="453">
                  <c:v>-15613</c:v>
                </c:pt>
                <c:pt idx="454">
                  <c:v>-15962</c:v>
                </c:pt>
                <c:pt idx="455">
                  <c:v>-15145</c:v>
                </c:pt>
                <c:pt idx="456">
                  <c:v>-15077</c:v>
                </c:pt>
                <c:pt idx="457">
                  <c:v>-15438</c:v>
                </c:pt>
                <c:pt idx="458">
                  <c:v>-16117</c:v>
                </c:pt>
                <c:pt idx="459">
                  <c:v>-15887</c:v>
                </c:pt>
                <c:pt idx="460">
                  <c:v>-15505</c:v>
                </c:pt>
                <c:pt idx="461">
                  <c:v>-15507</c:v>
                </c:pt>
                <c:pt idx="462">
                  <c:v>-15800</c:v>
                </c:pt>
                <c:pt idx="463">
                  <c:v>-17000</c:v>
                </c:pt>
                <c:pt idx="464">
                  <c:v>-15946</c:v>
                </c:pt>
                <c:pt idx="465">
                  <c:v>-15181</c:v>
                </c:pt>
                <c:pt idx="466">
                  <c:v>-15220</c:v>
                </c:pt>
                <c:pt idx="467">
                  <c:v>-15155</c:v>
                </c:pt>
                <c:pt idx="468">
                  <c:v>-15437</c:v>
                </c:pt>
                <c:pt idx="469">
                  <c:v>-15559</c:v>
                </c:pt>
                <c:pt idx="470">
                  <c:v>-15768</c:v>
                </c:pt>
                <c:pt idx="471">
                  <c:v>-15931</c:v>
                </c:pt>
                <c:pt idx="472">
                  <c:v>-16423</c:v>
                </c:pt>
                <c:pt idx="473">
                  <c:v>-15571</c:v>
                </c:pt>
                <c:pt idx="474">
                  <c:v>-15703</c:v>
                </c:pt>
                <c:pt idx="475">
                  <c:v>-15775</c:v>
                </c:pt>
                <c:pt idx="476">
                  <c:v>-17015</c:v>
                </c:pt>
                <c:pt idx="477">
                  <c:v>-15827</c:v>
                </c:pt>
                <c:pt idx="478">
                  <c:v>-15191</c:v>
                </c:pt>
                <c:pt idx="479">
                  <c:v>-15180</c:v>
                </c:pt>
                <c:pt idx="480">
                  <c:v>-15625</c:v>
                </c:pt>
                <c:pt idx="481">
                  <c:v>-15305</c:v>
                </c:pt>
                <c:pt idx="482">
                  <c:v>-17377</c:v>
                </c:pt>
                <c:pt idx="483">
                  <c:v>-15746</c:v>
                </c:pt>
                <c:pt idx="484">
                  <c:v>-15571</c:v>
                </c:pt>
                <c:pt idx="485">
                  <c:v>-15845</c:v>
                </c:pt>
                <c:pt idx="486">
                  <c:v>-15683</c:v>
                </c:pt>
                <c:pt idx="487">
                  <c:v>-16029</c:v>
                </c:pt>
                <c:pt idx="488">
                  <c:v>-15920</c:v>
                </c:pt>
                <c:pt idx="489">
                  <c:v>-16016</c:v>
                </c:pt>
                <c:pt idx="490">
                  <c:v>-15055</c:v>
                </c:pt>
                <c:pt idx="491">
                  <c:v>-16662</c:v>
                </c:pt>
                <c:pt idx="492">
                  <c:v>-16373</c:v>
                </c:pt>
                <c:pt idx="493">
                  <c:v>-16843</c:v>
                </c:pt>
                <c:pt idx="494">
                  <c:v>-15717</c:v>
                </c:pt>
                <c:pt idx="495">
                  <c:v>-16219</c:v>
                </c:pt>
                <c:pt idx="496">
                  <c:v>-15784</c:v>
                </c:pt>
                <c:pt idx="497">
                  <c:v>-15545</c:v>
                </c:pt>
                <c:pt idx="498">
                  <c:v>-15582</c:v>
                </c:pt>
                <c:pt idx="499">
                  <c:v>-15417</c:v>
                </c:pt>
                <c:pt idx="500">
                  <c:v>-15246</c:v>
                </c:pt>
                <c:pt idx="501">
                  <c:v>-15916</c:v>
                </c:pt>
                <c:pt idx="502">
                  <c:v>-16383</c:v>
                </c:pt>
                <c:pt idx="503">
                  <c:v>-15294</c:v>
                </c:pt>
                <c:pt idx="504">
                  <c:v>-15288</c:v>
                </c:pt>
                <c:pt idx="505">
                  <c:v>-15042</c:v>
                </c:pt>
                <c:pt idx="506">
                  <c:v>-15875</c:v>
                </c:pt>
                <c:pt idx="507">
                  <c:v>-15823</c:v>
                </c:pt>
                <c:pt idx="508">
                  <c:v>-16499</c:v>
                </c:pt>
                <c:pt idx="509">
                  <c:v>-18388</c:v>
                </c:pt>
                <c:pt idx="510">
                  <c:v>-21192</c:v>
                </c:pt>
                <c:pt idx="511">
                  <c:v>-19004</c:v>
                </c:pt>
                <c:pt idx="512">
                  <c:v>-21277</c:v>
                </c:pt>
                <c:pt idx="513">
                  <c:v>-22202</c:v>
                </c:pt>
                <c:pt idx="514">
                  <c:v>-23418</c:v>
                </c:pt>
                <c:pt idx="515">
                  <c:v>-24447</c:v>
                </c:pt>
                <c:pt idx="516">
                  <c:v>-23628</c:v>
                </c:pt>
                <c:pt idx="517">
                  <c:v>-24881</c:v>
                </c:pt>
                <c:pt idx="518">
                  <c:v>-24160</c:v>
                </c:pt>
                <c:pt idx="519">
                  <c:v>-24307</c:v>
                </c:pt>
                <c:pt idx="520">
                  <c:v>-24958</c:v>
                </c:pt>
                <c:pt idx="521">
                  <c:v>-23770</c:v>
                </c:pt>
                <c:pt idx="522">
                  <c:v>-31523</c:v>
                </c:pt>
                <c:pt idx="523">
                  <c:v>-23789</c:v>
                </c:pt>
                <c:pt idx="524">
                  <c:v>-23789</c:v>
                </c:pt>
                <c:pt idx="525">
                  <c:v>-25122</c:v>
                </c:pt>
                <c:pt idx="526">
                  <c:v>-25953</c:v>
                </c:pt>
                <c:pt idx="527">
                  <c:v>-26005</c:v>
                </c:pt>
                <c:pt idx="528">
                  <c:v>-26271</c:v>
                </c:pt>
                <c:pt idx="529">
                  <c:v>-24952</c:v>
                </c:pt>
                <c:pt idx="530">
                  <c:v>-25768</c:v>
                </c:pt>
                <c:pt idx="531">
                  <c:v>-27187</c:v>
                </c:pt>
                <c:pt idx="532">
                  <c:v>-26595</c:v>
                </c:pt>
                <c:pt idx="533">
                  <c:v>-27016</c:v>
                </c:pt>
                <c:pt idx="534">
                  <c:v>-27362</c:v>
                </c:pt>
                <c:pt idx="535">
                  <c:v>-27676</c:v>
                </c:pt>
                <c:pt idx="536">
                  <c:v>-25369</c:v>
                </c:pt>
                <c:pt idx="537">
                  <c:v>-24839</c:v>
                </c:pt>
                <c:pt idx="538">
                  <c:v>-23969</c:v>
                </c:pt>
                <c:pt idx="539">
                  <c:v>-22825</c:v>
                </c:pt>
                <c:pt idx="540">
                  <c:v>-22382</c:v>
                </c:pt>
                <c:pt idx="541">
                  <c:v>-19929</c:v>
                </c:pt>
                <c:pt idx="542">
                  <c:v>-20205</c:v>
                </c:pt>
                <c:pt idx="543">
                  <c:v>-20197</c:v>
                </c:pt>
                <c:pt idx="544">
                  <c:v>-18864</c:v>
                </c:pt>
                <c:pt idx="545">
                  <c:v>-18758</c:v>
                </c:pt>
                <c:pt idx="546">
                  <c:v>-17365</c:v>
                </c:pt>
                <c:pt idx="547">
                  <c:v>-18208</c:v>
                </c:pt>
                <c:pt idx="548">
                  <c:v>-16022</c:v>
                </c:pt>
                <c:pt idx="549">
                  <c:v>-15009</c:v>
                </c:pt>
                <c:pt idx="550">
                  <c:v>-14327</c:v>
                </c:pt>
                <c:pt idx="551">
                  <c:v>-14499</c:v>
                </c:pt>
                <c:pt idx="552">
                  <c:v>-14533</c:v>
                </c:pt>
                <c:pt idx="553">
                  <c:v>-13853</c:v>
                </c:pt>
                <c:pt idx="554">
                  <c:v>-14222</c:v>
                </c:pt>
                <c:pt idx="555">
                  <c:v>-16674</c:v>
                </c:pt>
                <c:pt idx="556">
                  <c:v>-16860</c:v>
                </c:pt>
                <c:pt idx="557">
                  <c:v>-15620</c:v>
                </c:pt>
                <c:pt idx="558">
                  <c:v>-14916</c:v>
                </c:pt>
                <c:pt idx="559">
                  <c:v>-14634</c:v>
                </c:pt>
                <c:pt idx="560">
                  <c:v>-15634</c:v>
                </c:pt>
                <c:pt idx="561">
                  <c:v>-15973</c:v>
                </c:pt>
                <c:pt idx="562">
                  <c:v>-17617</c:v>
                </c:pt>
                <c:pt idx="563">
                  <c:v>-33568</c:v>
                </c:pt>
                <c:pt idx="564">
                  <c:v>-68684</c:v>
                </c:pt>
                <c:pt idx="565">
                  <c:v>-70449</c:v>
                </c:pt>
                <c:pt idx="566">
                  <c:v>-149482</c:v>
                </c:pt>
                <c:pt idx="567">
                  <c:v>-158099</c:v>
                </c:pt>
                <c:pt idx="568">
                  <c:v>-121961</c:v>
                </c:pt>
                <c:pt idx="569">
                  <c:v>-119137</c:v>
                </c:pt>
                <c:pt idx="570">
                  <c:v>-96866</c:v>
                </c:pt>
                <c:pt idx="571">
                  <c:v>-121486</c:v>
                </c:pt>
                <c:pt idx="572">
                  <c:v>-82771</c:v>
                </c:pt>
                <c:pt idx="573">
                  <c:v>-98114</c:v>
                </c:pt>
                <c:pt idx="574">
                  <c:v>-76869</c:v>
                </c:pt>
                <c:pt idx="575">
                  <c:v>-56200</c:v>
                </c:pt>
                <c:pt idx="576">
                  <c:v>-54348</c:v>
                </c:pt>
                <c:pt idx="577">
                  <c:v>-53875</c:v>
                </c:pt>
                <c:pt idx="578">
                  <c:v>-50596</c:v>
                </c:pt>
                <c:pt idx="579">
                  <c:v>-50126</c:v>
                </c:pt>
                <c:pt idx="580">
                  <c:v>-51029</c:v>
                </c:pt>
                <c:pt idx="581">
                  <c:v>-51092</c:v>
                </c:pt>
                <c:pt idx="582">
                  <c:v>-44151</c:v>
                </c:pt>
                <c:pt idx="583">
                  <c:v>-47567</c:v>
                </c:pt>
                <c:pt idx="584">
                  <c:v>-40951</c:v>
                </c:pt>
                <c:pt idx="585">
                  <c:v>-43552</c:v>
                </c:pt>
                <c:pt idx="586">
                  <c:v>-43053</c:v>
                </c:pt>
                <c:pt idx="587">
                  <c:v>-48376</c:v>
                </c:pt>
                <c:pt idx="588">
                  <c:v>-46411</c:v>
                </c:pt>
                <c:pt idx="589">
                  <c:v>-44905</c:v>
                </c:pt>
                <c:pt idx="590">
                  <c:v>-43767</c:v>
                </c:pt>
                <c:pt idx="591">
                  <c:v>-43539</c:v>
                </c:pt>
                <c:pt idx="592">
                  <c:v>-40949</c:v>
                </c:pt>
                <c:pt idx="593">
                  <c:v>-40723</c:v>
                </c:pt>
                <c:pt idx="594">
                  <c:v>-40630</c:v>
                </c:pt>
                <c:pt idx="595">
                  <c:v>-38924</c:v>
                </c:pt>
                <c:pt idx="596">
                  <c:v>-40198</c:v>
                </c:pt>
                <c:pt idx="597">
                  <c:v>-38983</c:v>
                </c:pt>
                <c:pt idx="598">
                  <c:v>-29897</c:v>
                </c:pt>
                <c:pt idx="599">
                  <c:v>-32010</c:v>
                </c:pt>
                <c:pt idx="600">
                  <c:v>-33948</c:v>
                </c:pt>
                <c:pt idx="601">
                  <c:v>-32493</c:v>
                </c:pt>
                <c:pt idx="602">
                  <c:v>-32409</c:v>
                </c:pt>
                <c:pt idx="603">
                  <c:v>-33454</c:v>
                </c:pt>
                <c:pt idx="604">
                  <c:v>-33444</c:v>
                </c:pt>
                <c:pt idx="605">
                  <c:v>-31873</c:v>
                </c:pt>
                <c:pt idx="606">
                  <c:v>-30817</c:v>
                </c:pt>
                <c:pt idx="607">
                  <c:v>-30999</c:v>
                </c:pt>
                <c:pt idx="608">
                  <c:v>-29856</c:v>
                </c:pt>
                <c:pt idx="609">
                  <c:v>-30783</c:v>
                </c:pt>
                <c:pt idx="610">
                  <c:v>-29843</c:v>
                </c:pt>
                <c:pt idx="611">
                  <c:v>-30830</c:v>
                </c:pt>
                <c:pt idx="612">
                  <c:v>-30324</c:v>
                </c:pt>
                <c:pt idx="613">
                  <c:v>-31837</c:v>
                </c:pt>
                <c:pt idx="614">
                  <c:v>-33180</c:v>
                </c:pt>
                <c:pt idx="615">
                  <c:v>-34715</c:v>
                </c:pt>
                <c:pt idx="616">
                  <c:v>-34396</c:v>
                </c:pt>
                <c:pt idx="617">
                  <c:v>-32423</c:v>
                </c:pt>
                <c:pt idx="618">
                  <c:v>-31087</c:v>
                </c:pt>
                <c:pt idx="619">
                  <c:v>-30108</c:v>
                </c:pt>
                <c:pt idx="620">
                  <c:v>-31227</c:v>
                </c:pt>
                <c:pt idx="621">
                  <c:v>-31644</c:v>
                </c:pt>
                <c:pt idx="622">
                  <c:v>-32579</c:v>
                </c:pt>
                <c:pt idx="623">
                  <c:v>-31298</c:v>
                </c:pt>
                <c:pt idx="624">
                  <c:v>-33543</c:v>
                </c:pt>
                <c:pt idx="625">
                  <c:v>-35497</c:v>
                </c:pt>
                <c:pt idx="626">
                  <c:v>-36266</c:v>
                </c:pt>
                <c:pt idx="627">
                  <c:v>-35669</c:v>
                </c:pt>
                <c:pt idx="628">
                  <c:v>-34016</c:v>
                </c:pt>
                <c:pt idx="629">
                  <c:v>-34393</c:v>
                </c:pt>
                <c:pt idx="630">
                  <c:v>-32972</c:v>
                </c:pt>
                <c:pt idx="631">
                  <c:v>-33600</c:v>
                </c:pt>
                <c:pt idx="632">
                  <c:v>-33069</c:v>
                </c:pt>
                <c:pt idx="633">
                  <c:v>-34425</c:v>
                </c:pt>
                <c:pt idx="634">
                  <c:v>-34591</c:v>
                </c:pt>
                <c:pt idx="635">
                  <c:v>-35200</c:v>
                </c:pt>
                <c:pt idx="636">
                  <c:v>-36174</c:v>
                </c:pt>
                <c:pt idx="637">
                  <c:v>-36167</c:v>
                </c:pt>
                <c:pt idx="638">
                  <c:v>-37212</c:v>
                </c:pt>
                <c:pt idx="639">
                  <c:v>-42357</c:v>
                </c:pt>
                <c:pt idx="640">
                  <c:v>-41534</c:v>
                </c:pt>
                <c:pt idx="641">
                  <c:v>-41172</c:v>
                </c:pt>
                <c:pt idx="642">
                  <c:v>-41561</c:v>
                </c:pt>
                <c:pt idx="643">
                  <c:v>-40988</c:v>
                </c:pt>
                <c:pt idx="644">
                  <c:v>-41272</c:v>
                </c:pt>
                <c:pt idx="645">
                  <c:v>-41338</c:v>
                </c:pt>
                <c:pt idx="646">
                  <c:v>-41098</c:v>
                </c:pt>
                <c:pt idx="647">
                  <c:v>-40972</c:v>
                </c:pt>
                <c:pt idx="648">
                  <c:v>-40976</c:v>
                </c:pt>
                <c:pt idx="649">
                  <c:v>-42506</c:v>
                </c:pt>
                <c:pt idx="650">
                  <c:v>-43444</c:v>
                </c:pt>
                <c:pt idx="651">
                  <c:v>-42507</c:v>
                </c:pt>
                <c:pt idx="652">
                  <c:v>-43668</c:v>
                </c:pt>
                <c:pt idx="653">
                  <c:v>-43783</c:v>
                </c:pt>
                <c:pt idx="654">
                  <c:v>-43913</c:v>
                </c:pt>
                <c:pt idx="655">
                  <c:v>-43088</c:v>
                </c:pt>
                <c:pt idx="656">
                  <c:v>-42295</c:v>
                </c:pt>
                <c:pt idx="657">
                  <c:v>-44132</c:v>
                </c:pt>
                <c:pt idx="658">
                  <c:v>-43364</c:v>
                </c:pt>
                <c:pt idx="659">
                  <c:v>-43277</c:v>
                </c:pt>
                <c:pt idx="660">
                  <c:v>-42500</c:v>
                </c:pt>
                <c:pt idx="661">
                  <c:v>-41719</c:v>
                </c:pt>
                <c:pt idx="662">
                  <c:v>-41248</c:v>
                </c:pt>
                <c:pt idx="663">
                  <c:v>-42227</c:v>
                </c:pt>
                <c:pt idx="664">
                  <c:v>-42218</c:v>
                </c:pt>
                <c:pt idx="665">
                  <c:v>-45809</c:v>
                </c:pt>
                <c:pt idx="666">
                  <c:v>-44461</c:v>
                </c:pt>
                <c:pt idx="667">
                  <c:v>-43307</c:v>
                </c:pt>
                <c:pt idx="668">
                  <c:v>-43228</c:v>
                </c:pt>
                <c:pt idx="669">
                  <c:v>-43158</c:v>
                </c:pt>
                <c:pt idx="670">
                  <c:v>-43474</c:v>
                </c:pt>
                <c:pt idx="671">
                  <c:v>-43554</c:v>
                </c:pt>
                <c:pt idx="672">
                  <c:v>-42890</c:v>
                </c:pt>
                <c:pt idx="673">
                  <c:v>-42743</c:v>
                </c:pt>
                <c:pt idx="674">
                  <c:v>-42882</c:v>
                </c:pt>
                <c:pt idx="675">
                  <c:v>-42477</c:v>
                </c:pt>
                <c:pt idx="676">
                  <c:v>-43298</c:v>
                </c:pt>
                <c:pt idx="677">
                  <c:v>-43174</c:v>
                </c:pt>
                <c:pt idx="678">
                  <c:v>-46376</c:v>
                </c:pt>
                <c:pt idx="679">
                  <c:v>-47104</c:v>
                </c:pt>
                <c:pt idx="680">
                  <c:v>-47714</c:v>
                </c:pt>
                <c:pt idx="681">
                  <c:v>-47367</c:v>
                </c:pt>
                <c:pt idx="682">
                  <c:v>-47644</c:v>
                </c:pt>
                <c:pt idx="683">
                  <c:v>-46445</c:v>
                </c:pt>
                <c:pt idx="684">
                  <c:v>-46216</c:v>
                </c:pt>
                <c:pt idx="685">
                  <c:v>-44505</c:v>
                </c:pt>
                <c:pt idx="686">
                  <c:v>-44026</c:v>
                </c:pt>
                <c:pt idx="687">
                  <c:v>-45278</c:v>
                </c:pt>
                <c:pt idx="688">
                  <c:v>-45857</c:v>
                </c:pt>
                <c:pt idx="689">
                  <c:v>-45123</c:v>
                </c:pt>
                <c:pt idx="690">
                  <c:v>-46885</c:v>
                </c:pt>
                <c:pt idx="691">
                  <c:v>-49343</c:v>
                </c:pt>
                <c:pt idx="692">
                  <c:v>-49287</c:v>
                </c:pt>
                <c:pt idx="693">
                  <c:v>-50104</c:v>
                </c:pt>
                <c:pt idx="694">
                  <c:v>-49957</c:v>
                </c:pt>
                <c:pt idx="695">
                  <c:v>-49675</c:v>
                </c:pt>
                <c:pt idx="696">
                  <c:v>-50456</c:v>
                </c:pt>
                <c:pt idx="697">
                  <c:v>-49084</c:v>
                </c:pt>
                <c:pt idx="698">
                  <c:v>-48139</c:v>
                </c:pt>
                <c:pt idx="699">
                  <c:v>-48202</c:v>
                </c:pt>
                <c:pt idx="700">
                  <c:v>-48711</c:v>
                </c:pt>
                <c:pt idx="701">
                  <c:v>-49559</c:v>
                </c:pt>
                <c:pt idx="702">
                  <c:v>-49070</c:v>
                </c:pt>
                <c:pt idx="703">
                  <c:v>-48550</c:v>
                </c:pt>
                <c:pt idx="704">
                  <c:v>-50755</c:v>
                </c:pt>
                <c:pt idx="705">
                  <c:v>-50286</c:v>
                </c:pt>
                <c:pt idx="706">
                  <c:v>-48948</c:v>
                </c:pt>
                <c:pt idx="707">
                  <c:v>-48667</c:v>
                </c:pt>
                <c:pt idx="708">
                  <c:v>-48537</c:v>
                </c:pt>
                <c:pt idx="709">
                  <c:v>-48776</c:v>
                </c:pt>
                <c:pt idx="710">
                  <c:v>-49401</c:v>
                </c:pt>
                <c:pt idx="711">
                  <c:v>-49684</c:v>
                </c:pt>
                <c:pt idx="712">
                  <c:v>-49554</c:v>
                </c:pt>
                <c:pt idx="713">
                  <c:v>-51145</c:v>
                </c:pt>
                <c:pt idx="714">
                  <c:v>-51745</c:v>
                </c:pt>
                <c:pt idx="715">
                  <c:v>-52276</c:v>
                </c:pt>
                <c:pt idx="716">
                  <c:v>-52560</c:v>
                </c:pt>
                <c:pt idx="717">
                  <c:v>-57187</c:v>
                </c:pt>
                <c:pt idx="718">
                  <c:v>-57453</c:v>
                </c:pt>
                <c:pt idx="719">
                  <c:v>-57533</c:v>
                </c:pt>
                <c:pt idx="720">
                  <c:v>-56133</c:v>
                </c:pt>
                <c:pt idx="721">
                  <c:v>-55765</c:v>
                </c:pt>
                <c:pt idx="722">
                  <c:v>-56598</c:v>
                </c:pt>
                <c:pt idx="723">
                  <c:v>-56150</c:v>
                </c:pt>
                <c:pt idx="724">
                  <c:v>-56261</c:v>
                </c:pt>
                <c:pt idx="725">
                  <c:v>-56494</c:v>
                </c:pt>
                <c:pt idx="726">
                  <c:v>-58298</c:v>
                </c:pt>
                <c:pt idx="727">
                  <c:v>-59746</c:v>
                </c:pt>
                <c:pt idx="728">
                  <c:v>-59802</c:v>
                </c:pt>
                <c:pt idx="729">
                  <c:v>-59964</c:v>
                </c:pt>
                <c:pt idx="730">
                  <c:v>-62791</c:v>
                </c:pt>
                <c:pt idx="731">
                  <c:v>-61900</c:v>
                </c:pt>
                <c:pt idx="732">
                  <c:v>-61322</c:v>
                </c:pt>
                <c:pt idx="733">
                  <c:v>-62067</c:v>
                </c:pt>
                <c:pt idx="734">
                  <c:v>-62190</c:v>
                </c:pt>
                <c:pt idx="735">
                  <c:v>-62047</c:v>
                </c:pt>
                <c:pt idx="736">
                  <c:v>-61690</c:v>
                </c:pt>
                <c:pt idx="737">
                  <c:v>-61628</c:v>
                </c:pt>
                <c:pt idx="738">
                  <c:v>-61492</c:v>
                </c:pt>
                <c:pt idx="739">
                  <c:v>-61631</c:v>
                </c:pt>
                <c:pt idx="740">
                  <c:v>-61660</c:v>
                </c:pt>
                <c:pt idx="741">
                  <c:v>-60368</c:v>
                </c:pt>
                <c:pt idx="742">
                  <c:v>-63287</c:v>
                </c:pt>
                <c:pt idx="743">
                  <c:v>-65674</c:v>
                </c:pt>
                <c:pt idx="744">
                  <c:v>-65594</c:v>
                </c:pt>
                <c:pt idx="745">
                  <c:v>-65883</c:v>
                </c:pt>
                <c:pt idx="746">
                  <c:v>-65674</c:v>
                </c:pt>
                <c:pt idx="747">
                  <c:v>-65002</c:v>
                </c:pt>
                <c:pt idx="748">
                  <c:v>-62987</c:v>
                </c:pt>
                <c:pt idx="749">
                  <c:v>-63997</c:v>
                </c:pt>
                <c:pt idx="750">
                  <c:v>-63594</c:v>
                </c:pt>
                <c:pt idx="751">
                  <c:v>-63638</c:v>
                </c:pt>
                <c:pt idx="752">
                  <c:v>-63090</c:v>
                </c:pt>
                <c:pt idx="753">
                  <c:v>-63872</c:v>
                </c:pt>
                <c:pt idx="754">
                  <c:v>-64464</c:v>
                </c:pt>
                <c:pt idx="755">
                  <c:v>-64341</c:v>
                </c:pt>
                <c:pt idx="756">
                  <c:v>-63658</c:v>
                </c:pt>
                <c:pt idx="757">
                  <c:v>-65575</c:v>
                </c:pt>
                <c:pt idx="758">
                  <c:v>-66688</c:v>
                </c:pt>
                <c:pt idx="759">
                  <c:v>-67212</c:v>
                </c:pt>
                <c:pt idx="760">
                  <c:v>-67738</c:v>
                </c:pt>
                <c:pt idx="761">
                  <c:v>-67763</c:v>
                </c:pt>
                <c:pt idx="762">
                  <c:v>-64872</c:v>
                </c:pt>
                <c:pt idx="763">
                  <c:v>-66584</c:v>
                </c:pt>
                <c:pt idx="764">
                  <c:v>-66163</c:v>
                </c:pt>
                <c:pt idx="765">
                  <c:v>-66510</c:v>
                </c:pt>
                <c:pt idx="766">
                  <c:v>-65641</c:v>
                </c:pt>
                <c:pt idx="767">
                  <c:v>-65804</c:v>
                </c:pt>
                <c:pt idx="768">
                  <c:v>-66255</c:v>
                </c:pt>
                <c:pt idx="769">
                  <c:v>-66968</c:v>
                </c:pt>
                <c:pt idx="770">
                  <c:v>-69841</c:v>
                </c:pt>
                <c:pt idx="771">
                  <c:v>-70487</c:v>
                </c:pt>
                <c:pt idx="772">
                  <c:v>-69811</c:v>
                </c:pt>
                <c:pt idx="773">
                  <c:v>-69478</c:v>
                </c:pt>
                <c:pt idx="774">
                  <c:v>-69195</c:v>
                </c:pt>
                <c:pt idx="775">
                  <c:v>-69347</c:v>
                </c:pt>
                <c:pt idx="776">
                  <c:v>-70264</c:v>
                </c:pt>
                <c:pt idx="777">
                  <c:v>-69305</c:v>
                </c:pt>
                <c:pt idx="778">
                  <c:v>-68841</c:v>
                </c:pt>
                <c:pt idx="779">
                  <c:v>-69453</c:v>
                </c:pt>
                <c:pt idx="780">
                  <c:v>-68845</c:v>
                </c:pt>
                <c:pt idx="781">
                  <c:v>-70438</c:v>
                </c:pt>
                <c:pt idx="782">
                  <c:v>-70254</c:v>
                </c:pt>
                <c:pt idx="783">
                  <c:v>-73047</c:v>
                </c:pt>
                <c:pt idx="784">
                  <c:v>-73672</c:v>
                </c:pt>
                <c:pt idx="785">
                  <c:v>-72390</c:v>
                </c:pt>
                <c:pt idx="786">
                  <c:v>-72517</c:v>
                </c:pt>
                <c:pt idx="787">
                  <c:v>-68823</c:v>
                </c:pt>
                <c:pt idx="788">
                  <c:v>-68266</c:v>
                </c:pt>
                <c:pt idx="789">
                  <c:v>-68788</c:v>
                </c:pt>
                <c:pt idx="790">
                  <c:v>-68793</c:v>
                </c:pt>
                <c:pt idx="791">
                  <c:v>-68824</c:v>
                </c:pt>
                <c:pt idx="792">
                  <c:v>-62489</c:v>
                </c:pt>
                <c:pt idx="793">
                  <c:v>-60836</c:v>
                </c:pt>
                <c:pt idx="794">
                  <c:v>-58905</c:v>
                </c:pt>
                <c:pt idx="795">
                  <c:v>-58059</c:v>
                </c:pt>
                <c:pt idx="796">
                  <c:v>-63169</c:v>
                </c:pt>
                <c:pt idx="797">
                  <c:v>-60396</c:v>
                </c:pt>
                <c:pt idx="798">
                  <c:v>-59660</c:v>
                </c:pt>
                <c:pt idx="799">
                  <c:v>-56542</c:v>
                </c:pt>
                <c:pt idx="800">
                  <c:v>-52397</c:v>
                </c:pt>
                <c:pt idx="801">
                  <c:v>-52828</c:v>
                </c:pt>
                <c:pt idx="802">
                  <c:v>-52508</c:v>
                </c:pt>
                <c:pt idx="803">
                  <c:v>-51643</c:v>
                </c:pt>
                <c:pt idx="804">
                  <c:v>-47493</c:v>
                </c:pt>
                <c:pt idx="805">
                  <c:v>-47987</c:v>
                </c:pt>
                <c:pt idx="806">
                  <c:v>-49642</c:v>
                </c:pt>
                <c:pt idx="807">
                  <c:v>-49068</c:v>
                </c:pt>
                <c:pt idx="808">
                  <c:v>-48448</c:v>
                </c:pt>
                <c:pt idx="809">
                  <c:v>-46472</c:v>
                </c:pt>
                <c:pt idx="810">
                  <c:v>-46673</c:v>
                </c:pt>
                <c:pt idx="811">
                  <c:v>-46382</c:v>
                </c:pt>
                <c:pt idx="812">
                  <c:v>-45679</c:v>
                </c:pt>
                <c:pt idx="813">
                  <c:v>-41916</c:v>
                </c:pt>
                <c:pt idx="814">
                  <c:v>-41882</c:v>
                </c:pt>
                <c:pt idx="815">
                  <c:v>-42416</c:v>
                </c:pt>
                <c:pt idx="816">
                  <c:v>-42453</c:v>
                </c:pt>
                <c:pt idx="817">
                  <c:v>-41895</c:v>
                </c:pt>
                <c:pt idx="818">
                  <c:v>-41590</c:v>
                </c:pt>
                <c:pt idx="819">
                  <c:v>-37899</c:v>
                </c:pt>
                <c:pt idx="820">
                  <c:v>-39545</c:v>
                </c:pt>
                <c:pt idx="821">
                  <c:v>-38221</c:v>
                </c:pt>
                <c:pt idx="822">
                  <c:v>-41163</c:v>
                </c:pt>
                <c:pt idx="823">
                  <c:v>-41659</c:v>
                </c:pt>
                <c:pt idx="824">
                  <c:v>-41159</c:v>
                </c:pt>
                <c:pt idx="825">
                  <c:v>-36092</c:v>
                </c:pt>
                <c:pt idx="826">
                  <c:v>-36291</c:v>
                </c:pt>
                <c:pt idx="827">
                  <c:v>-36416</c:v>
                </c:pt>
                <c:pt idx="828">
                  <c:v>-37344</c:v>
                </c:pt>
                <c:pt idx="829">
                  <c:v>-32845</c:v>
                </c:pt>
                <c:pt idx="830">
                  <c:v>-33960</c:v>
                </c:pt>
                <c:pt idx="831">
                  <c:v>-33830</c:v>
                </c:pt>
                <c:pt idx="832">
                  <c:v>-33435</c:v>
                </c:pt>
                <c:pt idx="833">
                  <c:v>-34599</c:v>
                </c:pt>
                <c:pt idx="834">
                  <c:v>-31552</c:v>
                </c:pt>
                <c:pt idx="835">
                  <c:v>-33223</c:v>
                </c:pt>
                <c:pt idx="836">
                  <c:v>-33899</c:v>
                </c:pt>
                <c:pt idx="837">
                  <c:v>-33372</c:v>
                </c:pt>
                <c:pt idx="838">
                  <c:v>-34043</c:v>
                </c:pt>
                <c:pt idx="839">
                  <c:v>-33817</c:v>
                </c:pt>
                <c:pt idx="840">
                  <c:v>-33361</c:v>
                </c:pt>
                <c:pt idx="841">
                  <c:v>-34145</c:v>
                </c:pt>
                <c:pt idx="842">
                  <c:v>-32782</c:v>
                </c:pt>
                <c:pt idx="843">
                  <c:v>-33332</c:v>
                </c:pt>
                <c:pt idx="844">
                  <c:v>-31022</c:v>
                </c:pt>
                <c:pt idx="845">
                  <c:v>-30072</c:v>
                </c:pt>
                <c:pt idx="846">
                  <c:v>-30573</c:v>
                </c:pt>
                <c:pt idx="847">
                  <c:v>-30213</c:v>
                </c:pt>
                <c:pt idx="848">
                  <c:v>-42321</c:v>
                </c:pt>
                <c:pt idx="849">
                  <c:v>-37175</c:v>
                </c:pt>
                <c:pt idx="850">
                  <c:v>-35885</c:v>
                </c:pt>
                <c:pt idx="851">
                  <c:v>-36202</c:v>
                </c:pt>
                <c:pt idx="852">
                  <c:v>-35100</c:v>
                </c:pt>
                <c:pt idx="853">
                  <c:v>-34948</c:v>
                </c:pt>
                <c:pt idx="854">
                  <c:v>-30615</c:v>
                </c:pt>
                <c:pt idx="855">
                  <c:v>-30913</c:v>
                </c:pt>
                <c:pt idx="856">
                  <c:v>-30089</c:v>
                </c:pt>
                <c:pt idx="857">
                  <c:v>-29464</c:v>
                </c:pt>
                <c:pt idx="858">
                  <c:v>-29657</c:v>
                </c:pt>
                <c:pt idx="859">
                  <c:v>-28758</c:v>
                </c:pt>
                <c:pt idx="860">
                  <c:v>-28306</c:v>
                </c:pt>
                <c:pt idx="861">
                  <c:v>-31101</c:v>
                </c:pt>
                <c:pt idx="862">
                  <c:v>-32006</c:v>
                </c:pt>
                <c:pt idx="863">
                  <c:v>-32120</c:v>
                </c:pt>
                <c:pt idx="864">
                  <c:v>-31554</c:v>
                </c:pt>
                <c:pt idx="865">
                  <c:v>-31970</c:v>
                </c:pt>
                <c:pt idx="866">
                  <c:v>-31558</c:v>
                </c:pt>
                <c:pt idx="867">
                  <c:v>-32047</c:v>
                </c:pt>
                <c:pt idx="868">
                  <c:v>-31946</c:v>
                </c:pt>
                <c:pt idx="869">
                  <c:v>-31202</c:v>
                </c:pt>
                <c:pt idx="870">
                  <c:v>-31304</c:v>
                </c:pt>
                <c:pt idx="871">
                  <c:v>-31557</c:v>
                </c:pt>
                <c:pt idx="872">
                  <c:v>-32144</c:v>
                </c:pt>
                <c:pt idx="873">
                  <c:v>-33360</c:v>
                </c:pt>
                <c:pt idx="874">
                  <c:v>-46502</c:v>
                </c:pt>
                <c:pt idx="875">
                  <c:v>-44378</c:v>
                </c:pt>
                <c:pt idx="876">
                  <c:v>-44947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E8E-9645-926E-3830DABCE972}"/>
            </c:ext>
          </c:extLst>
        </c:ser>
        <c:ser>
          <c:idx val="24"/>
          <c:order val="24"/>
          <c:tx>
            <c:strRef>
              <c:f>balance_sheet!$AD$5</c:f>
              <c:strCache>
                <c:ptCount val="1"/>
                <c:pt idx="0">
                  <c:v>Standing facility deposits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balance_sheet!$AD$6:$AD$1209</c:f>
              <c:numCache>
                <c:formatCode>General</c:formatCode>
                <c:ptCount val="1204"/>
                <c:pt idx="440">
                  <c:v>0</c:v>
                </c:pt>
                <c:pt idx="441">
                  <c:v>0</c:v>
                </c:pt>
                <c:pt idx="442">
                  <c:v>-5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-108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-5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-350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-35</c:v>
                </c:pt>
                <c:pt idx="564">
                  <c:v>-2364</c:v>
                </c:pt>
                <c:pt idx="565">
                  <c:v>-4403</c:v>
                </c:pt>
                <c:pt idx="566">
                  <c:v>-860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8E-9645-926E-3830DABCE972}"/>
            </c:ext>
          </c:extLst>
        </c:ser>
        <c:ser>
          <c:idx val="25"/>
          <c:order val="25"/>
          <c:tx>
            <c:strRef>
              <c:f>balance_sheet!$AE$5</c:f>
              <c:strCache>
                <c:ptCount val="1"/>
                <c:pt idx="0">
                  <c:v>Banking Department Notes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balance_sheet!$AE$6:$AE$1209</c:f>
              <c:numCache>
                <c:formatCode>General</c:formatCode>
                <c:ptCount val="1204"/>
                <c:pt idx="0">
                  <c:v>-3</c:v>
                </c:pt>
                <c:pt idx="1">
                  <c:v>-3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-8</c:v>
                </c:pt>
                <c:pt idx="6">
                  <c:v>-4</c:v>
                </c:pt>
                <c:pt idx="7">
                  <c:v>-7</c:v>
                </c:pt>
                <c:pt idx="8">
                  <c:v>-11</c:v>
                </c:pt>
                <c:pt idx="9">
                  <c:v>-8</c:v>
                </c:pt>
                <c:pt idx="10">
                  <c:v>-12</c:v>
                </c:pt>
                <c:pt idx="11">
                  <c:v>-3</c:v>
                </c:pt>
                <c:pt idx="12">
                  <c:v>-11</c:v>
                </c:pt>
                <c:pt idx="13">
                  <c:v>-5</c:v>
                </c:pt>
                <c:pt idx="14">
                  <c:v>-6</c:v>
                </c:pt>
                <c:pt idx="15">
                  <c:v>-11</c:v>
                </c:pt>
                <c:pt idx="16">
                  <c:v>-13</c:v>
                </c:pt>
                <c:pt idx="17">
                  <c:v>-10</c:v>
                </c:pt>
                <c:pt idx="18">
                  <c:v>-6</c:v>
                </c:pt>
                <c:pt idx="19">
                  <c:v>-5</c:v>
                </c:pt>
                <c:pt idx="20">
                  <c:v>-8</c:v>
                </c:pt>
                <c:pt idx="21">
                  <c:v>-6</c:v>
                </c:pt>
                <c:pt idx="22">
                  <c:v>-6</c:v>
                </c:pt>
                <c:pt idx="23">
                  <c:v>-12</c:v>
                </c:pt>
                <c:pt idx="24">
                  <c:v>-10</c:v>
                </c:pt>
                <c:pt idx="25">
                  <c:v>-12</c:v>
                </c:pt>
                <c:pt idx="26">
                  <c:v>-13</c:v>
                </c:pt>
                <c:pt idx="27">
                  <c:v>-10</c:v>
                </c:pt>
                <c:pt idx="28">
                  <c:v>-13</c:v>
                </c:pt>
                <c:pt idx="29">
                  <c:v>-8</c:v>
                </c:pt>
                <c:pt idx="30">
                  <c:v>-10</c:v>
                </c:pt>
                <c:pt idx="31">
                  <c:v>-12</c:v>
                </c:pt>
                <c:pt idx="32">
                  <c:v>-12</c:v>
                </c:pt>
                <c:pt idx="33">
                  <c:v>-7</c:v>
                </c:pt>
                <c:pt idx="34">
                  <c:v>-10</c:v>
                </c:pt>
                <c:pt idx="35">
                  <c:v>-9</c:v>
                </c:pt>
                <c:pt idx="36">
                  <c:v>-12</c:v>
                </c:pt>
                <c:pt idx="37">
                  <c:v>-12</c:v>
                </c:pt>
                <c:pt idx="38">
                  <c:v>-11</c:v>
                </c:pt>
                <c:pt idx="39">
                  <c:v>-10</c:v>
                </c:pt>
                <c:pt idx="40">
                  <c:v>-12</c:v>
                </c:pt>
                <c:pt idx="41">
                  <c:v>-12</c:v>
                </c:pt>
                <c:pt idx="42">
                  <c:v>-9</c:v>
                </c:pt>
                <c:pt idx="43">
                  <c:v>-12</c:v>
                </c:pt>
                <c:pt idx="44">
                  <c:v>-11</c:v>
                </c:pt>
                <c:pt idx="45">
                  <c:v>-8</c:v>
                </c:pt>
                <c:pt idx="46">
                  <c:v>-10</c:v>
                </c:pt>
                <c:pt idx="47">
                  <c:v>-6</c:v>
                </c:pt>
                <c:pt idx="48">
                  <c:v>-11</c:v>
                </c:pt>
                <c:pt idx="49">
                  <c:v>-7</c:v>
                </c:pt>
                <c:pt idx="50">
                  <c:v>-9</c:v>
                </c:pt>
                <c:pt idx="51">
                  <c:v>-8</c:v>
                </c:pt>
                <c:pt idx="52">
                  <c:v>-3</c:v>
                </c:pt>
                <c:pt idx="53">
                  <c:v>-6</c:v>
                </c:pt>
                <c:pt idx="54">
                  <c:v>-11</c:v>
                </c:pt>
                <c:pt idx="55">
                  <c:v>-11</c:v>
                </c:pt>
                <c:pt idx="56">
                  <c:v>-3</c:v>
                </c:pt>
                <c:pt idx="57">
                  <c:v>-7</c:v>
                </c:pt>
                <c:pt idx="58">
                  <c:v>-12</c:v>
                </c:pt>
                <c:pt idx="59">
                  <c:v>-10</c:v>
                </c:pt>
                <c:pt idx="60">
                  <c:v>-4</c:v>
                </c:pt>
                <c:pt idx="61">
                  <c:v>-13</c:v>
                </c:pt>
                <c:pt idx="62">
                  <c:v>-11</c:v>
                </c:pt>
                <c:pt idx="63">
                  <c:v>-3</c:v>
                </c:pt>
                <c:pt idx="64">
                  <c:v>-12</c:v>
                </c:pt>
                <c:pt idx="65">
                  <c:v>-8</c:v>
                </c:pt>
                <c:pt idx="66">
                  <c:v>-5</c:v>
                </c:pt>
                <c:pt idx="67">
                  <c:v>-13</c:v>
                </c:pt>
                <c:pt idx="68">
                  <c:v>-4</c:v>
                </c:pt>
                <c:pt idx="69">
                  <c:v>-5</c:v>
                </c:pt>
                <c:pt idx="70">
                  <c:v>-12</c:v>
                </c:pt>
                <c:pt idx="71">
                  <c:v>-3</c:v>
                </c:pt>
                <c:pt idx="72">
                  <c:v>-6</c:v>
                </c:pt>
                <c:pt idx="73">
                  <c:v>-4</c:v>
                </c:pt>
                <c:pt idx="74">
                  <c:v>-3</c:v>
                </c:pt>
                <c:pt idx="75">
                  <c:v>-11</c:v>
                </c:pt>
                <c:pt idx="76">
                  <c:v>-12</c:v>
                </c:pt>
                <c:pt idx="77">
                  <c:v>-6</c:v>
                </c:pt>
                <c:pt idx="78">
                  <c:v>-7</c:v>
                </c:pt>
                <c:pt idx="79">
                  <c:v>-6</c:v>
                </c:pt>
                <c:pt idx="80">
                  <c:v>-11</c:v>
                </c:pt>
                <c:pt idx="81">
                  <c:v>-13</c:v>
                </c:pt>
                <c:pt idx="82">
                  <c:v>-12</c:v>
                </c:pt>
                <c:pt idx="83">
                  <c:v>-10</c:v>
                </c:pt>
                <c:pt idx="84">
                  <c:v>-6</c:v>
                </c:pt>
                <c:pt idx="85">
                  <c:v>-11</c:v>
                </c:pt>
                <c:pt idx="86">
                  <c:v>-3</c:v>
                </c:pt>
                <c:pt idx="87">
                  <c:v>-10</c:v>
                </c:pt>
                <c:pt idx="88">
                  <c:v>-9</c:v>
                </c:pt>
                <c:pt idx="89">
                  <c:v>-6</c:v>
                </c:pt>
                <c:pt idx="90">
                  <c:v>-9</c:v>
                </c:pt>
                <c:pt idx="91">
                  <c:v>-6</c:v>
                </c:pt>
                <c:pt idx="92">
                  <c:v>-9</c:v>
                </c:pt>
                <c:pt idx="93">
                  <c:v>-11</c:v>
                </c:pt>
                <c:pt idx="94">
                  <c:v>-11</c:v>
                </c:pt>
                <c:pt idx="95">
                  <c:v>-5</c:v>
                </c:pt>
                <c:pt idx="96">
                  <c:v>-8</c:v>
                </c:pt>
                <c:pt idx="97">
                  <c:v>-3</c:v>
                </c:pt>
                <c:pt idx="98">
                  <c:v>-6</c:v>
                </c:pt>
                <c:pt idx="99">
                  <c:v>-6</c:v>
                </c:pt>
                <c:pt idx="100">
                  <c:v>-4</c:v>
                </c:pt>
                <c:pt idx="101">
                  <c:v>-8</c:v>
                </c:pt>
                <c:pt idx="102">
                  <c:v>-12</c:v>
                </c:pt>
                <c:pt idx="103">
                  <c:v>-9</c:v>
                </c:pt>
                <c:pt idx="104">
                  <c:v>-6</c:v>
                </c:pt>
                <c:pt idx="105">
                  <c:v>-4</c:v>
                </c:pt>
                <c:pt idx="106">
                  <c:v>-5</c:v>
                </c:pt>
                <c:pt idx="107">
                  <c:v>-10</c:v>
                </c:pt>
                <c:pt idx="108">
                  <c:v>-7</c:v>
                </c:pt>
                <c:pt idx="109">
                  <c:v>-10</c:v>
                </c:pt>
                <c:pt idx="110">
                  <c:v>-12</c:v>
                </c:pt>
                <c:pt idx="111">
                  <c:v>-12</c:v>
                </c:pt>
                <c:pt idx="112">
                  <c:v>-7</c:v>
                </c:pt>
                <c:pt idx="113">
                  <c:v>-9</c:v>
                </c:pt>
                <c:pt idx="114">
                  <c:v>-10</c:v>
                </c:pt>
                <c:pt idx="115">
                  <c:v>-5</c:v>
                </c:pt>
                <c:pt idx="116">
                  <c:v>-10</c:v>
                </c:pt>
                <c:pt idx="117">
                  <c:v>-13</c:v>
                </c:pt>
                <c:pt idx="118">
                  <c:v>-9</c:v>
                </c:pt>
                <c:pt idx="119">
                  <c:v>-9</c:v>
                </c:pt>
                <c:pt idx="120">
                  <c:v>-10</c:v>
                </c:pt>
                <c:pt idx="121">
                  <c:v>-3</c:v>
                </c:pt>
                <c:pt idx="122">
                  <c:v>-11</c:v>
                </c:pt>
                <c:pt idx="123">
                  <c:v>-6</c:v>
                </c:pt>
                <c:pt idx="124">
                  <c:v>-9</c:v>
                </c:pt>
                <c:pt idx="125">
                  <c:v>-4</c:v>
                </c:pt>
                <c:pt idx="126">
                  <c:v>-12</c:v>
                </c:pt>
                <c:pt idx="127">
                  <c:v>-5</c:v>
                </c:pt>
                <c:pt idx="128">
                  <c:v>-4</c:v>
                </c:pt>
                <c:pt idx="129">
                  <c:v>-6</c:v>
                </c:pt>
                <c:pt idx="130">
                  <c:v>-6</c:v>
                </c:pt>
                <c:pt idx="131">
                  <c:v>-7</c:v>
                </c:pt>
                <c:pt idx="132">
                  <c:v>-6</c:v>
                </c:pt>
                <c:pt idx="133">
                  <c:v>-11</c:v>
                </c:pt>
                <c:pt idx="134">
                  <c:v>-6</c:v>
                </c:pt>
                <c:pt idx="135">
                  <c:v>-12</c:v>
                </c:pt>
                <c:pt idx="136">
                  <c:v>-11</c:v>
                </c:pt>
                <c:pt idx="137">
                  <c:v>-3</c:v>
                </c:pt>
                <c:pt idx="138">
                  <c:v>-10</c:v>
                </c:pt>
                <c:pt idx="139">
                  <c:v>-4</c:v>
                </c:pt>
                <c:pt idx="140">
                  <c:v>-9</c:v>
                </c:pt>
                <c:pt idx="141">
                  <c:v>-7</c:v>
                </c:pt>
                <c:pt idx="142">
                  <c:v>-10</c:v>
                </c:pt>
                <c:pt idx="143">
                  <c:v>-5</c:v>
                </c:pt>
                <c:pt idx="144">
                  <c:v>-11</c:v>
                </c:pt>
                <c:pt idx="145">
                  <c:v>-10</c:v>
                </c:pt>
                <c:pt idx="146">
                  <c:v>-7</c:v>
                </c:pt>
                <c:pt idx="147">
                  <c:v>-13</c:v>
                </c:pt>
                <c:pt idx="148">
                  <c:v>-10</c:v>
                </c:pt>
                <c:pt idx="149">
                  <c:v>-7</c:v>
                </c:pt>
                <c:pt idx="150">
                  <c:v>-6</c:v>
                </c:pt>
                <c:pt idx="151">
                  <c:v>-13</c:v>
                </c:pt>
                <c:pt idx="152">
                  <c:v>-4</c:v>
                </c:pt>
                <c:pt idx="153">
                  <c:v>-8</c:v>
                </c:pt>
                <c:pt idx="154">
                  <c:v>-8</c:v>
                </c:pt>
                <c:pt idx="155">
                  <c:v>-10</c:v>
                </c:pt>
                <c:pt idx="156">
                  <c:v>-10</c:v>
                </c:pt>
                <c:pt idx="157">
                  <c:v>-6</c:v>
                </c:pt>
                <c:pt idx="158">
                  <c:v>-6</c:v>
                </c:pt>
                <c:pt idx="159">
                  <c:v>-10</c:v>
                </c:pt>
                <c:pt idx="160">
                  <c:v>-11</c:v>
                </c:pt>
                <c:pt idx="161">
                  <c:v>-13</c:v>
                </c:pt>
                <c:pt idx="162">
                  <c:v>-5</c:v>
                </c:pt>
                <c:pt idx="163">
                  <c:v>-7</c:v>
                </c:pt>
                <c:pt idx="164">
                  <c:v>-5</c:v>
                </c:pt>
                <c:pt idx="165">
                  <c:v>-4</c:v>
                </c:pt>
                <c:pt idx="166">
                  <c:v>-6</c:v>
                </c:pt>
                <c:pt idx="167">
                  <c:v>-12</c:v>
                </c:pt>
                <c:pt idx="168">
                  <c:v>-4</c:v>
                </c:pt>
                <c:pt idx="169">
                  <c:v>-6</c:v>
                </c:pt>
                <c:pt idx="170">
                  <c:v>-6</c:v>
                </c:pt>
                <c:pt idx="171">
                  <c:v>-13</c:v>
                </c:pt>
                <c:pt idx="172">
                  <c:v>-5</c:v>
                </c:pt>
                <c:pt idx="173">
                  <c:v>-9</c:v>
                </c:pt>
                <c:pt idx="174">
                  <c:v>-5</c:v>
                </c:pt>
                <c:pt idx="175">
                  <c:v>-10</c:v>
                </c:pt>
                <c:pt idx="176">
                  <c:v>-6</c:v>
                </c:pt>
                <c:pt idx="177">
                  <c:v>-12</c:v>
                </c:pt>
                <c:pt idx="178">
                  <c:v>-11</c:v>
                </c:pt>
                <c:pt idx="179">
                  <c:v>-6</c:v>
                </c:pt>
                <c:pt idx="180">
                  <c:v>-10</c:v>
                </c:pt>
                <c:pt idx="181">
                  <c:v>-11</c:v>
                </c:pt>
                <c:pt idx="182">
                  <c:v>-6</c:v>
                </c:pt>
                <c:pt idx="183">
                  <c:v>-8</c:v>
                </c:pt>
                <c:pt idx="184">
                  <c:v>-12</c:v>
                </c:pt>
                <c:pt idx="185">
                  <c:v>-7</c:v>
                </c:pt>
                <c:pt idx="186">
                  <c:v>-5</c:v>
                </c:pt>
                <c:pt idx="187">
                  <c:v>-13</c:v>
                </c:pt>
                <c:pt idx="188">
                  <c:v>-12</c:v>
                </c:pt>
                <c:pt idx="189">
                  <c:v>-9</c:v>
                </c:pt>
                <c:pt idx="190">
                  <c:v>-6</c:v>
                </c:pt>
                <c:pt idx="191">
                  <c:v>-11</c:v>
                </c:pt>
                <c:pt idx="192">
                  <c:v>-10</c:v>
                </c:pt>
                <c:pt idx="193">
                  <c:v>-4</c:v>
                </c:pt>
                <c:pt idx="194">
                  <c:v>-8</c:v>
                </c:pt>
                <c:pt idx="195">
                  <c:v>-3</c:v>
                </c:pt>
                <c:pt idx="196">
                  <c:v>-4</c:v>
                </c:pt>
                <c:pt idx="197">
                  <c:v>-4</c:v>
                </c:pt>
                <c:pt idx="198">
                  <c:v>-5</c:v>
                </c:pt>
                <c:pt idx="199">
                  <c:v>-10</c:v>
                </c:pt>
                <c:pt idx="200">
                  <c:v>-8</c:v>
                </c:pt>
                <c:pt idx="201">
                  <c:v>-10</c:v>
                </c:pt>
                <c:pt idx="202">
                  <c:v>-6</c:v>
                </c:pt>
                <c:pt idx="203">
                  <c:v>-12</c:v>
                </c:pt>
                <c:pt idx="204">
                  <c:v>-11</c:v>
                </c:pt>
                <c:pt idx="205">
                  <c:v>-4</c:v>
                </c:pt>
                <c:pt idx="206">
                  <c:v>-4</c:v>
                </c:pt>
                <c:pt idx="207">
                  <c:v>-5</c:v>
                </c:pt>
                <c:pt idx="208">
                  <c:v>-5</c:v>
                </c:pt>
                <c:pt idx="209">
                  <c:v>-7</c:v>
                </c:pt>
                <c:pt idx="210">
                  <c:v>-4</c:v>
                </c:pt>
                <c:pt idx="211">
                  <c:v>-4</c:v>
                </c:pt>
                <c:pt idx="212">
                  <c:v>-6</c:v>
                </c:pt>
                <c:pt idx="213">
                  <c:v>-8</c:v>
                </c:pt>
                <c:pt idx="214">
                  <c:v>-13</c:v>
                </c:pt>
                <c:pt idx="215">
                  <c:v>-10</c:v>
                </c:pt>
                <c:pt idx="216">
                  <c:v>-4</c:v>
                </c:pt>
                <c:pt idx="217">
                  <c:v>-8</c:v>
                </c:pt>
                <c:pt idx="218">
                  <c:v>-13</c:v>
                </c:pt>
                <c:pt idx="219">
                  <c:v>-7</c:v>
                </c:pt>
                <c:pt idx="220">
                  <c:v>-8</c:v>
                </c:pt>
                <c:pt idx="221">
                  <c:v>-11</c:v>
                </c:pt>
                <c:pt idx="222">
                  <c:v>-10</c:v>
                </c:pt>
                <c:pt idx="223">
                  <c:v>-12</c:v>
                </c:pt>
                <c:pt idx="224">
                  <c:v>-4</c:v>
                </c:pt>
                <c:pt idx="225">
                  <c:v>-9</c:v>
                </c:pt>
                <c:pt idx="226">
                  <c:v>-12</c:v>
                </c:pt>
                <c:pt idx="227">
                  <c:v>-10</c:v>
                </c:pt>
                <c:pt idx="228">
                  <c:v>-6</c:v>
                </c:pt>
                <c:pt idx="229">
                  <c:v>-9</c:v>
                </c:pt>
                <c:pt idx="230">
                  <c:v>-5</c:v>
                </c:pt>
                <c:pt idx="231">
                  <c:v>-13</c:v>
                </c:pt>
                <c:pt idx="232">
                  <c:v>-5</c:v>
                </c:pt>
                <c:pt idx="233">
                  <c:v>-4</c:v>
                </c:pt>
                <c:pt idx="234">
                  <c:v>-8</c:v>
                </c:pt>
                <c:pt idx="235">
                  <c:v>-6</c:v>
                </c:pt>
                <c:pt idx="236">
                  <c:v>-5</c:v>
                </c:pt>
                <c:pt idx="237">
                  <c:v>-11</c:v>
                </c:pt>
                <c:pt idx="238">
                  <c:v>-5</c:v>
                </c:pt>
                <c:pt idx="239">
                  <c:v>-6</c:v>
                </c:pt>
                <c:pt idx="240">
                  <c:v>-4</c:v>
                </c:pt>
                <c:pt idx="241">
                  <c:v>-12</c:v>
                </c:pt>
                <c:pt idx="242">
                  <c:v>-9</c:v>
                </c:pt>
                <c:pt idx="243">
                  <c:v>-4</c:v>
                </c:pt>
                <c:pt idx="244">
                  <c:v>-11</c:v>
                </c:pt>
                <c:pt idx="245">
                  <c:v>-6</c:v>
                </c:pt>
                <c:pt idx="246">
                  <c:v>-9</c:v>
                </c:pt>
                <c:pt idx="247">
                  <c:v>-6</c:v>
                </c:pt>
                <c:pt idx="248">
                  <c:v>-8</c:v>
                </c:pt>
                <c:pt idx="249">
                  <c:v>-4</c:v>
                </c:pt>
                <c:pt idx="250">
                  <c:v>-11</c:v>
                </c:pt>
                <c:pt idx="251">
                  <c:v>-4</c:v>
                </c:pt>
                <c:pt idx="252">
                  <c:v>-11</c:v>
                </c:pt>
                <c:pt idx="253">
                  <c:v>-3</c:v>
                </c:pt>
                <c:pt idx="254">
                  <c:v>-4</c:v>
                </c:pt>
                <c:pt idx="255">
                  <c:v>-2</c:v>
                </c:pt>
                <c:pt idx="256">
                  <c:v>-8</c:v>
                </c:pt>
                <c:pt idx="257">
                  <c:v>-4</c:v>
                </c:pt>
                <c:pt idx="258">
                  <c:v>-7</c:v>
                </c:pt>
                <c:pt idx="259">
                  <c:v>-1</c:v>
                </c:pt>
                <c:pt idx="260">
                  <c:v>-7</c:v>
                </c:pt>
                <c:pt idx="261">
                  <c:v>-7</c:v>
                </c:pt>
                <c:pt idx="262">
                  <c:v>-3</c:v>
                </c:pt>
                <c:pt idx="263">
                  <c:v>-3</c:v>
                </c:pt>
                <c:pt idx="264">
                  <c:v>-1</c:v>
                </c:pt>
                <c:pt idx="265">
                  <c:v>-2</c:v>
                </c:pt>
                <c:pt idx="266">
                  <c:v>-5</c:v>
                </c:pt>
                <c:pt idx="267">
                  <c:v>-7</c:v>
                </c:pt>
                <c:pt idx="268">
                  <c:v>-6</c:v>
                </c:pt>
                <c:pt idx="269">
                  <c:v>-6</c:v>
                </c:pt>
                <c:pt idx="270">
                  <c:v>-7</c:v>
                </c:pt>
                <c:pt idx="271">
                  <c:v>-5</c:v>
                </c:pt>
                <c:pt idx="272">
                  <c:v>-6</c:v>
                </c:pt>
                <c:pt idx="273">
                  <c:v>-1</c:v>
                </c:pt>
                <c:pt idx="274">
                  <c:v>-6</c:v>
                </c:pt>
                <c:pt idx="275">
                  <c:v>-5</c:v>
                </c:pt>
                <c:pt idx="276">
                  <c:v>-5</c:v>
                </c:pt>
                <c:pt idx="277">
                  <c:v>-4</c:v>
                </c:pt>
                <c:pt idx="278">
                  <c:v>-6</c:v>
                </c:pt>
                <c:pt idx="279">
                  <c:v>-8</c:v>
                </c:pt>
                <c:pt idx="280">
                  <c:v>-10</c:v>
                </c:pt>
                <c:pt idx="281">
                  <c:v>-2</c:v>
                </c:pt>
                <c:pt idx="282">
                  <c:v>-8</c:v>
                </c:pt>
                <c:pt idx="283">
                  <c:v>-3</c:v>
                </c:pt>
                <c:pt idx="284">
                  <c:v>-7</c:v>
                </c:pt>
                <c:pt idx="285">
                  <c:v>-9</c:v>
                </c:pt>
                <c:pt idx="286">
                  <c:v>-1</c:v>
                </c:pt>
                <c:pt idx="287">
                  <c:v>-3</c:v>
                </c:pt>
                <c:pt idx="288">
                  <c:v>-4</c:v>
                </c:pt>
                <c:pt idx="289">
                  <c:v>-8</c:v>
                </c:pt>
                <c:pt idx="290">
                  <c:v>-10</c:v>
                </c:pt>
                <c:pt idx="291">
                  <c:v>-10</c:v>
                </c:pt>
                <c:pt idx="292">
                  <c:v>-1</c:v>
                </c:pt>
                <c:pt idx="293">
                  <c:v>-4</c:v>
                </c:pt>
                <c:pt idx="294">
                  <c:v>-3</c:v>
                </c:pt>
                <c:pt idx="295">
                  <c:v>-8</c:v>
                </c:pt>
                <c:pt idx="296">
                  <c:v>-5</c:v>
                </c:pt>
                <c:pt idx="297">
                  <c:v>-8</c:v>
                </c:pt>
                <c:pt idx="298">
                  <c:v>-6</c:v>
                </c:pt>
                <c:pt idx="299">
                  <c:v>-4</c:v>
                </c:pt>
                <c:pt idx="300">
                  <c:v>-4</c:v>
                </c:pt>
                <c:pt idx="301">
                  <c:v>-2</c:v>
                </c:pt>
                <c:pt idx="302">
                  <c:v>-1</c:v>
                </c:pt>
                <c:pt idx="303">
                  <c:v>-5</c:v>
                </c:pt>
                <c:pt idx="304">
                  <c:v>-7</c:v>
                </c:pt>
                <c:pt idx="305">
                  <c:v>-1</c:v>
                </c:pt>
                <c:pt idx="306">
                  <c:v>-4</c:v>
                </c:pt>
                <c:pt idx="307">
                  <c:v>-9</c:v>
                </c:pt>
                <c:pt idx="308">
                  <c:v>-4</c:v>
                </c:pt>
                <c:pt idx="309">
                  <c:v>-7</c:v>
                </c:pt>
                <c:pt idx="310">
                  <c:v>-3</c:v>
                </c:pt>
                <c:pt idx="311">
                  <c:v>-10</c:v>
                </c:pt>
                <c:pt idx="312">
                  <c:v>-5</c:v>
                </c:pt>
                <c:pt idx="313">
                  <c:v>-6</c:v>
                </c:pt>
                <c:pt idx="314">
                  <c:v>-3</c:v>
                </c:pt>
                <c:pt idx="315">
                  <c:v>-4</c:v>
                </c:pt>
                <c:pt idx="316">
                  <c:v>-3</c:v>
                </c:pt>
                <c:pt idx="317">
                  <c:v>-6</c:v>
                </c:pt>
                <c:pt idx="318">
                  <c:v>-9</c:v>
                </c:pt>
                <c:pt idx="319">
                  <c:v>-1</c:v>
                </c:pt>
                <c:pt idx="320">
                  <c:v>-10</c:v>
                </c:pt>
                <c:pt idx="321">
                  <c:v>-10</c:v>
                </c:pt>
                <c:pt idx="322">
                  <c:v>-7</c:v>
                </c:pt>
                <c:pt idx="323">
                  <c:v>-2</c:v>
                </c:pt>
                <c:pt idx="324">
                  <c:v>-4</c:v>
                </c:pt>
                <c:pt idx="325">
                  <c:v>-10</c:v>
                </c:pt>
                <c:pt idx="326">
                  <c:v>-3</c:v>
                </c:pt>
                <c:pt idx="327">
                  <c:v>-9</c:v>
                </c:pt>
                <c:pt idx="328">
                  <c:v>-1</c:v>
                </c:pt>
                <c:pt idx="329">
                  <c:v>-1</c:v>
                </c:pt>
                <c:pt idx="330">
                  <c:v>-5</c:v>
                </c:pt>
                <c:pt idx="331">
                  <c:v>-4</c:v>
                </c:pt>
                <c:pt idx="332">
                  <c:v>-9</c:v>
                </c:pt>
                <c:pt idx="333">
                  <c:v>-2</c:v>
                </c:pt>
                <c:pt idx="334">
                  <c:v>-6</c:v>
                </c:pt>
                <c:pt idx="335">
                  <c:v>-2</c:v>
                </c:pt>
                <c:pt idx="336">
                  <c:v>-10</c:v>
                </c:pt>
                <c:pt idx="337">
                  <c:v>-1</c:v>
                </c:pt>
                <c:pt idx="338">
                  <c:v>-3</c:v>
                </c:pt>
                <c:pt idx="339">
                  <c:v>-6</c:v>
                </c:pt>
                <c:pt idx="340">
                  <c:v>-5</c:v>
                </c:pt>
                <c:pt idx="341">
                  <c:v>-8</c:v>
                </c:pt>
                <c:pt idx="342">
                  <c:v>-5</c:v>
                </c:pt>
                <c:pt idx="343">
                  <c:v>-5</c:v>
                </c:pt>
                <c:pt idx="344">
                  <c:v>-6</c:v>
                </c:pt>
                <c:pt idx="345">
                  <c:v>-6</c:v>
                </c:pt>
                <c:pt idx="346">
                  <c:v>-7</c:v>
                </c:pt>
                <c:pt idx="347">
                  <c:v>-7</c:v>
                </c:pt>
                <c:pt idx="348">
                  <c:v>-8</c:v>
                </c:pt>
                <c:pt idx="349">
                  <c:v>-3</c:v>
                </c:pt>
                <c:pt idx="350">
                  <c:v>-1</c:v>
                </c:pt>
                <c:pt idx="351">
                  <c:v>-6</c:v>
                </c:pt>
                <c:pt idx="352">
                  <c:v>-9</c:v>
                </c:pt>
                <c:pt idx="353">
                  <c:v>-7</c:v>
                </c:pt>
                <c:pt idx="354">
                  <c:v>-3</c:v>
                </c:pt>
                <c:pt idx="355">
                  <c:v>-5</c:v>
                </c:pt>
                <c:pt idx="356">
                  <c:v>-8</c:v>
                </c:pt>
                <c:pt idx="357">
                  <c:v>-4</c:v>
                </c:pt>
                <c:pt idx="358">
                  <c:v>-1</c:v>
                </c:pt>
                <c:pt idx="359">
                  <c:v>-10</c:v>
                </c:pt>
                <c:pt idx="360">
                  <c:v>-4</c:v>
                </c:pt>
                <c:pt idx="361">
                  <c:v>-9</c:v>
                </c:pt>
                <c:pt idx="362">
                  <c:v>-10</c:v>
                </c:pt>
                <c:pt idx="363">
                  <c:v>-1</c:v>
                </c:pt>
                <c:pt idx="364">
                  <c:v>-5</c:v>
                </c:pt>
                <c:pt idx="365">
                  <c:v>-8</c:v>
                </c:pt>
                <c:pt idx="366">
                  <c:v>-2</c:v>
                </c:pt>
                <c:pt idx="367">
                  <c:v>-5</c:v>
                </c:pt>
                <c:pt idx="368">
                  <c:v>-4</c:v>
                </c:pt>
                <c:pt idx="369">
                  <c:v>-10</c:v>
                </c:pt>
                <c:pt idx="370">
                  <c:v>-6</c:v>
                </c:pt>
                <c:pt idx="371">
                  <c:v>-8</c:v>
                </c:pt>
                <c:pt idx="372">
                  <c:v>-3</c:v>
                </c:pt>
                <c:pt idx="373">
                  <c:v>-9</c:v>
                </c:pt>
                <c:pt idx="374">
                  <c:v>-9</c:v>
                </c:pt>
                <c:pt idx="375">
                  <c:v>-1</c:v>
                </c:pt>
                <c:pt idx="376">
                  <c:v>-5</c:v>
                </c:pt>
                <c:pt idx="377">
                  <c:v>-7</c:v>
                </c:pt>
                <c:pt idx="378">
                  <c:v>-8</c:v>
                </c:pt>
                <c:pt idx="379">
                  <c:v>-1</c:v>
                </c:pt>
                <c:pt idx="380">
                  <c:v>-6</c:v>
                </c:pt>
                <c:pt idx="381">
                  <c:v>-7</c:v>
                </c:pt>
                <c:pt idx="382">
                  <c:v>-9</c:v>
                </c:pt>
                <c:pt idx="383">
                  <c:v>-3</c:v>
                </c:pt>
                <c:pt idx="384">
                  <c:v>-6</c:v>
                </c:pt>
                <c:pt idx="385">
                  <c:v>-3</c:v>
                </c:pt>
                <c:pt idx="386">
                  <c:v>-7</c:v>
                </c:pt>
                <c:pt idx="387">
                  <c:v>-1</c:v>
                </c:pt>
                <c:pt idx="388">
                  <c:v>-1</c:v>
                </c:pt>
                <c:pt idx="389">
                  <c:v>-7</c:v>
                </c:pt>
                <c:pt idx="390">
                  <c:v>-6</c:v>
                </c:pt>
                <c:pt idx="391">
                  <c:v>-8</c:v>
                </c:pt>
                <c:pt idx="392">
                  <c:v>-5</c:v>
                </c:pt>
                <c:pt idx="393">
                  <c:v>-4</c:v>
                </c:pt>
                <c:pt idx="394">
                  <c:v>-2</c:v>
                </c:pt>
                <c:pt idx="395">
                  <c:v>-9</c:v>
                </c:pt>
                <c:pt idx="396">
                  <c:v>-6</c:v>
                </c:pt>
                <c:pt idx="397">
                  <c:v>-4</c:v>
                </c:pt>
                <c:pt idx="398">
                  <c:v>-8</c:v>
                </c:pt>
                <c:pt idx="399">
                  <c:v>-3</c:v>
                </c:pt>
                <c:pt idx="400">
                  <c:v>-5</c:v>
                </c:pt>
                <c:pt idx="401">
                  <c:v>-6</c:v>
                </c:pt>
                <c:pt idx="402">
                  <c:v>-9</c:v>
                </c:pt>
                <c:pt idx="403">
                  <c:v>-7</c:v>
                </c:pt>
                <c:pt idx="404">
                  <c:v>-5</c:v>
                </c:pt>
                <c:pt idx="405">
                  <c:v>-7</c:v>
                </c:pt>
                <c:pt idx="406">
                  <c:v>-1</c:v>
                </c:pt>
                <c:pt idx="407">
                  <c:v>-8</c:v>
                </c:pt>
                <c:pt idx="408">
                  <c:v>-4</c:v>
                </c:pt>
                <c:pt idx="409">
                  <c:v>-7</c:v>
                </c:pt>
                <c:pt idx="410">
                  <c:v>-10</c:v>
                </c:pt>
                <c:pt idx="411">
                  <c:v>-3</c:v>
                </c:pt>
                <c:pt idx="412">
                  <c:v>-4</c:v>
                </c:pt>
                <c:pt idx="413">
                  <c:v>-3</c:v>
                </c:pt>
                <c:pt idx="414">
                  <c:v>-6</c:v>
                </c:pt>
                <c:pt idx="415">
                  <c:v>-7</c:v>
                </c:pt>
                <c:pt idx="416">
                  <c:v>-4</c:v>
                </c:pt>
                <c:pt idx="417">
                  <c:v>-5</c:v>
                </c:pt>
                <c:pt idx="418">
                  <c:v>-1</c:v>
                </c:pt>
                <c:pt idx="419">
                  <c:v>-8</c:v>
                </c:pt>
                <c:pt idx="420">
                  <c:v>-8</c:v>
                </c:pt>
                <c:pt idx="421">
                  <c:v>-3</c:v>
                </c:pt>
                <c:pt idx="422">
                  <c:v>-2</c:v>
                </c:pt>
                <c:pt idx="423">
                  <c:v>-9</c:v>
                </c:pt>
                <c:pt idx="424">
                  <c:v>-8</c:v>
                </c:pt>
                <c:pt idx="425">
                  <c:v>-9</c:v>
                </c:pt>
                <c:pt idx="426">
                  <c:v>-7</c:v>
                </c:pt>
                <c:pt idx="427">
                  <c:v>-6</c:v>
                </c:pt>
                <c:pt idx="428">
                  <c:v>-5</c:v>
                </c:pt>
                <c:pt idx="429">
                  <c:v>-3</c:v>
                </c:pt>
                <c:pt idx="430">
                  <c:v>-2</c:v>
                </c:pt>
                <c:pt idx="431">
                  <c:v>-4</c:v>
                </c:pt>
                <c:pt idx="432">
                  <c:v>-2</c:v>
                </c:pt>
                <c:pt idx="433">
                  <c:v>-6</c:v>
                </c:pt>
                <c:pt idx="434">
                  <c:v>-10</c:v>
                </c:pt>
                <c:pt idx="435">
                  <c:v>-7</c:v>
                </c:pt>
                <c:pt idx="436">
                  <c:v>-1</c:v>
                </c:pt>
                <c:pt idx="437">
                  <c:v>-2</c:v>
                </c:pt>
                <c:pt idx="438">
                  <c:v>-2</c:v>
                </c:pt>
                <c:pt idx="439">
                  <c:v>-3</c:v>
                </c:pt>
                <c:pt idx="440">
                  <c:v>-5</c:v>
                </c:pt>
                <c:pt idx="441">
                  <c:v>-2</c:v>
                </c:pt>
                <c:pt idx="442">
                  <c:v>-3</c:v>
                </c:pt>
                <c:pt idx="443">
                  <c:v>-5</c:v>
                </c:pt>
                <c:pt idx="444">
                  <c:v>-8</c:v>
                </c:pt>
                <c:pt idx="445">
                  <c:v>-7</c:v>
                </c:pt>
                <c:pt idx="446">
                  <c:v>-9</c:v>
                </c:pt>
                <c:pt idx="447">
                  <c:v>-6</c:v>
                </c:pt>
                <c:pt idx="448">
                  <c:v>-10</c:v>
                </c:pt>
                <c:pt idx="449">
                  <c:v>-2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E8E-9645-926E-3830DABCE972}"/>
            </c:ext>
          </c:extLst>
        </c:ser>
        <c:ser>
          <c:idx val="26"/>
          <c:order val="26"/>
          <c:tx>
            <c:strRef>
              <c:f>balance_sheet!$AF$5</c:f>
              <c:strCache>
                <c:ptCount val="1"/>
                <c:pt idx="0">
                  <c:v>Banking Department deposits from Central Government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balance_sheet!$AF$6:$AF$1209</c:f>
              <c:numCache>
                <c:formatCode>General</c:formatCode>
                <c:ptCount val="1204"/>
                <c:pt idx="0">
                  <c:v>-1278</c:v>
                </c:pt>
                <c:pt idx="1">
                  <c:v>-1115</c:v>
                </c:pt>
                <c:pt idx="2">
                  <c:v>-889</c:v>
                </c:pt>
                <c:pt idx="3">
                  <c:v>-1198</c:v>
                </c:pt>
                <c:pt idx="4">
                  <c:v>-1274</c:v>
                </c:pt>
                <c:pt idx="5">
                  <c:v>-1211</c:v>
                </c:pt>
                <c:pt idx="6">
                  <c:v>-1103</c:v>
                </c:pt>
                <c:pt idx="7">
                  <c:v>-1153</c:v>
                </c:pt>
                <c:pt idx="8">
                  <c:v>-1283</c:v>
                </c:pt>
                <c:pt idx="9">
                  <c:v>-1143</c:v>
                </c:pt>
                <c:pt idx="10">
                  <c:v>-1141</c:v>
                </c:pt>
                <c:pt idx="11">
                  <c:v>-861</c:v>
                </c:pt>
                <c:pt idx="12">
                  <c:v>-778</c:v>
                </c:pt>
                <c:pt idx="13">
                  <c:v>-1264</c:v>
                </c:pt>
                <c:pt idx="14">
                  <c:v>-1270</c:v>
                </c:pt>
                <c:pt idx="15">
                  <c:v>-949</c:v>
                </c:pt>
                <c:pt idx="16">
                  <c:v>-1243</c:v>
                </c:pt>
                <c:pt idx="17">
                  <c:v>-1241</c:v>
                </c:pt>
                <c:pt idx="18">
                  <c:v>-906</c:v>
                </c:pt>
                <c:pt idx="19">
                  <c:v>-939</c:v>
                </c:pt>
                <c:pt idx="20">
                  <c:v>-618</c:v>
                </c:pt>
                <c:pt idx="21">
                  <c:v>-1260</c:v>
                </c:pt>
                <c:pt idx="22">
                  <c:v>-1264</c:v>
                </c:pt>
                <c:pt idx="23">
                  <c:v>-1093</c:v>
                </c:pt>
                <c:pt idx="24">
                  <c:v>-908</c:v>
                </c:pt>
                <c:pt idx="25">
                  <c:v>-844</c:v>
                </c:pt>
                <c:pt idx="26">
                  <c:v>-1313</c:v>
                </c:pt>
                <c:pt idx="27">
                  <c:v>-1315</c:v>
                </c:pt>
                <c:pt idx="28">
                  <c:v>-1123</c:v>
                </c:pt>
                <c:pt idx="29">
                  <c:v>-1307</c:v>
                </c:pt>
                <c:pt idx="30">
                  <c:v>-1298</c:v>
                </c:pt>
                <c:pt idx="31">
                  <c:v>-1182</c:v>
                </c:pt>
                <c:pt idx="32">
                  <c:v>-1079</c:v>
                </c:pt>
                <c:pt idx="33">
                  <c:v>-826</c:v>
                </c:pt>
                <c:pt idx="34">
                  <c:v>-1258</c:v>
                </c:pt>
                <c:pt idx="35">
                  <c:v>-1141</c:v>
                </c:pt>
                <c:pt idx="36">
                  <c:v>-1234</c:v>
                </c:pt>
                <c:pt idx="37">
                  <c:v>-1003</c:v>
                </c:pt>
                <c:pt idx="38">
                  <c:v>-214</c:v>
                </c:pt>
                <c:pt idx="39">
                  <c:v>-1267</c:v>
                </c:pt>
                <c:pt idx="40">
                  <c:v>-729</c:v>
                </c:pt>
                <c:pt idx="41">
                  <c:v>-1018</c:v>
                </c:pt>
                <c:pt idx="42">
                  <c:v>-1278</c:v>
                </c:pt>
                <c:pt idx="43">
                  <c:v>-1253</c:v>
                </c:pt>
                <c:pt idx="44">
                  <c:v>-1206</c:v>
                </c:pt>
                <c:pt idx="45">
                  <c:v>-1218</c:v>
                </c:pt>
                <c:pt idx="46">
                  <c:v>-1109</c:v>
                </c:pt>
                <c:pt idx="47">
                  <c:v>-289</c:v>
                </c:pt>
                <c:pt idx="48">
                  <c:v>-257</c:v>
                </c:pt>
                <c:pt idx="49">
                  <c:v>-237</c:v>
                </c:pt>
                <c:pt idx="50">
                  <c:v>-216</c:v>
                </c:pt>
                <c:pt idx="51">
                  <c:v>-229</c:v>
                </c:pt>
                <c:pt idx="52">
                  <c:v>-225</c:v>
                </c:pt>
                <c:pt idx="53">
                  <c:v>-217</c:v>
                </c:pt>
                <c:pt idx="54">
                  <c:v>-213</c:v>
                </c:pt>
                <c:pt idx="55">
                  <c:v>-160</c:v>
                </c:pt>
                <c:pt idx="56">
                  <c:v>-165</c:v>
                </c:pt>
                <c:pt idx="57">
                  <c:v>-153</c:v>
                </c:pt>
                <c:pt idx="58">
                  <c:v>-153</c:v>
                </c:pt>
                <c:pt idx="59">
                  <c:v>-161</c:v>
                </c:pt>
                <c:pt idx="60">
                  <c:v>-153</c:v>
                </c:pt>
                <c:pt idx="61">
                  <c:v>-169</c:v>
                </c:pt>
                <c:pt idx="62">
                  <c:v>-151</c:v>
                </c:pt>
                <c:pt idx="63">
                  <c:v>-151</c:v>
                </c:pt>
                <c:pt idx="64">
                  <c:v>-202</c:v>
                </c:pt>
                <c:pt idx="65">
                  <c:v>-221</c:v>
                </c:pt>
                <c:pt idx="66">
                  <c:v>-201</c:v>
                </c:pt>
                <c:pt idx="67">
                  <c:v>-212</c:v>
                </c:pt>
                <c:pt idx="68">
                  <c:v>-192</c:v>
                </c:pt>
                <c:pt idx="69">
                  <c:v>-197</c:v>
                </c:pt>
                <c:pt idx="70">
                  <c:v>-182</c:v>
                </c:pt>
                <c:pt idx="71">
                  <c:v>-180</c:v>
                </c:pt>
                <c:pt idx="72">
                  <c:v>-182</c:v>
                </c:pt>
                <c:pt idx="73">
                  <c:v>-158</c:v>
                </c:pt>
                <c:pt idx="74">
                  <c:v>-160</c:v>
                </c:pt>
                <c:pt idx="75">
                  <c:v>-155</c:v>
                </c:pt>
                <c:pt idx="76">
                  <c:v>-149</c:v>
                </c:pt>
                <c:pt idx="77">
                  <c:v>-157</c:v>
                </c:pt>
                <c:pt idx="78">
                  <c:v>-134</c:v>
                </c:pt>
                <c:pt idx="79">
                  <c:v>-137</c:v>
                </c:pt>
                <c:pt idx="80">
                  <c:v>-105</c:v>
                </c:pt>
                <c:pt idx="81">
                  <c:v>-141</c:v>
                </c:pt>
                <c:pt idx="82">
                  <c:v>-131</c:v>
                </c:pt>
                <c:pt idx="83">
                  <c:v>-135</c:v>
                </c:pt>
                <c:pt idx="84">
                  <c:v>-127</c:v>
                </c:pt>
                <c:pt idx="85">
                  <c:v>-126</c:v>
                </c:pt>
                <c:pt idx="86">
                  <c:v>-169</c:v>
                </c:pt>
                <c:pt idx="87">
                  <c:v>-161</c:v>
                </c:pt>
                <c:pt idx="88">
                  <c:v>-141</c:v>
                </c:pt>
                <c:pt idx="89">
                  <c:v>-136</c:v>
                </c:pt>
                <c:pt idx="90">
                  <c:v>-136</c:v>
                </c:pt>
                <c:pt idx="91">
                  <c:v>-144</c:v>
                </c:pt>
                <c:pt idx="92">
                  <c:v>-152</c:v>
                </c:pt>
                <c:pt idx="93">
                  <c:v>-177</c:v>
                </c:pt>
                <c:pt idx="94">
                  <c:v>-207</c:v>
                </c:pt>
                <c:pt idx="95">
                  <c:v>-180</c:v>
                </c:pt>
                <c:pt idx="96">
                  <c:v>-203</c:v>
                </c:pt>
                <c:pt idx="97">
                  <c:v>-239</c:v>
                </c:pt>
                <c:pt idx="98">
                  <c:v>-241</c:v>
                </c:pt>
                <c:pt idx="99">
                  <c:v>-189</c:v>
                </c:pt>
                <c:pt idx="100">
                  <c:v>-206</c:v>
                </c:pt>
                <c:pt idx="101">
                  <c:v>-195</c:v>
                </c:pt>
                <c:pt idx="102">
                  <c:v>-211</c:v>
                </c:pt>
                <c:pt idx="103">
                  <c:v>-164</c:v>
                </c:pt>
                <c:pt idx="104">
                  <c:v>-186</c:v>
                </c:pt>
                <c:pt idx="105">
                  <c:v>-192</c:v>
                </c:pt>
                <c:pt idx="106">
                  <c:v>-227</c:v>
                </c:pt>
                <c:pt idx="107">
                  <c:v>-237</c:v>
                </c:pt>
                <c:pt idx="108">
                  <c:v>-252</c:v>
                </c:pt>
                <c:pt idx="109">
                  <c:v>-236</c:v>
                </c:pt>
                <c:pt idx="110">
                  <c:v>-217</c:v>
                </c:pt>
                <c:pt idx="111">
                  <c:v>-226</c:v>
                </c:pt>
                <c:pt idx="112">
                  <c:v>-182</c:v>
                </c:pt>
                <c:pt idx="113">
                  <c:v>-165</c:v>
                </c:pt>
                <c:pt idx="114">
                  <c:v>-182</c:v>
                </c:pt>
                <c:pt idx="115">
                  <c:v>-183</c:v>
                </c:pt>
                <c:pt idx="116">
                  <c:v>-287</c:v>
                </c:pt>
                <c:pt idx="117">
                  <c:v>-558</c:v>
                </c:pt>
                <c:pt idx="118">
                  <c:v>-487</c:v>
                </c:pt>
                <c:pt idx="119">
                  <c:v>-461</c:v>
                </c:pt>
                <c:pt idx="120">
                  <c:v>-336</c:v>
                </c:pt>
                <c:pt idx="121">
                  <c:v>-411</c:v>
                </c:pt>
                <c:pt idx="122">
                  <c:v>-319</c:v>
                </c:pt>
                <c:pt idx="123">
                  <c:v>-427</c:v>
                </c:pt>
                <c:pt idx="124">
                  <c:v>-380</c:v>
                </c:pt>
                <c:pt idx="125">
                  <c:v>-388</c:v>
                </c:pt>
                <c:pt idx="126">
                  <c:v>-452</c:v>
                </c:pt>
                <c:pt idx="127">
                  <c:v>-410</c:v>
                </c:pt>
                <c:pt idx="128">
                  <c:v>-404</c:v>
                </c:pt>
                <c:pt idx="129">
                  <c:v>-452</c:v>
                </c:pt>
                <c:pt idx="130">
                  <c:v>-452</c:v>
                </c:pt>
                <c:pt idx="131">
                  <c:v>-427</c:v>
                </c:pt>
                <c:pt idx="132">
                  <c:v>-455</c:v>
                </c:pt>
                <c:pt idx="133">
                  <c:v>-464</c:v>
                </c:pt>
                <c:pt idx="134">
                  <c:v>-399</c:v>
                </c:pt>
                <c:pt idx="135">
                  <c:v>-395</c:v>
                </c:pt>
                <c:pt idx="136">
                  <c:v>-401</c:v>
                </c:pt>
                <c:pt idx="137">
                  <c:v>-371</c:v>
                </c:pt>
                <c:pt idx="138">
                  <c:v>-355</c:v>
                </c:pt>
                <c:pt idx="139">
                  <c:v>-406</c:v>
                </c:pt>
                <c:pt idx="140">
                  <c:v>-394</c:v>
                </c:pt>
                <c:pt idx="141">
                  <c:v>-395</c:v>
                </c:pt>
                <c:pt idx="142">
                  <c:v>-392</c:v>
                </c:pt>
                <c:pt idx="143">
                  <c:v>-431</c:v>
                </c:pt>
                <c:pt idx="144">
                  <c:v>-401</c:v>
                </c:pt>
                <c:pt idx="145">
                  <c:v>-472</c:v>
                </c:pt>
                <c:pt idx="146">
                  <c:v>-402</c:v>
                </c:pt>
                <c:pt idx="147">
                  <c:v>-386</c:v>
                </c:pt>
                <c:pt idx="148">
                  <c:v>-385</c:v>
                </c:pt>
                <c:pt idx="149">
                  <c:v>-402</c:v>
                </c:pt>
                <c:pt idx="150">
                  <c:v>-357</c:v>
                </c:pt>
                <c:pt idx="151">
                  <c:v>-414</c:v>
                </c:pt>
                <c:pt idx="152">
                  <c:v>-377</c:v>
                </c:pt>
                <c:pt idx="153">
                  <c:v>-361</c:v>
                </c:pt>
                <c:pt idx="154">
                  <c:v>-391</c:v>
                </c:pt>
                <c:pt idx="155">
                  <c:v>-382</c:v>
                </c:pt>
                <c:pt idx="156">
                  <c:v>-430</c:v>
                </c:pt>
                <c:pt idx="157">
                  <c:v>-358</c:v>
                </c:pt>
                <c:pt idx="158">
                  <c:v>-357</c:v>
                </c:pt>
                <c:pt idx="159">
                  <c:v>-386</c:v>
                </c:pt>
                <c:pt idx="160">
                  <c:v>-328</c:v>
                </c:pt>
                <c:pt idx="161">
                  <c:v>-548</c:v>
                </c:pt>
                <c:pt idx="162">
                  <c:v>-387</c:v>
                </c:pt>
                <c:pt idx="163">
                  <c:v>-409</c:v>
                </c:pt>
                <c:pt idx="164">
                  <c:v>-178</c:v>
                </c:pt>
                <c:pt idx="165">
                  <c:v>-399</c:v>
                </c:pt>
                <c:pt idx="166">
                  <c:v>-484</c:v>
                </c:pt>
                <c:pt idx="167">
                  <c:v>-538</c:v>
                </c:pt>
                <c:pt idx="168">
                  <c:v>-487</c:v>
                </c:pt>
                <c:pt idx="169">
                  <c:v>-668</c:v>
                </c:pt>
                <c:pt idx="170">
                  <c:v>-462</c:v>
                </c:pt>
                <c:pt idx="171">
                  <c:v>-437</c:v>
                </c:pt>
                <c:pt idx="172">
                  <c:v>-427</c:v>
                </c:pt>
                <c:pt idx="173">
                  <c:v>-427</c:v>
                </c:pt>
                <c:pt idx="174">
                  <c:v>-419</c:v>
                </c:pt>
                <c:pt idx="175">
                  <c:v>-408</c:v>
                </c:pt>
                <c:pt idx="176">
                  <c:v>-382</c:v>
                </c:pt>
                <c:pt idx="177">
                  <c:v>-415</c:v>
                </c:pt>
                <c:pt idx="178">
                  <c:v>-387</c:v>
                </c:pt>
                <c:pt idx="179">
                  <c:v>-424</c:v>
                </c:pt>
                <c:pt idx="180">
                  <c:v>-407</c:v>
                </c:pt>
                <c:pt idx="181">
                  <c:v>-396</c:v>
                </c:pt>
                <c:pt idx="182">
                  <c:v>-402</c:v>
                </c:pt>
                <c:pt idx="183">
                  <c:v>-394</c:v>
                </c:pt>
                <c:pt idx="184">
                  <c:v>-453</c:v>
                </c:pt>
                <c:pt idx="185">
                  <c:v>-423</c:v>
                </c:pt>
                <c:pt idx="186">
                  <c:v>-433</c:v>
                </c:pt>
                <c:pt idx="187">
                  <c:v>-407</c:v>
                </c:pt>
                <c:pt idx="188">
                  <c:v>-416</c:v>
                </c:pt>
                <c:pt idx="189">
                  <c:v>-412</c:v>
                </c:pt>
                <c:pt idx="190">
                  <c:v>-446</c:v>
                </c:pt>
                <c:pt idx="191">
                  <c:v>-398</c:v>
                </c:pt>
                <c:pt idx="192">
                  <c:v>-378</c:v>
                </c:pt>
                <c:pt idx="193">
                  <c:v>-384</c:v>
                </c:pt>
                <c:pt idx="194">
                  <c:v>-405</c:v>
                </c:pt>
                <c:pt idx="195">
                  <c:v>-392</c:v>
                </c:pt>
                <c:pt idx="196">
                  <c:v>-377</c:v>
                </c:pt>
                <c:pt idx="197">
                  <c:v>-359</c:v>
                </c:pt>
                <c:pt idx="198">
                  <c:v>-386</c:v>
                </c:pt>
                <c:pt idx="199">
                  <c:v>-444</c:v>
                </c:pt>
                <c:pt idx="200">
                  <c:v>-419</c:v>
                </c:pt>
                <c:pt idx="201">
                  <c:v>-390</c:v>
                </c:pt>
                <c:pt idx="202">
                  <c:v>-381</c:v>
                </c:pt>
                <c:pt idx="203">
                  <c:v>-424</c:v>
                </c:pt>
                <c:pt idx="204">
                  <c:v>-379</c:v>
                </c:pt>
                <c:pt idx="205">
                  <c:v>-398</c:v>
                </c:pt>
                <c:pt idx="206">
                  <c:v>-437</c:v>
                </c:pt>
                <c:pt idx="207">
                  <c:v>-452</c:v>
                </c:pt>
                <c:pt idx="208">
                  <c:v>-452</c:v>
                </c:pt>
                <c:pt idx="209">
                  <c:v>-412</c:v>
                </c:pt>
                <c:pt idx="210">
                  <c:v>-487</c:v>
                </c:pt>
                <c:pt idx="211">
                  <c:v>-438</c:v>
                </c:pt>
                <c:pt idx="212">
                  <c:v>-373</c:v>
                </c:pt>
                <c:pt idx="213">
                  <c:v>-443</c:v>
                </c:pt>
                <c:pt idx="214">
                  <c:v>-387</c:v>
                </c:pt>
                <c:pt idx="215">
                  <c:v>-378</c:v>
                </c:pt>
                <c:pt idx="216">
                  <c:v>-372</c:v>
                </c:pt>
                <c:pt idx="217">
                  <c:v>-613</c:v>
                </c:pt>
                <c:pt idx="218">
                  <c:v>-388</c:v>
                </c:pt>
                <c:pt idx="219">
                  <c:v>-386</c:v>
                </c:pt>
                <c:pt idx="220">
                  <c:v>-419</c:v>
                </c:pt>
                <c:pt idx="221">
                  <c:v>-381</c:v>
                </c:pt>
                <c:pt idx="222">
                  <c:v>-384</c:v>
                </c:pt>
                <c:pt idx="223">
                  <c:v>-429</c:v>
                </c:pt>
                <c:pt idx="224">
                  <c:v>-394</c:v>
                </c:pt>
                <c:pt idx="225">
                  <c:v>-396</c:v>
                </c:pt>
                <c:pt idx="226">
                  <c:v>-379</c:v>
                </c:pt>
                <c:pt idx="227">
                  <c:v>-427</c:v>
                </c:pt>
                <c:pt idx="228">
                  <c:v>-403</c:v>
                </c:pt>
                <c:pt idx="229">
                  <c:v>-411</c:v>
                </c:pt>
                <c:pt idx="230">
                  <c:v>-422</c:v>
                </c:pt>
                <c:pt idx="231">
                  <c:v>-396</c:v>
                </c:pt>
                <c:pt idx="232">
                  <c:v>-440</c:v>
                </c:pt>
                <c:pt idx="233">
                  <c:v>-404</c:v>
                </c:pt>
                <c:pt idx="234">
                  <c:v>-487</c:v>
                </c:pt>
                <c:pt idx="235">
                  <c:v>-632</c:v>
                </c:pt>
                <c:pt idx="236">
                  <c:v>-410</c:v>
                </c:pt>
                <c:pt idx="237">
                  <c:v>-432</c:v>
                </c:pt>
                <c:pt idx="238">
                  <c:v>-460</c:v>
                </c:pt>
                <c:pt idx="239">
                  <c:v>-1085</c:v>
                </c:pt>
                <c:pt idx="240">
                  <c:v>-442</c:v>
                </c:pt>
                <c:pt idx="241">
                  <c:v>-386</c:v>
                </c:pt>
                <c:pt idx="242">
                  <c:v>-334</c:v>
                </c:pt>
                <c:pt idx="243">
                  <c:v>-491</c:v>
                </c:pt>
                <c:pt idx="244">
                  <c:v>-549</c:v>
                </c:pt>
                <c:pt idx="245">
                  <c:v>-361</c:v>
                </c:pt>
                <c:pt idx="246">
                  <c:v>-413</c:v>
                </c:pt>
                <c:pt idx="247">
                  <c:v>-432</c:v>
                </c:pt>
                <c:pt idx="248">
                  <c:v>-806</c:v>
                </c:pt>
                <c:pt idx="249">
                  <c:v>-419</c:v>
                </c:pt>
                <c:pt idx="250">
                  <c:v>-415</c:v>
                </c:pt>
                <c:pt idx="251">
                  <c:v>-425</c:v>
                </c:pt>
                <c:pt idx="252">
                  <c:v>-778</c:v>
                </c:pt>
                <c:pt idx="253">
                  <c:v>-540</c:v>
                </c:pt>
                <c:pt idx="254">
                  <c:v>-414</c:v>
                </c:pt>
                <c:pt idx="255">
                  <c:v>-453</c:v>
                </c:pt>
                <c:pt idx="256">
                  <c:v>-545</c:v>
                </c:pt>
                <c:pt idx="257">
                  <c:v>-569</c:v>
                </c:pt>
                <c:pt idx="258">
                  <c:v>-394</c:v>
                </c:pt>
                <c:pt idx="259">
                  <c:v>-414</c:v>
                </c:pt>
                <c:pt idx="260">
                  <c:v>-616</c:v>
                </c:pt>
                <c:pt idx="261">
                  <c:v>-616</c:v>
                </c:pt>
                <c:pt idx="262">
                  <c:v>-690</c:v>
                </c:pt>
                <c:pt idx="263">
                  <c:v>-690</c:v>
                </c:pt>
                <c:pt idx="264">
                  <c:v>-486</c:v>
                </c:pt>
                <c:pt idx="265">
                  <c:v>-503</c:v>
                </c:pt>
                <c:pt idx="266">
                  <c:v>-467</c:v>
                </c:pt>
                <c:pt idx="267">
                  <c:v>-685</c:v>
                </c:pt>
                <c:pt idx="268">
                  <c:v>-855</c:v>
                </c:pt>
                <c:pt idx="269">
                  <c:v>-401</c:v>
                </c:pt>
                <c:pt idx="270">
                  <c:v>-469</c:v>
                </c:pt>
                <c:pt idx="271">
                  <c:v>-545</c:v>
                </c:pt>
                <c:pt idx="272">
                  <c:v>-471</c:v>
                </c:pt>
                <c:pt idx="273">
                  <c:v>-391</c:v>
                </c:pt>
                <c:pt idx="274">
                  <c:v>-462</c:v>
                </c:pt>
                <c:pt idx="275">
                  <c:v>-456</c:v>
                </c:pt>
                <c:pt idx="276">
                  <c:v>-721</c:v>
                </c:pt>
                <c:pt idx="277">
                  <c:v>-456</c:v>
                </c:pt>
                <c:pt idx="278">
                  <c:v>-445</c:v>
                </c:pt>
                <c:pt idx="279">
                  <c:v>-479</c:v>
                </c:pt>
                <c:pt idx="280">
                  <c:v>-1556</c:v>
                </c:pt>
                <c:pt idx="281">
                  <c:v>-582</c:v>
                </c:pt>
                <c:pt idx="282">
                  <c:v>-383</c:v>
                </c:pt>
                <c:pt idx="283">
                  <c:v>-345</c:v>
                </c:pt>
                <c:pt idx="284">
                  <c:v>-532</c:v>
                </c:pt>
                <c:pt idx="285">
                  <c:v>-591</c:v>
                </c:pt>
                <c:pt idx="286">
                  <c:v>-406</c:v>
                </c:pt>
                <c:pt idx="287">
                  <c:v>-413</c:v>
                </c:pt>
                <c:pt idx="288">
                  <c:v>-475</c:v>
                </c:pt>
                <c:pt idx="289">
                  <c:v>-704</c:v>
                </c:pt>
                <c:pt idx="290">
                  <c:v>-416</c:v>
                </c:pt>
                <c:pt idx="291">
                  <c:v>-498</c:v>
                </c:pt>
                <c:pt idx="292">
                  <c:v>-448</c:v>
                </c:pt>
                <c:pt idx="293">
                  <c:v>-672</c:v>
                </c:pt>
                <c:pt idx="294">
                  <c:v>-816</c:v>
                </c:pt>
                <c:pt idx="295">
                  <c:v>-518</c:v>
                </c:pt>
                <c:pt idx="296">
                  <c:v>-583</c:v>
                </c:pt>
                <c:pt idx="297">
                  <c:v>-698</c:v>
                </c:pt>
                <c:pt idx="298">
                  <c:v>-797</c:v>
                </c:pt>
                <c:pt idx="299">
                  <c:v>-560</c:v>
                </c:pt>
                <c:pt idx="300">
                  <c:v>-576</c:v>
                </c:pt>
                <c:pt idx="301">
                  <c:v>-990</c:v>
                </c:pt>
                <c:pt idx="302">
                  <c:v>-984</c:v>
                </c:pt>
                <c:pt idx="303">
                  <c:v>-548</c:v>
                </c:pt>
                <c:pt idx="304">
                  <c:v>-514</c:v>
                </c:pt>
                <c:pt idx="305">
                  <c:v>-581</c:v>
                </c:pt>
                <c:pt idx="306">
                  <c:v>-754</c:v>
                </c:pt>
                <c:pt idx="307">
                  <c:v>-1268</c:v>
                </c:pt>
                <c:pt idx="308">
                  <c:v>-524</c:v>
                </c:pt>
                <c:pt idx="309">
                  <c:v>-543</c:v>
                </c:pt>
                <c:pt idx="310">
                  <c:v>-597</c:v>
                </c:pt>
                <c:pt idx="311">
                  <c:v>-813</c:v>
                </c:pt>
                <c:pt idx="312">
                  <c:v>-543</c:v>
                </c:pt>
                <c:pt idx="313">
                  <c:v>-542</c:v>
                </c:pt>
                <c:pt idx="314">
                  <c:v>-689</c:v>
                </c:pt>
                <c:pt idx="315">
                  <c:v>-918</c:v>
                </c:pt>
                <c:pt idx="316">
                  <c:v>-561</c:v>
                </c:pt>
                <c:pt idx="317">
                  <c:v>-562</c:v>
                </c:pt>
                <c:pt idx="318">
                  <c:v>-345</c:v>
                </c:pt>
                <c:pt idx="319">
                  <c:v>-572</c:v>
                </c:pt>
                <c:pt idx="320">
                  <c:v>-719</c:v>
                </c:pt>
                <c:pt idx="321">
                  <c:v>-517</c:v>
                </c:pt>
                <c:pt idx="322">
                  <c:v>-650</c:v>
                </c:pt>
                <c:pt idx="323">
                  <c:v>-656</c:v>
                </c:pt>
                <c:pt idx="324">
                  <c:v>-708</c:v>
                </c:pt>
                <c:pt idx="325">
                  <c:v>-511</c:v>
                </c:pt>
                <c:pt idx="326">
                  <c:v>-524</c:v>
                </c:pt>
                <c:pt idx="327">
                  <c:v>-503</c:v>
                </c:pt>
                <c:pt idx="328">
                  <c:v>-849</c:v>
                </c:pt>
                <c:pt idx="329">
                  <c:v>-556</c:v>
                </c:pt>
                <c:pt idx="330">
                  <c:v>-517</c:v>
                </c:pt>
                <c:pt idx="331">
                  <c:v>-561</c:v>
                </c:pt>
                <c:pt idx="332">
                  <c:v>-771</c:v>
                </c:pt>
                <c:pt idx="333">
                  <c:v>-980</c:v>
                </c:pt>
                <c:pt idx="334">
                  <c:v>-501</c:v>
                </c:pt>
                <c:pt idx="335">
                  <c:v>-550</c:v>
                </c:pt>
                <c:pt idx="336">
                  <c:v>-609</c:v>
                </c:pt>
                <c:pt idx="337">
                  <c:v>-941</c:v>
                </c:pt>
                <c:pt idx="338">
                  <c:v>-534</c:v>
                </c:pt>
                <c:pt idx="339">
                  <c:v>-546</c:v>
                </c:pt>
                <c:pt idx="340">
                  <c:v>-584</c:v>
                </c:pt>
                <c:pt idx="341">
                  <c:v>-1024</c:v>
                </c:pt>
                <c:pt idx="342">
                  <c:v>-574</c:v>
                </c:pt>
                <c:pt idx="343">
                  <c:v>-611</c:v>
                </c:pt>
                <c:pt idx="344">
                  <c:v>-636</c:v>
                </c:pt>
                <c:pt idx="345">
                  <c:v>-846</c:v>
                </c:pt>
                <c:pt idx="346">
                  <c:v>-810</c:v>
                </c:pt>
                <c:pt idx="347">
                  <c:v>-576</c:v>
                </c:pt>
                <c:pt idx="348">
                  <c:v>-533</c:v>
                </c:pt>
                <c:pt idx="349">
                  <c:v>-666</c:v>
                </c:pt>
                <c:pt idx="350">
                  <c:v>-973</c:v>
                </c:pt>
                <c:pt idx="351">
                  <c:v>-734</c:v>
                </c:pt>
                <c:pt idx="352">
                  <c:v>-585</c:v>
                </c:pt>
                <c:pt idx="353">
                  <c:v>-678</c:v>
                </c:pt>
                <c:pt idx="354">
                  <c:v>-818</c:v>
                </c:pt>
                <c:pt idx="355">
                  <c:v>-615</c:v>
                </c:pt>
                <c:pt idx="356">
                  <c:v>-562</c:v>
                </c:pt>
                <c:pt idx="357">
                  <c:v>-525</c:v>
                </c:pt>
                <c:pt idx="358">
                  <c:v>-688</c:v>
                </c:pt>
                <c:pt idx="359">
                  <c:v>-795</c:v>
                </c:pt>
                <c:pt idx="360">
                  <c:v>-505</c:v>
                </c:pt>
                <c:pt idx="361">
                  <c:v>-575</c:v>
                </c:pt>
                <c:pt idx="362">
                  <c:v>-584</c:v>
                </c:pt>
                <c:pt idx="363">
                  <c:v>-1051</c:v>
                </c:pt>
                <c:pt idx="364">
                  <c:v>-519</c:v>
                </c:pt>
                <c:pt idx="365">
                  <c:v>-517</c:v>
                </c:pt>
                <c:pt idx="366">
                  <c:v>-806</c:v>
                </c:pt>
                <c:pt idx="367">
                  <c:v>-803</c:v>
                </c:pt>
                <c:pt idx="368">
                  <c:v>-698</c:v>
                </c:pt>
                <c:pt idx="369">
                  <c:v>-815</c:v>
                </c:pt>
                <c:pt idx="370">
                  <c:v>-554</c:v>
                </c:pt>
                <c:pt idx="371">
                  <c:v>-769</c:v>
                </c:pt>
                <c:pt idx="372">
                  <c:v>-1098</c:v>
                </c:pt>
                <c:pt idx="373">
                  <c:v>-588</c:v>
                </c:pt>
                <c:pt idx="374">
                  <c:v>-561</c:v>
                </c:pt>
                <c:pt idx="375">
                  <c:v>-601</c:v>
                </c:pt>
                <c:pt idx="376">
                  <c:v>-822</c:v>
                </c:pt>
                <c:pt idx="377">
                  <c:v>-472</c:v>
                </c:pt>
                <c:pt idx="378">
                  <c:v>-499</c:v>
                </c:pt>
                <c:pt idx="379">
                  <c:v>-550</c:v>
                </c:pt>
                <c:pt idx="380">
                  <c:v>-742</c:v>
                </c:pt>
                <c:pt idx="381">
                  <c:v>-629</c:v>
                </c:pt>
                <c:pt idx="382">
                  <c:v>-537</c:v>
                </c:pt>
                <c:pt idx="383">
                  <c:v>-502</c:v>
                </c:pt>
                <c:pt idx="384">
                  <c:v>-725</c:v>
                </c:pt>
                <c:pt idx="385">
                  <c:v>-1012</c:v>
                </c:pt>
                <c:pt idx="386">
                  <c:v>-504</c:v>
                </c:pt>
                <c:pt idx="387">
                  <c:v>-535</c:v>
                </c:pt>
                <c:pt idx="388">
                  <c:v>-541</c:v>
                </c:pt>
                <c:pt idx="389">
                  <c:v>-1006</c:v>
                </c:pt>
                <c:pt idx="390">
                  <c:v>-500</c:v>
                </c:pt>
                <c:pt idx="391">
                  <c:v>-491</c:v>
                </c:pt>
                <c:pt idx="392">
                  <c:v>-1132</c:v>
                </c:pt>
                <c:pt idx="393">
                  <c:v>-692</c:v>
                </c:pt>
                <c:pt idx="394">
                  <c:v>-519</c:v>
                </c:pt>
                <c:pt idx="395">
                  <c:v>-461</c:v>
                </c:pt>
                <c:pt idx="396">
                  <c:v>-501</c:v>
                </c:pt>
                <c:pt idx="397">
                  <c:v>-754</c:v>
                </c:pt>
                <c:pt idx="398">
                  <c:v>-740</c:v>
                </c:pt>
                <c:pt idx="399">
                  <c:v>-531</c:v>
                </c:pt>
                <c:pt idx="400">
                  <c:v>-498</c:v>
                </c:pt>
                <c:pt idx="401">
                  <c:v>-542</c:v>
                </c:pt>
                <c:pt idx="402">
                  <c:v>-964</c:v>
                </c:pt>
                <c:pt idx="403">
                  <c:v>-578</c:v>
                </c:pt>
                <c:pt idx="404">
                  <c:v>-599</c:v>
                </c:pt>
                <c:pt idx="405">
                  <c:v>-538</c:v>
                </c:pt>
                <c:pt idx="406">
                  <c:v>-717</c:v>
                </c:pt>
                <c:pt idx="407">
                  <c:v>-583</c:v>
                </c:pt>
                <c:pt idx="408">
                  <c:v>-501</c:v>
                </c:pt>
                <c:pt idx="409">
                  <c:v>-483</c:v>
                </c:pt>
                <c:pt idx="410">
                  <c:v>-625</c:v>
                </c:pt>
                <c:pt idx="411">
                  <c:v>-1019</c:v>
                </c:pt>
                <c:pt idx="412">
                  <c:v>-567</c:v>
                </c:pt>
                <c:pt idx="413">
                  <c:v>-545</c:v>
                </c:pt>
                <c:pt idx="414">
                  <c:v>-613</c:v>
                </c:pt>
                <c:pt idx="415">
                  <c:v>-800</c:v>
                </c:pt>
                <c:pt idx="416">
                  <c:v>-774</c:v>
                </c:pt>
                <c:pt idx="417">
                  <c:v>-682</c:v>
                </c:pt>
                <c:pt idx="418">
                  <c:v>-615</c:v>
                </c:pt>
                <c:pt idx="419">
                  <c:v>-763</c:v>
                </c:pt>
                <c:pt idx="420">
                  <c:v>-648</c:v>
                </c:pt>
                <c:pt idx="421">
                  <c:v>-838</c:v>
                </c:pt>
                <c:pt idx="422">
                  <c:v>-749</c:v>
                </c:pt>
                <c:pt idx="423">
                  <c:v>-709</c:v>
                </c:pt>
                <c:pt idx="424">
                  <c:v>-1608</c:v>
                </c:pt>
                <c:pt idx="425">
                  <c:v>-761</c:v>
                </c:pt>
                <c:pt idx="426">
                  <c:v>-803</c:v>
                </c:pt>
                <c:pt idx="427">
                  <c:v>-788</c:v>
                </c:pt>
                <c:pt idx="428">
                  <c:v>-1044</c:v>
                </c:pt>
                <c:pt idx="429">
                  <c:v>-588</c:v>
                </c:pt>
                <c:pt idx="430">
                  <c:v>-502</c:v>
                </c:pt>
                <c:pt idx="431">
                  <c:v>-796</c:v>
                </c:pt>
                <c:pt idx="432">
                  <c:v>-709</c:v>
                </c:pt>
                <c:pt idx="433">
                  <c:v>-313</c:v>
                </c:pt>
                <c:pt idx="434">
                  <c:v>-446</c:v>
                </c:pt>
                <c:pt idx="435">
                  <c:v>-517</c:v>
                </c:pt>
                <c:pt idx="436">
                  <c:v>-589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E8E-9645-926E-3830DABCE972}"/>
            </c:ext>
          </c:extLst>
        </c:ser>
        <c:ser>
          <c:idx val="27"/>
          <c:order val="27"/>
          <c:tx>
            <c:strRef>
              <c:f>balance_sheet!$AG$5</c:f>
              <c:strCache>
                <c:ptCount val="1"/>
                <c:pt idx="0">
                  <c:v>Banking Department deposits from UK resident banks (excl. Central Bank)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balance_sheet!$AG$6:$AG$1209</c:f>
              <c:numCache>
                <c:formatCode>General</c:formatCode>
                <c:ptCount val="1204"/>
                <c:pt idx="0">
                  <c:v>-2729</c:v>
                </c:pt>
                <c:pt idx="1">
                  <c:v>-2739</c:v>
                </c:pt>
                <c:pt idx="2">
                  <c:v>-2729</c:v>
                </c:pt>
                <c:pt idx="3">
                  <c:v>-2725</c:v>
                </c:pt>
                <c:pt idx="4">
                  <c:v>-2638</c:v>
                </c:pt>
                <c:pt idx="5">
                  <c:v>-2771</c:v>
                </c:pt>
                <c:pt idx="6">
                  <c:v>-2716</c:v>
                </c:pt>
                <c:pt idx="7">
                  <c:v>-2856</c:v>
                </c:pt>
                <c:pt idx="8">
                  <c:v>-2716</c:v>
                </c:pt>
                <c:pt idx="9">
                  <c:v>-2716</c:v>
                </c:pt>
                <c:pt idx="10">
                  <c:v>-2765</c:v>
                </c:pt>
                <c:pt idx="11">
                  <c:v>-2823</c:v>
                </c:pt>
                <c:pt idx="12">
                  <c:v>-2037</c:v>
                </c:pt>
                <c:pt idx="13">
                  <c:v>-2006</c:v>
                </c:pt>
                <c:pt idx="14">
                  <c:v>-1893</c:v>
                </c:pt>
                <c:pt idx="15">
                  <c:v>-1958</c:v>
                </c:pt>
                <c:pt idx="16">
                  <c:v>-2103</c:v>
                </c:pt>
                <c:pt idx="17">
                  <c:v>-2054</c:v>
                </c:pt>
                <c:pt idx="18">
                  <c:v>-1963</c:v>
                </c:pt>
                <c:pt idx="19">
                  <c:v>-2090</c:v>
                </c:pt>
                <c:pt idx="20">
                  <c:v>-1996</c:v>
                </c:pt>
                <c:pt idx="21">
                  <c:v>-1140</c:v>
                </c:pt>
                <c:pt idx="22">
                  <c:v>-1197</c:v>
                </c:pt>
                <c:pt idx="23">
                  <c:v>-1154</c:v>
                </c:pt>
                <c:pt idx="24">
                  <c:v>-1184</c:v>
                </c:pt>
                <c:pt idx="25">
                  <c:v>-1171</c:v>
                </c:pt>
                <c:pt idx="26">
                  <c:v>-1163</c:v>
                </c:pt>
                <c:pt idx="27">
                  <c:v>-1135</c:v>
                </c:pt>
                <c:pt idx="28">
                  <c:v>-1172</c:v>
                </c:pt>
                <c:pt idx="29">
                  <c:v>-1144</c:v>
                </c:pt>
                <c:pt idx="30">
                  <c:v>-1083</c:v>
                </c:pt>
                <c:pt idx="31">
                  <c:v>-1244</c:v>
                </c:pt>
                <c:pt idx="32">
                  <c:v>-1182</c:v>
                </c:pt>
                <c:pt idx="33">
                  <c:v>-1179</c:v>
                </c:pt>
                <c:pt idx="34">
                  <c:v>-1227</c:v>
                </c:pt>
                <c:pt idx="35">
                  <c:v>-1076</c:v>
                </c:pt>
                <c:pt idx="36">
                  <c:v>-1171</c:v>
                </c:pt>
                <c:pt idx="37">
                  <c:v>-1169</c:v>
                </c:pt>
                <c:pt idx="38">
                  <c:v>-1127</c:v>
                </c:pt>
                <c:pt idx="39">
                  <c:v>-1274</c:v>
                </c:pt>
                <c:pt idx="40">
                  <c:v>-1210</c:v>
                </c:pt>
                <c:pt idx="41">
                  <c:v>-1147</c:v>
                </c:pt>
                <c:pt idx="42">
                  <c:v>-1143</c:v>
                </c:pt>
                <c:pt idx="43">
                  <c:v>-1131</c:v>
                </c:pt>
                <c:pt idx="44">
                  <c:v>-1156</c:v>
                </c:pt>
                <c:pt idx="45">
                  <c:v>-1172</c:v>
                </c:pt>
                <c:pt idx="46">
                  <c:v>-1151</c:v>
                </c:pt>
                <c:pt idx="47">
                  <c:v>-1325</c:v>
                </c:pt>
                <c:pt idx="48">
                  <c:v>-1240</c:v>
                </c:pt>
                <c:pt idx="49">
                  <c:v>-1388</c:v>
                </c:pt>
                <c:pt idx="50">
                  <c:v>-1302</c:v>
                </c:pt>
                <c:pt idx="51">
                  <c:v>-1363</c:v>
                </c:pt>
                <c:pt idx="52">
                  <c:v>-3460</c:v>
                </c:pt>
                <c:pt idx="53">
                  <c:v>-1827</c:v>
                </c:pt>
                <c:pt idx="54">
                  <c:v>-1618</c:v>
                </c:pt>
                <c:pt idx="55">
                  <c:v>-1300</c:v>
                </c:pt>
                <c:pt idx="56">
                  <c:v>-1529</c:v>
                </c:pt>
                <c:pt idx="57">
                  <c:v>-1298</c:v>
                </c:pt>
                <c:pt idx="58">
                  <c:v>-1339</c:v>
                </c:pt>
                <c:pt idx="59">
                  <c:v>-1296</c:v>
                </c:pt>
                <c:pt idx="60">
                  <c:v>-1479</c:v>
                </c:pt>
                <c:pt idx="61">
                  <c:v>-1261</c:v>
                </c:pt>
                <c:pt idx="62">
                  <c:v>-1551</c:v>
                </c:pt>
                <c:pt idx="63">
                  <c:v>-1302</c:v>
                </c:pt>
                <c:pt idx="64">
                  <c:v>-1351</c:v>
                </c:pt>
                <c:pt idx="65">
                  <c:v>-1275</c:v>
                </c:pt>
                <c:pt idx="66">
                  <c:v>-1319</c:v>
                </c:pt>
                <c:pt idx="67">
                  <c:v>-1304</c:v>
                </c:pt>
                <c:pt idx="68">
                  <c:v>-1286</c:v>
                </c:pt>
                <c:pt idx="69">
                  <c:v>-1281</c:v>
                </c:pt>
                <c:pt idx="70">
                  <c:v>-1289</c:v>
                </c:pt>
                <c:pt idx="71">
                  <c:v>-1414</c:v>
                </c:pt>
                <c:pt idx="72">
                  <c:v>-1646</c:v>
                </c:pt>
                <c:pt idx="73">
                  <c:v>-1923</c:v>
                </c:pt>
                <c:pt idx="74">
                  <c:v>-1585</c:v>
                </c:pt>
                <c:pt idx="75">
                  <c:v>-1711</c:v>
                </c:pt>
                <c:pt idx="76">
                  <c:v>-1610</c:v>
                </c:pt>
                <c:pt idx="77">
                  <c:v>-1439</c:v>
                </c:pt>
                <c:pt idx="78">
                  <c:v>-1288</c:v>
                </c:pt>
                <c:pt idx="79">
                  <c:v>-1303</c:v>
                </c:pt>
                <c:pt idx="80">
                  <c:v>-1323</c:v>
                </c:pt>
                <c:pt idx="81">
                  <c:v>-1493</c:v>
                </c:pt>
                <c:pt idx="82">
                  <c:v>-1220</c:v>
                </c:pt>
                <c:pt idx="83">
                  <c:v>-1277</c:v>
                </c:pt>
                <c:pt idx="84">
                  <c:v>-1370</c:v>
                </c:pt>
                <c:pt idx="85">
                  <c:v>-1464</c:v>
                </c:pt>
                <c:pt idx="86">
                  <c:v>-1349</c:v>
                </c:pt>
                <c:pt idx="87">
                  <c:v>-1430</c:v>
                </c:pt>
                <c:pt idx="88">
                  <c:v>-1339</c:v>
                </c:pt>
                <c:pt idx="89">
                  <c:v>-1532</c:v>
                </c:pt>
                <c:pt idx="90">
                  <c:v>-1306</c:v>
                </c:pt>
                <c:pt idx="91">
                  <c:v>-1426</c:v>
                </c:pt>
                <c:pt idx="92">
                  <c:v>-1334</c:v>
                </c:pt>
                <c:pt idx="93">
                  <c:v>-1337</c:v>
                </c:pt>
                <c:pt idx="94">
                  <c:v>-1325</c:v>
                </c:pt>
                <c:pt idx="95">
                  <c:v>-1283</c:v>
                </c:pt>
                <c:pt idx="96">
                  <c:v>-1249</c:v>
                </c:pt>
                <c:pt idx="97">
                  <c:v>-1497</c:v>
                </c:pt>
                <c:pt idx="98">
                  <c:v>-1576</c:v>
                </c:pt>
                <c:pt idx="99">
                  <c:v>-1362</c:v>
                </c:pt>
                <c:pt idx="100">
                  <c:v>-1305</c:v>
                </c:pt>
                <c:pt idx="101">
                  <c:v>-1357</c:v>
                </c:pt>
                <c:pt idx="102">
                  <c:v>-1323</c:v>
                </c:pt>
                <c:pt idx="103">
                  <c:v>-1371</c:v>
                </c:pt>
                <c:pt idx="104">
                  <c:v>-1329</c:v>
                </c:pt>
                <c:pt idx="105">
                  <c:v>-1371</c:v>
                </c:pt>
                <c:pt idx="106">
                  <c:v>-1389</c:v>
                </c:pt>
                <c:pt idx="107">
                  <c:v>-1339</c:v>
                </c:pt>
                <c:pt idx="108">
                  <c:v>-1350</c:v>
                </c:pt>
                <c:pt idx="109">
                  <c:v>-1357</c:v>
                </c:pt>
                <c:pt idx="110">
                  <c:v>-1360</c:v>
                </c:pt>
                <c:pt idx="111">
                  <c:v>-1383</c:v>
                </c:pt>
                <c:pt idx="112">
                  <c:v>-1375</c:v>
                </c:pt>
                <c:pt idx="113">
                  <c:v>-1315</c:v>
                </c:pt>
                <c:pt idx="114">
                  <c:v>-1269</c:v>
                </c:pt>
                <c:pt idx="115">
                  <c:v>-1296</c:v>
                </c:pt>
                <c:pt idx="116">
                  <c:v>-1327</c:v>
                </c:pt>
                <c:pt idx="117">
                  <c:v>-1378</c:v>
                </c:pt>
                <c:pt idx="118">
                  <c:v>-1490</c:v>
                </c:pt>
                <c:pt idx="119">
                  <c:v>-1409</c:v>
                </c:pt>
                <c:pt idx="120">
                  <c:v>-1326</c:v>
                </c:pt>
                <c:pt idx="121">
                  <c:v>-1346</c:v>
                </c:pt>
                <c:pt idx="122">
                  <c:v>-1388</c:v>
                </c:pt>
                <c:pt idx="123">
                  <c:v>-1301</c:v>
                </c:pt>
                <c:pt idx="124">
                  <c:v>-1375</c:v>
                </c:pt>
                <c:pt idx="125">
                  <c:v>-1406</c:v>
                </c:pt>
                <c:pt idx="126">
                  <c:v>-1383</c:v>
                </c:pt>
                <c:pt idx="127">
                  <c:v>-1405</c:v>
                </c:pt>
                <c:pt idx="128">
                  <c:v>-1492</c:v>
                </c:pt>
                <c:pt idx="129">
                  <c:v>-1463</c:v>
                </c:pt>
                <c:pt idx="130">
                  <c:v>-1432</c:v>
                </c:pt>
                <c:pt idx="131">
                  <c:v>-1428</c:v>
                </c:pt>
                <c:pt idx="132">
                  <c:v>-1352</c:v>
                </c:pt>
                <c:pt idx="133">
                  <c:v>-1421</c:v>
                </c:pt>
                <c:pt idx="134">
                  <c:v>-1449</c:v>
                </c:pt>
                <c:pt idx="135">
                  <c:v>-1429</c:v>
                </c:pt>
                <c:pt idx="136">
                  <c:v>-1425</c:v>
                </c:pt>
                <c:pt idx="137">
                  <c:v>-1436</c:v>
                </c:pt>
                <c:pt idx="138">
                  <c:v>-1394</c:v>
                </c:pt>
                <c:pt idx="139">
                  <c:v>-1418</c:v>
                </c:pt>
                <c:pt idx="140">
                  <c:v>-1397</c:v>
                </c:pt>
                <c:pt idx="141">
                  <c:v>-1416</c:v>
                </c:pt>
                <c:pt idx="142">
                  <c:v>-1494</c:v>
                </c:pt>
                <c:pt idx="143">
                  <c:v>-1414</c:v>
                </c:pt>
                <c:pt idx="144">
                  <c:v>-1443</c:v>
                </c:pt>
                <c:pt idx="145">
                  <c:v>-1479</c:v>
                </c:pt>
                <c:pt idx="146">
                  <c:v>-1643</c:v>
                </c:pt>
                <c:pt idx="147">
                  <c:v>-1397</c:v>
                </c:pt>
                <c:pt idx="148">
                  <c:v>-1436</c:v>
                </c:pt>
                <c:pt idx="149">
                  <c:v>-1413</c:v>
                </c:pt>
                <c:pt idx="150">
                  <c:v>-1433</c:v>
                </c:pt>
                <c:pt idx="151">
                  <c:v>-1422</c:v>
                </c:pt>
                <c:pt idx="152">
                  <c:v>-1712</c:v>
                </c:pt>
                <c:pt idx="153">
                  <c:v>-1602</c:v>
                </c:pt>
                <c:pt idx="154">
                  <c:v>-1520</c:v>
                </c:pt>
                <c:pt idx="155">
                  <c:v>-1466</c:v>
                </c:pt>
                <c:pt idx="156">
                  <c:v>-1428</c:v>
                </c:pt>
                <c:pt idx="157">
                  <c:v>-1427</c:v>
                </c:pt>
                <c:pt idx="158">
                  <c:v>-3177</c:v>
                </c:pt>
                <c:pt idx="159">
                  <c:v>-1460</c:v>
                </c:pt>
                <c:pt idx="160">
                  <c:v>-1425</c:v>
                </c:pt>
                <c:pt idx="161">
                  <c:v>-1406</c:v>
                </c:pt>
                <c:pt idx="162">
                  <c:v>-1438</c:v>
                </c:pt>
                <c:pt idx="163">
                  <c:v>-1402</c:v>
                </c:pt>
                <c:pt idx="164">
                  <c:v>-1889</c:v>
                </c:pt>
                <c:pt idx="165">
                  <c:v>-1452</c:v>
                </c:pt>
                <c:pt idx="166">
                  <c:v>-1417</c:v>
                </c:pt>
                <c:pt idx="167">
                  <c:v>-2396</c:v>
                </c:pt>
                <c:pt idx="168">
                  <c:v>-1521</c:v>
                </c:pt>
                <c:pt idx="169">
                  <c:v>-1375</c:v>
                </c:pt>
                <c:pt idx="170">
                  <c:v>-1368</c:v>
                </c:pt>
                <c:pt idx="171">
                  <c:v>-1465</c:v>
                </c:pt>
                <c:pt idx="172">
                  <c:v>-1433</c:v>
                </c:pt>
                <c:pt idx="173">
                  <c:v>-1380</c:v>
                </c:pt>
                <c:pt idx="174">
                  <c:v>-1435</c:v>
                </c:pt>
                <c:pt idx="175">
                  <c:v>-1459</c:v>
                </c:pt>
                <c:pt idx="176">
                  <c:v>-1392</c:v>
                </c:pt>
                <c:pt idx="177">
                  <c:v>-1363</c:v>
                </c:pt>
                <c:pt idx="178">
                  <c:v>-1447</c:v>
                </c:pt>
                <c:pt idx="179">
                  <c:v>-1498</c:v>
                </c:pt>
                <c:pt idx="180">
                  <c:v>-1483</c:v>
                </c:pt>
                <c:pt idx="181">
                  <c:v>-1523</c:v>
                </c:pt>
                <c:pt idx="182">
                  <c:v>-1431</c:v>
                </c:pt>
                <c:pt idx="183">
                  <c:v>-1453</c:v>
                </c:pt>
                <c:pt idx="184">
                  <c:v>-1981</c:v>
                </c:pt>
                <c:pt idx="185">
                  <c:v>-1431</c:v>
                </c:pt>
                <c:pt idx="186">
                  <c:v>-1450</c:v>
                </c:pt>
                <c:pt idx="187">
                  <c:v>-1469</c:v>
                </c:pt>
                <c:pt idx="188">
                  <c:v>-1770</c:v>
                </c:pt>
                <c:pt idx="189">
                  <c:v>-1519</c:v>
                </c:pt>
                <c:pt idx="190">
                  <c:v>-1579</c:v>
                </c:pt>
                <c:pt idx="191">
                  <c:v>-1570</c:v>
                </c:pt>
                <c:pt idx="192">
                  <c:v>-1931</c:v>
                </c:pt>
                <c:pt idx="193">
                  <c:v>-1560</c:v>
                </c:pt>
                <c:pt idx="194">
                  <c:v>-1573</c:v>
                </c:pt>
                <c:pt idx="195">
                  <c:v>-1620</c:v>
                </c:pt>
                <c:pt idx="196">
                  <c:v>-1580</c:v>
                </c:pt>
                <c:pt idx="197">
                  <c:v>-1549</c:v>
                </c:pt>
                <c:pt idx="198">
                  <c:v>-1533</c:v>
                </c:pt>
                <c:pt idx="199">
                  <c:v>-1510</c:v>
                </c:pt>
                <c:pt idx="200">
                  <c:v>-3001</c:v>
                </c:pt>
                <c:pt idx="201">
                  <c:v>-1531</c:v>
                </c:pt>
                <c:pt idx="202">
                  <c:v>-1552</c:v>
                </c:pt>
                <c:pt idx="203">
                  <c:v>-1528</c:v>
                </c:pt>
                <c:pt idx="204">
                  <c:v>-1584</c:v>
                </c:pt>
                <c:pt idx="205">
                  <c:v>-1570</c:v>
                </c:pt>
                <c:pt idx="206">
                  <c:v>-2354</c:v>
                </c:pt>
                <c:pt idx="207">
                  <c:v>-1571</c:v>
                </c:pt>
                <c:pt idx="208">
                  <c:v>-1571</c:v>
                </c:pt>
                <c:pt idx="209">
                  <c:v>-1605</c:v>
                </c:pt>
                <c:pt idx="210">
                  <c:v>-1653</c:v>
                </c:pt>
                <c:pt idx="211">
                  <c:v>-1644</c:v>
                </c:pt>
                <c:pt idx="212">
                  <c:v>-2318</c:v>
                </c:pt>
                <c:pt idx="213">
                  <c:v>-1640</c:v>
                </c:pt>
                <c:pt idx="214">
                  <c:v>-1635</c:v>
                </c:pt>
                <c:pt idx="215">
                  <c:v>-1913</c:v>
                </c:pt>
                <c:pt idx="216">
                  <c:v>-1656</c:v>
                </c:pt>
                <c:pt idx="217">
                  <c:v>-1626</c:v>
                </c:pt>
                <c:pt idx="218">
                  <c:v>-1611</c:v>
                </c:pt>
                <c:pt idx="219">
                  <c:v>-1585</c:v>
                </c:pt>
                <c:pt idx="220">
                  <c:v>-1759</c:v>
                </c:pt>
                <c:pt idx="221">
                  <c:v>-1638</c:v>
                </c:pt>
                <c:pt idx="222">
                  <c:v>-1659</c:v>
                </c:pt>
                <c:pt idx="223">
                  <c:v>-1622</c:v>
                </c:pt>
                <c:pt idx="224">
                  <c:v>-1617</c:v>
                </c:pt>
                <c:pt idx="225">
                  <c:v>-1604</c:v>
                </c:pt>
                <c:pt idx="226">
                  <c:v>-1615</c:v>
                </c:pt>
                <c:pt idx="227">
                  <c:v>-1588</c:v>
                </c:pt>
                <c:pt idx="228">
                  <c:v>-1582</c:v>
                </c:pt>
                <c:pt idx="229">
                  <c:v>-1567</c:v>
                </c:pt>
                <c:pt idx="230">
                  <c:v>-1916</c:v>
                </c:pt>
                <c:pt idx="231">
                  <c:v>-1672</c:v>
                </c:pt>
                <c:pt idx="232">
                  <c:v>-1964</c:v>
                </c:pt>
                <c:pt idx="233">
                  <c:v>-1635</c:v>
                </c:pt>
                <c:pt idx="234">
                  <c:v>-1617</c:v>
                </c:pt>
                <c:pt idx="235">
                  <c:v>-1661</c:v>
                </c:pt>
                <c:pt idx="236">
                  <c:v>-1633</c:v>
                </c:pt>
                <c:pt idx="237">
                  <c:v>-1602</c:v>
                </c:pt>
                <c:pt idx="238">
                  <c:v>-1651</c:v>
                </c:pt>
                <c:pt idx="239">
                  <c:v>-1605</c:v>
                </c:pt>
                <c:pt idx="240">
                  <c:v>-1637</c:v>
                </c:pt>
                <c:pt idx="241">
                  <c:v>-1616</c:v>
                </c:pt>
                <c:pt idx="242">
                  <c:v>-1682</c:v>
                </c:pt>
                <c:pt idx="243">
                  <c:v>-1628</c:v>
                </c:pt>
                <c:pt idx="244">
                  <c:v>-1640</c:v>
                </c:pt>
                <c:pt idx="245">
                  <c:v>-1606</c:v>
                </c:pt>
                <c:pt idx="246">
                  <c:v>-1655</c:v>
                </c:pt>
                <c:pt idx="247">
                  <c:v>-1648</c:v>
                </c:pt>
                <c:pt idx="248">
                  <c:v>-1655</c:v>
                </c:pt>
                <c:pt idx="249">
                  <c:v>-1621</c:v>
                </c:pt>
                <c:pt idx="250">
                  <c:v>-1661</c:v>
                </c:pt>
                <c:pt idx="251">
                  <c:v>-1925</c:v>
                </c:pt>
                <c:pt idx="252">
                  <c:v>-1738</c:v>
                </c:pt>
                <c:pt idx="253">
                  <c:v>-1778</c:v>
                </c:pt>
                <c:pt idx="254">
                  <c:v>-1636</c:v>
                </c:pt>
                <c:pt idx="255">
                  <c:v>-1660</c:v>
                </c:pt>
                <c:pt idx="256">
                  <c:v>-1645</c:v>
                </c:pt>
                <c:pt idx="257">
                  <c:v>-1690</c:v>
                </c:pt>
                <c:pt idx="258">
                  <c:v>-1839</c:v>
                </c:pt>
                <c:pt idx="259">
                  <c:v>-1722</c:v>
                </c:pt>
                <c:pt idx="260">
                  <c:v>-1713</c:v>
                </c:pt>
                <c:pt idx="261">
                  <c:v>-1713</c:v>
                </c:pt>
                <c:pt idx="262">
                  <c:v>-1828</c:v>
                </c:pt>
                <c:pt idx="263">
                  <c:v>-1828</c:v>
                </c:pt>
                <c:pt idx="264">
                  <c:v>-1730</c:v>
                </c:pt>
                <c:pt idx="265">
                  <c:v>-1726</c:v>
                </c:pt>
                <c:pt idx="266">
                  <c:v>-1736</c:v>
                </c:pt>
                <c:pt idx="267">
                  <c:v>-1742</c:v>
                </c:pt>
                <c:pt idx="268">
                  <c:v>-1737</c:v>
                </c:pt>
                <c:pt idx="269">
                  <c:v>-1770</c:v>
                </c:pt>
                <c:pt idx="270">
                  <c:v>-1756</c:v>
                </c:pt>
                <c:pt idx="271">
                  <c:v>-1735</c:v>
                </c:pt>
                <c:pt idx="272">
                  <c:v>-1800</c:v>
                </c:pt>
                <c:pt idx="273">
                  <c:v>-1746</c:v>
                </c:pt>
                <c:pt idx="274">
                  <c:v>-1746</c:v>
                </c:pt>
                <c:pt idx="275">
                  <c:v>-1742</c:v>
                </c:pt>
                <c:pt idx="276">
                  <c:v>-1802</c:v>
                </c:pt>
                <c:pt idx="277">
                  <c:v>-1788</c:v>
                </c:pt>
                <c:pt idx="278">
                  <c:v>-1962</c:v>
                </c:pt>
                <c:pt idx="279">
                  <c:v>-1968</c:v>
                </c:pt>
                <c:pt idx="280">
                  <c:v>-1779</c:v>
                </c:pt>
                <c:pt idx="281">
                  <c:v>-1911</c:v>
                </c:pt>
                <c:pt idx="282">
                  <c:v>-1833</c:v>
                </c:pt>
                <c:pt idx="283">
                  <c:v>-1970</c:v>
                </c:pt>
                <c:pt idx="284">
                  <c:v>-1894</c:v>
                </c:pt>
                <c:pt idx="285">
                  <c:v>-2057</c:v>
                </c:pt>
                <c:pt idx="286">
                  <c:v>-1994</c:v>
                </c:pt>
                <c:pt idx="287">
                  <c:v>-2016</c:v>
                </c:pt>
                <c:pt idx="288">
                  <c:v>-2730</c:v>
                </c:pt>
                <c:pt idx="289">
                  <c:v>-2010</c:v>
                </c:pt>
                <c:pt idx="290">
                  <c:v>-2322</c:v>
                </c:pt>
                <c:pt idx="291">
                  <c:v>-2080</c:v>
                </c:pt>
                <c:pt idx="292">
                  <c:v>-2052</c:v>
                </c:pt>
                <c:pt idx="293">
                  <c:v>-2467</c:v>
                </c:pt>
                <c:pt idx="294">
                  <c:v>-2050</c:v>
                </c:pt>
                <c:pt idx="295">
                  <c:v>-2324</c:v>
                </c:pt>
                <c:pt idx="296">
                  <c:v>-2219</c:v>
                </c:pt>
                <c:pt idx="297">
                  <c:v>-1903</c:v>
                </c:pt>
                <c:pt idx="298">
                  <c:v>-2064</c:v>
                </c:pt>
                <c:pt idx="299">
                  <c:v>-1912</c:v>
                </c:pt>
                <c:pt idx="300">
                  <c:v>-1963</c:v>
                </c:pt>
                <c:pt idx="301">
                  <c:v>-1905</c:v>
                </c:pt>
                <c:pt idx="302">
                  <c:v>-1941</c:v>
                </c:pt>
                <c:pt idx="303">
                  <c:v>-1947</c:v>
                </c:pt>
                <c:pt idx="304">
                  <c:v>-2002</c:v>
                </c:pt>
                <c:pt idx="305">
                  <c:v>-2005</c:v>
                </c:pt>
                <c:pt idx="306">
                  <c:v>-2029</c:v>
                </c:pt>
                <c:pt idx="307">
                  <c:v>-1894</c:v>
                </c:pt>
                <c:pt idx="308">
                  <c:v>-1918</c:v>
                </c:pt>
                <c:pt idx="309">
                  <c:v>-1899</c:v>
                </c:pt>
                <c:pt idx="310">
                  <c:v>-2217</c:v>
                </c:pt>
                <c:pt idx="311">
                  <c:v>-1993</c:v>
                </c:pt>
                <c:pt idx="312">
                  <c:v>-1991</c:v>
                </c:pt>
                <c:pt idx="313">
                  <c:v>-2320</c:v>
                </c:pt>
                <c:pt idx="314">
                  <c:v>-2021</c:v>
                </c:pt>
                <c:pt idx="315">
                  <c:v>-2028</c:v>
                </c:pt>
                <c:pt idx="316">
                  <c:v>-2265</c:v>
                </c:pt>
                <c:pt idx="317">
                  <c:v>-2439</c:v>
                </c:pt>
                <c:pt idx="318">
                  <c:v>-3040</c:v>
                </c:pt>
                <c:pt idx="319">
                  <c:v>-2839</c:v>
                </c:pt>
                <c:pt idx="320">
                  <c:v>-2147</c:v>
                </c:pt>
                <c:pt idx="321">
                  <c:v>-1929</c:v>
                </c:pt>
                <c:pt idx="322">
                  <c:v>-1929</c:v>
                </c:pt>
                <c:pt idx="323">
                  <c:v>-1848</c:v>
                </c:pt>
                <c:pt idx="324">
                  <c:v>-1906</c:v>
                </c:pt>
                <c:pt idx="325">
                  <c:v>-2095</c:v>
                </c:pt>
                <c:pt idx="326">
                  <c:v>-2613</c:v>
                </c:pt>
                <c:pt idx="327">
                  <c:v>-1926</c:v>
                </c:pt>
                <c:pt idx="328">
                  <c:v>-2042</c:v>
                </c:pt>
                <c:pt idx="329">
                  <c:v>-1868</c:v>
                </c:pt>
                <c:pt idx="330">
                  <c:v>-1822</c:v>
                </c:pt>
                <c:pt idx="331">
                  <c:v>-1906</c:v>
                </c:pt>
                <c:pt idx="332">
                  <c:v>-1807</c:v>
                </c:pt>
                <c:pt idx="333">
                  <c:v>-1811</c:v>
                </c:pt>
                <c:pt idx="334">
                  <c:v>-1858</c:v>
                </c:pt>
                <c:pt idx="335">
                  <c:v>-1874</c:v>
                </c:pt>
                <c:pt idx="336">
                  <c:v>-1883</c:v>
                </c:pt>
                <c:pt idx="337">
                  <c:v>-2011</c:v>
                </c:pt>
                <c:pt idx="338">
                  <c:v>-1936</c:v>
                </c:pt>
                <c:pt idx="339">
                  <c:v>-1953</c:v>
                </c:pt>
                <c:pt idx="340">
                  <c:v>-2020</c:v>
                </c:pt>
                <c:pt idx="341">
                  <c:v>-1972</c:v>
                </c:pt>
                <c:pt idx="342">
                  <c:v>-1946</c:v>
                </c:pt>
                <c:pt idx="343">
                  <c:v>-1943</c:v>
                </c:pt>
                <c:pt idx="344">
                  <c:v>-2042</c:v>
                </c:pt>
                <c:pt idx="345">
                  <c:v>-1948</c:v>
                </c:pt>
                <c:pt idx="346">
                  <c:v>-1952</c:v>
                </c:pt>
                <c:pt idx="347">
                  <c:v>-1987</c:v>
                </c:pt>
                <c:pt idx="348">
                  <c:v>-2012</c:v>
                </c:pt>
                <c:pt idx="349">
                  <c:v>-1989</c:v>
                </c:pt>
                <c:pt idx="350">
                  <c:v>-1997</c:v>
                </c:pt>
                <c:pt idx="351">
                  <c:v>-1917</c:v>
                </c:pt>
                <c:pt idx="352">
                  <c:v>-2144</c:v>
                </c:pt>
                <c:pt idx="353">
                  <c:v>-1962</c:v>
                </c:pt>
                <c:pt idx="354">
                  <c:v>-1966</c:v>
                </c:pt>
                <c:pt idx="355">
                  <c:v>-1978</c:v>
                </c:pt>
                <c:pt idx="356">
                  <c:v>-1947</c:v>
                </c:pt>
                <c:pt idx="357">
                  <c:v>-2059</c:v>
                </c:pt>
                <c:pt idx="358">
                  <c:v>-1976</c:v>
                </c:pt>
                <c:pt idx="359">
                  <c:v>-2013</c:v>
                </c:pt>
                <c:pt idx="360">
                  <c:v>-1967</c:v>
                </c:pt>
                <c:pt idx="361">
                  <c:v>-1973</c:v>
                </c:pt>
                <c:pt idx="362">
                  <c:v>-1974</c:v>
                </c:pt>
                <c:pt idx="363">
                  <c:v>-2079</c:v>
                </c:pt>
                <c:pt idx="364">
                  <c:v>-2287</c:v>
                </c:pt>
                <c:pt idx="365">
                  <c:v>-2162</c:v>
                </c:pt>
                <c:pt idx="366">
                  <c:v>-2190</c:v>
                </c:pt>
                <c:pt idx="367">
                  <c:v>-2161</c:v>
                </c:pt>
                <c:pt idx="368">
                  <c:v>-2173</c:v>
                </c:pt>
                <c:pt idx="369">
                  <c:v>-2466</c:v>
                </c:pt>
                <c:pt idx="370">
                  <c:v>-2635</c:v>
                </c:pt>
                <c:pt idx="371">
                  <c:v>-2586</c:v>
                </c:pt>
                <c:pt idx="372">
                  <c:v>-2016</c:v>
                </c:pt>
                <c:pt idx="373">
                  <c:v>-2026</c:v>
                </c:pt>
                <c:pt idx="374">
                  <c:v>-2008</c:v>
                </c:pt>
                <c:pt idx="375">
                  <c:v>-2008</c:v>
                </c:pt>
                <c:pt idx="376">
                  <c:v>-2066</c:v>
                </c:pt>
                <c:pt idx="377">
                  <c:v>-2328</c:v>
                </c:pt>
                <c:pt idx="378">
                  <c:v>-2410</c:v>
                </c:pt>
                <c:pt idx="379">
                  <c:v>-1996</c:v>
                </c:pt>
                <c:pt idx="380">
                  <c:v>-2020</c:v>
                </c:pt>
                <c:pt idx="381">
                  <c:v>-1912</c:v>
                </c:pt>
                <c:pt idx="382">
                  <c:v>-1901</c:v>
                </c:pt>
                <c:pt idx="383">
                  <c:v>-1972</c:v>
                </c:pt>
                <c:pt idx="384">
                  <c:v>-1949</c:v>
                </c:pt>
                <c:pt idx="385">
                  <c:v>-1923</c:v>
                </c:pt>
                <c:pt idx="386">
                  <c:v>-2031</c:v>
                </c:pt>
                <c:pt idx="387">
                  <c:v>-1941</c:v>
                </c:pt>
                <c:pt idx="388">
                  <c:v>-1900</c:v>
                </c:pt>
                <c:pt idx="389">
                  <c:v>-1973</c:v>
                </c:pt>
                <c:pt idx="390">
                  <c:v>-2041</c:v>
                </c:pt>
                <c:pt idx="391">
                  <c:v>-2003</c:v>
                </c:pt>
                <c:pt idx="392">
                  <c:v>-2618</c:v>
                </c:pt>
                <c:pt idx="393">
                  <c:v>-1972</c:v>
                </c:pt>
                <c:pt idx="394">
                  <c:v>-2079</c:v>
                </c:pt>
                <c:pt idx="395">
                  <c:v>-2087</c:v>
                </c:pt>
                <c:pt idx="396">
                  <c:v>-2062</c:v>
                </c:pt>
                <c:pt idx="397">
                  <c:v>-2304</c:v>
                </c:pt>
                <c:pt idx="398">
                  <c:v>-2309</c:v>
                </c:pt>
                <c:pt idx="399">
                  <c:v>-2563</c:v>
                </c:pt>
                <c:pt idx="400">
                  <c:v>-2587</c:v>
                </c:pt>
                <c:pt idx="401">
                  <c:v>-2544</c:v>
                </c:pt>
                <c:pt idx="402">
                  <c:v>-2559</c:v>
                </c:pt>
                <c:pt idx="403">
                  <c:v>-2655</c:v>
                </c:pt>
                <c:pt idx="404">
                  <c:v>-2761</c:v>
                </c:pt>
                <c:pt idx="405">
                  <c:v>-2609</c:v>
                </c:pt>
                <c:pt idx="406">
                  <c:v>-2591</c:v>
                </c:pt>
                <c:pt idx="407">
                  <c:v>-2631</c:v>
                </c:pt>
                <c:pt idx="408">
                  <c:v>-2694</c:v>
                </c:pt>
                <c:pt idx="409">
                  <c:v>-2781</c:v>
                </c:pt>
                <c:pt idx="410">
                  <c:v>-2780</c:v>
                </c:pt>
                <c:pt idx="411">
                  <c:v>-2801</c:v>
                </c:pt>
                <c:pt idx="412">
                  <c:v>-2670</c:v>
                </c:pt>
                <c:pt idx="413">
                  <c:v>-2720</c:v>
                </c:pt>
                <c:pt idx="414">
                  <c:v>-2674</c:v>
                </c:pt>
                <c:pt idx="415">
                  <c:v>-2789</c:v>
                </c:pt>
                <c:pt idx="416">
                  <c:v>-3012</c:v>
                </c:pt>
                <c:pt idx="417">
                  <c:v>-3173</c:v>
                </c:pt>
                <c:pt idx="418">
                  <c:v>-3117</c:v>
                </c:pt>
                <c:pt idx="419">
                  <c:v>-3334</c:v>
                </c:pt>
                <c:pt idx="420">
                  <c:v>-3222</c:v>
                </c:pt>
                <c:pt idx="421">
                  <c:v>-3225</c:v>
                </c:pt>
                <c:pt idx="422">
                  <c:v>-3228</c:v>
                </c:pt>
                <c:pt idx="423">
                  <c:v>-3216</c:v>
                </c:pt>
                <c:pt idx="424">
                  <c:v>-3023</c:v>
                </c:pt>
                <c:pt idx="425">
                  <c:v>-2837</c:v>
                </c:pt>
                <c:pt idx="426">
                  <c:v>-2857</c:v>
                </c:pt>
                <c:pt idx="427">
                  <c:v>-2884</c:v>
                </c:pt>
                <c:pt idx="428">
                  <c:v>-3168</c:v>
                </c:pt>
                <c:pt idx="429">
                  <c:v>-2836</c:v>
                </c:pt>
                <c:pt idx="430">
                  <c:v>-2826</c:v>
                </c:pt>
                <c:pt idx="431">
                  <c:v>-2842</c:v>
                </c:pt>
                <c:pt idx="432">
                  <c:v>-2875</c:v>
                </c:pt>
                <c:pt idx="433">
                  <c:v>-3077</c:v>
                </c:pt>
                <c:pt idx="434">
                  <c:v>-2965</c:v>
                </c:pt>
                <c:pt idx="435">
                  <c:v>-2960</c:v>
                </c:pt>
                <c:pt idx="436">
                  <c:v>-2916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E8E-9645-926E-3830DABCE972}"/>
            </c:ext>
          </c:extLst>
        </c:ser>
        <c:ser>
          <c:idx val="28"/>
          <c:order val="28"/>
          <c:tx>
            <c:strRef>
              <c:f>balance_sheet!$AH$5</c:f>
              <c:strCache>
                <c:ptCount val="1"/>
                <c:pt idx="0">
                  <c:v>Banking Department Reserves and other accounts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balance_sheet!$B$6:$B$1209</c:f>
              <c:numCache>
                <c:formatCode>yyyy\-mm\-dd;@</c:formatCode>
                <c:ptCount val="1204"/>
                <c:pt idx="0">
                  <c:v>35802</c:v>
                </c:pt>
                <c:pt idx="1">
                  <c:v>35809</c:v>
                </c:pt>
                <c:pt idx="2">
                  <c:v>35816</c:v>
                </c:pt>
                <c:pt idx="3">
                  <c:v>35823</c:v>
                </c:pt>
                <c:pt idx="4">
                  <c:v>35830</c:v>
                </c:pt>
                <c:pt idx="5">
                  <c:v>35837</c:v>
                </c:pt>
                <c:pt idx="6">
                  <c:v>35844</c:v>
                </c:pt>
                <c:pt idx="7">
                  <c:v>35851</c:v>
                </c:pt>
                <c:pt idx="8">
                  <c:v>35858</c:v>
                </c:pt>
                <c:pt idx="9">
                  <c:v>35865</c:v>
                </c:pt>
                <c:pt idx="10">
                  <c:v>35872</c:v>
                </c:pt>
                <c:pt idx="11">
                  <c:v>35879</c:v>
                </c:pt>
                <c:pt idx="12">
                  <c:v>35886</c:v>
                </c:pt>
                <c:pt idx="13">
                  <c:v>35893</c:v>
                </c:pt>
                <c:pt idx="14">
                  <c:v>35900</c:v>
                </c:pt>
                <c:pt idx="15">
                  <c:v>35907</c:v>
                </c:pt>
                <c:pt idx="16">
                  <c:v>35914</c:v>
                </c:pt>
                <c:pt idx="17">
                  <c:v>35921</c:v>
                </c:pt>
                <c:pt idx="18">
                  <c:v>35928</c:v>
                </c:pt>
                <c:pt idx="19">
                  <c:v>35935</c:v>
                </c:pt>
                <c:pt idx="20">
                  <c:v>35942</c:v>
                </c:pt>
                <c:pt idx="21">
                  <c:v>35949</c:v>
                </c:pt>
                <c:pt idx="22">
                  <c:v>35956</c:v>
                </c:pt>
                <c:pt idx="23">
                  <c:v>35963</c:v>
                </c:pt>
                <c:pt idx="24">
                  <c:v>35970</c:v>
                </c:pt>
                <c:pt idx="25">
                  <c:v>35977</c:v>
                </c:pt>
                <c:pt idx="26">
                  <c:v>35984</c:v>
                </c:pt>
                <c:pt idx="27">
                  <c:v>35991</c:v>
                </c:pt>
                <c:pt idx="28">
                  <c:v>35998</c:v>
                </c:pt>
                <c:pt idx="29">
                  <c:v>36005</c:v>
                </c:pt>
                <c:pt idx="30">
                  <c:v>36012</c:v>
                </c:pt>
                <c:pt idx="31">
                  <c:v>36019</c:v>
                </c:pt>
                <c:pt idx="32">
                  <c:v>36026</c:v>
                </c:pt>
                <c:pt idx="33">
                  <c:v>36033</c:v>
                </c:pt>
                <c:pt idx="34">
                  <c:v>36040</c:v>
                </c:pt>
                <c:pt idx="35">
                  <c:v>36047</c:v>
                </c:pt>
                <c:pt idx="36">
                  <c:v>36054</c:v>
                </c:pt>
                <c:pt idx="37">
                  <c:v>36061</c:v>
                </c:pt>
                <c:pt idx="38">
                  <c:v>36068</c:v>
                </c:pt>
                <c:pt idx="39">
                  <c:v>36075</c:v>
                </c:pt>
                <c:pt idx="40">
                  <c:v>36082</c:v>
                </c:pt>
                <c:pt idx="41">
                  <c:v>36089</c:v>
                </c:pt>
                <c:pt idx="42">
                  <c:v>36096</c:v>
                </c:pt>
                <c:pt idx="43">
                  <c:v>36103</c:v>
                </c:pt>
                <c:pt idx="44">
                  <c:v>36110</c:v>
                </c:pt>
                <c:pt idx="45">
                  <c:v>36117</c:v>
                </c:pt>
                <c:pt idx="46">
                  <c:v>36124</c:v>
                </c:pt>
                <c:pt idx="47">
                  <c:v>36131</c:v>
                </c:pt>
                <c:pt idx="48">
                  <c:v>36138</c:v>
                </c:pt>
                <c:pt idx="49">
                  <c:v>36145</c:v>
                </c:pt>
                <c:pt idx="50">
                  <c:v>36152</c:v>
                </c:pt>
                <c:pt idx="51">
                  <c:v>36159</c:v>
                </c:pt>
                <c:pt idx="52">
                  <c:v>36166</c:v>
                </c:pt>
                <c:pt idx="53">
                  <c:v>36173</c:v>
                </c:pt>
                <c:pt idx="54">
                  <c:v>36180</c:v>
                </c:pt>
                <c:pt idx="55">
                  <c:v>36187</c:v>
                </c:pt>
                <c:pt idx="56">
                  <c:v>36194</c:v>
                </c:pt>
                <c:pt idx="57">
                  <c:v>36201</c:v>
                </c:pt>
                <c:pt idx="58">
                  <c:v>36208</c:v>
                </c:pt>
                <c:pt idx="59">
                  <c:v>36215</c:v>
                </c:pt>
                <c:pt idx="60">
                  <c:v>36222</c:v>
                </c:pt>
                <c:pt idx="61">
                  <c:v>36229</c:v>
                </c:pt>
                <c:pt idx="62">
                  <c:v>36236</c:v>
                </c:pt>
                <c:pt idx="63">
                  <c:v>36243</c:v>
                </c:pt>
                <c:pt idx="64">
                  <c:v>36250</c:v>
                </c:pt>
                <c:pt idx="65">
                  <c:v>36257</c:v>
                </c:pt>
                <c:pt idx="66">
                  <c:v>36264</c:v>
                </c:pt>
                <c:pt idx="67">
                  <c:v>36271</c:v>
                </c:pt>
                <c:pt idx="68">
                  <c:v>36278</c:v>
                </c:pt>
                <c:pt idx="69">
                  <c:v>36285</c:v>
                </c:pt>
                <c:pt idx="70">
                  <c:v>36292</c:v>
                </c:pt>
                <c:pt idx="71">
                  <c:v>36299</c:v>
                </c:pt>
                <c:pt idx="72">
                  <c:v>36306</c:v>
                </c:pt>
                <c:pt idx="73">
                  <c:v>36313</c:v>
                </c:pt>
                <c:pt idx="74">
                  <c:v>36320</c:v>
                </c:pt>
                <c:pt idx="75">
                  <c:v>36327</c:v>
                </c:pt>
                <c:pt idx="76">
                  <c:v>36334</c:v>
                </c:pt>
                <c:pt idx="77">
                  <c:v>36341</c:v>
                </c:pt>
                <c:pt idx="78">
                  <c:v>36348</c:v>
                </c:pt>
                <c:pt idx="79">
                  <c:v>36355</c:v>
                </c:pt>
                <c:pt idx="80">
                  <c:v>36362</c:v>
                </c:pt>
                <c:pt idx="81">
                  <c:v>36369</c:v>
                </c:pt>
                <c:pt idx="82">
                  <c:v>36376</c:v>
                </c:pt>
                <c:pt idx="83">
                  <c:v>36383</c:v>
                </c:pt>
                <c:pt idx="84">
                  <c:v>36390</c:v>
                </c:pt>
                <c:pt idx="85">
                  <c:v>36397</c:v>
                </c:pt>
                <c:pt idx="86">
                  <c:v>36404</c:v>
                </c:pt>
                <c:pt idx="87">
                  <c:v>36411</c:v>
                </c:pt>
                <c:pt idx="88">
                  <c:v>36418</c:v>
                </c:pt>
                <c:pt idx="89">
                  <c:v>36425</c:v>
                </c:pt>
                <c:pt idx="90">
                  <c:v>36432</c:v>
                </c:pt>
                <c:pt idx="91">
                  <c:v>36439</c:v>
                </c:pt>
                <c:pt idx="92">
                  <c:v>36446</c:v>
                </c:pt>
                <c:pt idx="93">
                  <c:v>36453</c:v>
                </c:pt>
                <c:pt idx="94">
                  <c:v>36460</c:v>
                </c:pt>
                <c:pt idx="95">
                  <c:v>36467</c:v>
                </c:pt>
                <c:pt idx="96">
                  <c:v>36474</c:v>
                </c:pt>
                <c:pt idx="97">
                  <c:v>36481</c:v>
                </c:pt>
                <c:pt idx="98">
                  <c:v>36488</c:v>
                </c:pt>
                <c:pt idx="99">
                  <c:v>36495</c:v>
                </c:pt>
                <c:pt idx="100">
                  <c:v>36502</c:v>
                </c:pt>
                <c:pt idx="101">
                  <c:v>36509</c:v>
                </c:pt>
                <c:pt idx="102">
                  <c:v>36516</c:v>
                </c:pt>
                <c:pt idx="103">
                  <c:v>36523</c:v>
                </c:pt>
                <c:pt idx="104">
                  <c:v>36530</c:v>
                </c:pt>
                <c:pt idx="105">
                  <c:v>36537</c:v>
                </c:pt>
                <c:pt idx="106">
                  <c:v>36544</c:v>
                </c:pt>
                <c:pt idx="107">
                  <c:v>36551</c:v>
                </c:pt>
                <c:pt idx="108">
                  <c:v>36558</c:v>
                </c:pt>
                <c:pt idx="109">
                  <c:v>36565</c:v>
                </c:pt>
                <c:pt idx="110">
                  <c:v>36572</c:v>
                </c:pt>
                <c:pt idx="111">
                  <c:v>36579</c:v>
                </c:pt>
                <c:pt idx="112">
                  <c:v>36586</c:v>
                </c:pt>
                <c:pt idx="113">
                  <c:v>36593</c:v>
                </c:pt>
                <c:pt idx="114">
                  <c:v>36600</c:v>
                </c:pt>
                <c:pt idx="115">
                  <c:v>36607</c:v>
                </c:pt>
                <c:pt idx="116">
                  <c:v>36614</c:v>
                </c:pt>
                <c:pt idx="117">
                  <c:v>36621</c:v>
                </c:pt>
                <c:pt idx="118">
                  <c:v>36628</c:v>
                </c:pt>
                <c:pt idx="119">
                  <c:v>36635</c:v>
                </c:pt>
                <c:pt idx="120">
                  <c:v>36642</c:v>
                </c:pt>
                <c:pt idx="121">
                  <c:v>36649</c:v>
                </c:pt>
                <c:pt idx="122">
                  <c:v>36656</c:v>
                </c:pt>
                <c:pt idx="123">
                  <c:v>36663</c:v>
                </c:pt>
                <c:pt idx="124">
                  <c:v>36670</c:v>
                </c:pt>
                <c:pt idx="125">
                  <c:v>36677</c:v>
                </c:pt>
                <c:pt idx="126">
                  <c:v>36684</c:v>
                </c:pt>
                <c:pt idx="127">
                  <c:v>36691</c:v>
                </c:pt>
                <c:pt idx="128">
                  <c:v>36698</c:v>
                </c:pt>
                <c:pt idx="129">
                  <c:v>36705</c:v>
                </c:pt>
                <c:pt idx="130">
                  <c:v>36712</c:v>
                </c:pt>
                <c:pt idx="131">
                  <c:v>36719</c:v>
                </c:pt>
                <c:pt idx="132">
                  <c:v>36726</c:v>
                </c:pt>
                <c:pt idx="133">
                  <c:v>36733</c:v>
                </c:pt>
                <c:pt idx="134">
                  <c:v>36740</c:v>
                </c:pt>
                <c:pt idx="135">
                  <c:v>36747</c:v>
                </c:pt>
                <c:pt idx="136">
                  <c:v>36754</c:v>
                </c:pt>
                <c:pt idx="137">
                  <c:v>36761</c:v>
                </c:pt>
                <c:pt idx="138">
                  <c:v>36768</c:v>
                </c:pt>
                <c:pt idx="139">
                  <c:v>36775</c:v>
                </c:pt>
                <c:pt idx="140">
                  <c:v>36782</c:v>
                </c:pt>
                <c:pt idx="141">
                  <c:v>36789</c:v>
                </c:pt>
                <c:pt idx="142">
                  <c:v>36796</c:v>
                </c:pt>
                <c:pt idx="143">
                  <c:v>36803</c:v>
                </c:pt>
                <c:pt idx="144">
                  <c:v>36810</c:v>
                </c:pt>
                <c:pt idx="145">
                  <c:v>36817</c:v>
                </c:pt>
                <c:pt idx="146">
                  <c:v>36824</c:v>
                </c:pt>
                <c:pt idx="147">
                  <c:v>36831</c:v>
                </c:pt>
                <c:pt idx="148">
                  <c:v>36838</c:v>
                </c:pt>
                <c:pt idx="149">
                  <c:v>36845</c:v>
                </c:pt>
                <c:pt idx="150">
                  <c:v>36852</c:v>
                </c:pt>
                <c:pt idx="151">
                  <c:v>36859</c:v>
                </c:pt>
                <c:pt idx="152">
                  <c:v>36866</c:v>
                </c:pt>
                <c:pt idx="153">
                  <c:v>36873</c:v>
                </c:pt>
                <c:pt idx="154">
                  <c:v>36880</c:v>
                </c:pt>
                <c:pt idx="155">
                  <c:v>36887</c:v>
                </c:pt>
                <c:pt idx="156">
                  <c:v>36894</c:v>
                </c:pt>
                <c:pt idx="157">
                  <c:v>36901</c:v>
                </c:pt>
                <c:pt idx="158">
                  <c:v>36908</c:v>
                </c:pt>
                <c:pt idx="159">
                  <c:v>36915</c:v>
                </c:pt>
                <c:pt idx="160">
                  <c:v>36922</c:v>
                </c:pt>
                <c:pt idx="161">
                  <c:v>36929</c:v>
                </c:pt>
                <c:pt idx="162">
                  <c:v>36936</c:v>
                </c:pt>
                <c:pt idx="163">
                  <c:v>36943</c:v>
                </c:pt>
                <c:pt idx="164">
                  <c:v>36950</c:v>
                </c:pt>
                <c:pt idx="165">
                  <c:v>36957</c:v>
                </c:pt>
                <c:pt idx="166">
                  <c:v>36964</c:v>
                </c:pt>
                <c:pt idx="167">
                  <c:v>36971</c:v>
                </c:pt>
                <c:pt idx="168">
                  <c:v>36978</c:v>
                </c:pt>
                <c:pt idx="169">
                  <c:v>36985</c:v>
                </c:pt>
                <c:pt idx="170">
                  <c:v>36992</c:v>
                </c:pt>
                <c:pt idx="171">
                  <c:v>36999</c:v>
                </c:pt>
                <c:pt idx="172">
                  <c:v>37006</c:v>
                </c:pt>
                <c:pt idx="173">
                  <c:v>37013</c:v>
                </c:pt>
                <c:pt idx="174">
                  <c:v>37020</c:v>
                </c:pt>
                <c:pt idx="175">
                  <c:v>37027</c:v>
                </c:pt>
                <c:pt idx="176">
                  <c:v>37034</c:v>
                </c:pt>
                <c:pt idx="177">
                  <c:v>37041</c:v>
                </c:pt>
                <c:pt idx="178">
                  <c:v>37048</c:v>
                </c:pt>
                <c:pt idx="179">
                  <c:v>37055</c:v>
                </c:pt>
                <c:pt idx="180">
                  <c:v>37062</c:v>
                </c:pt>
                <c:pt idx="181">
                  <c:v>37069</c:v>
                </c:pt>
                <c:pt idx="182">
                  <c:v>37076</c:v>
                </c:pt>
                <c:pt idx="183">
                  <c:v>37083</c:v>
                </c:pt>
                <c:pt idx="184">
                  <c:v>37090</c:v>
                </c:pt>
                <c:pt idx="185">
                  <c:v>37097</c:v>
                </c:pt>
                <c:pt idx="186">
                  <c:v>37104</c:v>
                </c:pt>
                <c:pt idx="187">
                  <c:v>37111</c:v>
                </c:pt>
                <c:pt idx="188">
                  <c:v>37118</c:v>
                </c:pt>
                <c:pt idx="189">
                  <c:v>37125</c:v>
                </c:pt>
                <c:pt idx="190">
                  <c:v>37132</c:v>
                </c:pt>
                <c:pt idx="191">
                  <c:v>37139</c:v>
                </c:pt>
                <c:pt idx="192">
                  <c:v>37146</c:v>
                </c:pt>
                <c:pt idx="193">
                  <c:v>37153</c:v>
                </c:pt>
                <c:pt idx="194">
                  <c:v>37160</c:v>
                </c:pt>
                <c:pt idx="195">
                  <c:v>37167</c:v>
                </c:pt>
                <c:pt idx="196">
                  <c:v>37174</c:v>
                </c:pt>
                <c:pt idx="197">
                  <c:v>37181</c:v>
                </c:pt>
                <c:pt idx="198">
                  <c:v>37188</c:v>
                </c:pt>
                <c:pt idx="199">
                  <c:v>37195</c:v>
                </c:pt>
                <c:pt idx="200">
                  <c:v>37202</c:v>
                </c:pt>
                <c:pt idx="201">
                  <c:v>37209</c:v>
                </c:pt>
                <c:pt idx="202">
                  <c:v>37216</c:v>
                </c:pt>
                <c:pt idx="203">
                  <c:v>37223</c:v>
                </c:pt>
                <c:pt idx="204">
                  <c:v>37230</c:v>
                </c:pt>
                <c:pt idx="205">
                  <c:v>37237</c:v>
                </c:pt>
                <c:pt idx="206">
                  <c:v>37244</c:v>
                </c:pt>
                <c:pt idx="207">
                  <c:v>37249</c:v>
                </c:pt>
                <c:pt idx="208">
                  <c:v>37251</c:v>
                </c:pt>
                <c:pt idx="209">
                  <c:v>37258</c:v>
                </c:pt>
                <c:pt idx="210">
                  <c:v>37265</c:v>
                </c:pt>
                <c:pt idx="211">
                  <c:v>37272</c:v>
                </c:pt>
                <c:pt idx="212">
                  <c:v>37279</c:v>
                </c:pt>
                <c:pt idx="213">
                  <c:v>37286</c:v>
                </c:pt>
                <c:pt idx="214">
                  <c:v>37293</c:v>
                </c:pt>
                <c:pt idx="215">
                  <c:v>37300</c:v>
                </c:pt>
                <c:pt idx="216">
                  <c:v>37307</c:v>
                </c:pt>
                <c:pt idx="217">
                  <c:v>37314</c:v>
                </c:pt>
                <c:pt idx="218">
                  <c:v>37321</c:v>
                </c:pt>
                <c:pt idx="219">
                  <c:v>37328</c:v>
                </c:pt>
                <c:pt idx="220">
                  <c:v>37335</c:v>
                </c:pt>
                <c:pt idx="221">
                  <c:v>37342</c:v>
                </c:pt>
                <c:pt idx="222">
                  <c:v>37349</c:v>
                </c:pt>
                <c:pt idx="223">
                  <c:v>37356</c:v>
                </c:pt>
                <c:pt idx="224">
                  <c:v>37363</c:v>
                </c:pt>
                <c:pt idx="225">
                  <c:v>37370</c:v>
                </c:pt>
                <c:pt idx="226">
                  <c:v>37377</c:v>
                </c:pt>
                <c:pt idx="227">
                  <c:v>37384</c:v>
                </c:pt>
                <c:pt idx="228">
                  <c:v>37391</c:v>
                </c:pt>
                <c:pt idx="229">
                  <c:v>37398</c:v>
                </c:pt>
                <c:pt idx="230">
                  <c:v>37405</c:v>
                </c:pt>
                <c:pt idx="231">
                  <c:v>37412</c:v>
                </c:pt>
                <c:pt idx="232">
                  <c:v>37419</c:v>
                </c:pt>
                <c:pt idx="233">
                  <c:v>37426</c:v>
                </c:pt>
                <c:pt idx="234">
                  <c:v>37433</c:v>
                </c:pt>
                <c:pt idx="235">
                  <c:v>37440</c:v>
                </c:pt>
                <c:pt idx="236">
                  <c:v>37447</c:v>
                </c:pt>
                <c:pt idx="237">
                  <c:v>37454</c:v>
                </c:pt>
                <c:pt idx="238">
                  <c:v>37461</c:v>
                </c:pt>
                <c:pt idx="239">
                  <c:v>37468</c:v>
                </c:pt>
                <c:pt idx="240">
                  <c:v>37475</c:v>
                </c:pt>
                <c:pt idx="241">
                  <c:v>37482</c:v>
                </c:pt>
                <c:pt idx="242">
                  <c:v>37489</c:v>
                </c:pt>
                <c:pt idx="243">
                  <c:v>37496</c:v>
                </c:pt>
                <c:pt idx="244">
                  <c:v>37503</c:v>
                </c:pt>
                <c:pt idx="245">
                  <c:v>37510</c:v>
                </c:pt>
                <c:pt idx="246">
                  <c:v>37517</c:v>
                </c:pt>
                <c:pt idx="247">
                  <c:v>37524</c:v>
                </c:pt>
                <c:pt idx="248">
                  <c:v>37531</c:v>
                </c:pt>
                <c:pt idx="249">
                  <c:v>37538</c:v>
                </c:pt>
                <c:pt idx="250">
                  <c:v>37545</c:v>
                </c:pt>
                <c:pt idx="251">
                  <c:v>37552</c:v>
                </c:pt>
                <c:pt idx="252">
                  <c:v>37559</c:v>
                </c:pt>
                <c:pt idx="253">
                  <c:v>37566</c:v>
                </c:pt>
                <c:pt idx="254">
                  <c:v>37573</c:v>
                </c:pt>
                <c:pt idx="255">
                  <c:v>37580</c:v>
                </c:pt>
                <c:pt idx="256">
                  <c:v>37587</c:v>
                </c:pt>
                <c:pt idx="257">
                  <c:v>37594</c:v>
                </c:pt>
                <c:pt idx="258">
                  <c:v>37601</c:v>
                </c:pt>
                <c:pt idx="259">
                  <c:v>37608</c:v>
                </c:pt>
                <c:pt idx="260">
                  <c:v>37614</c:v>
                </c:pt>
                <c:pt idx="261">
                  <c:v>37615</c:v>
                </c:pt>
                <c:pt idx="262">
                  <c:v>37621</c:v>
                </c:pt>
                <c:pt idx="263">
                  <c:v>37622</c:v>
                </c:pt>
                <c:pt idx="264">
                  <c:v>37629</c:v>
                </c:pt>
                <c:pt idx="265">
                  <c:v>37636</c:v>
                </c:pt>
                <c:pt idx="266">
                  <c:v>37643</c:v>
                </c:pt>
                <c:pt idx="267">
                  <c:v>37650</c:v>
                </c:pt>
                <c:pt idx="268">
                  <c:v>37657</c:v>
                </c:pt>
                <c:pt idx="269">
                  <c:v>37664</c:v>
                </c:pt>
                <c:pt idx="270">
                  <c:v>37671</c:v>
                </c:pt>
                <c:pt idx="271">
                  <c:v>37678</c:v>
                </c:pt>
                <c:pt idx="272">
                  <c:v>37685</c:v>
                </c:pt>
                <c:pt idx="273">
                  <c:v>37692</c:v>
                </c:pt>
                <c:pt idx="274">
                  <c:v>37699</c:v>
                </c:pt>
                <c:pt idx="275">
                  <c:v>37706</c:v>
                </c:pt>
                <c:pt idx="276">
                  <c:v>37713</c:v>
                </c:pt>
                <c:pt idx="277">
                  <c:v>37720</c:v>
                </c:pt>
                <c:pt idx="278">
                  <c:v>37727</c:v>
                </c:pt>
                <c:pt idx="279">
                  <c:v>37734</c:v>
                </c:pt>
                <c:pt idx="280">
                  <c:v>37741</c:v>
                </c:pt>
                <c:pt idx="281">
                  <c:v>37748</c:v>
                </c:pt>
                <c:pt idx="282">
                  <c:v>37755</c:v>
                </c:pt>
                <c:pt idx="283">
                  <c:v>37762</c:v>
                </c:pt>
                <c:pt idx="284">
                  <c:v>37769</c:v>
                </c:pt>
                <c:pt idx="285">
                  <c:v>37776</c:v>
                </c:pt>
                <c:pt idx="286">
                  <c:v>37783</c:v>
                </c:pt>
                <c:pt idx="287">
                  <c:v>37790</c:v>
                </c:pt>
                <c:pt idx="288">
                  <c:v>37797</c:v>
                </c:pt>
                <c:pt idx="289">
                  <c:v>37804</c:v>
                </c:pt>
                <c:pt idx="290">
                  <c:v>37811</c:v>
                </c:pt>
                <c:pt idx="291">
                  <c:v>37818</c:v>
                </c:pt>
                <c:pt idx="292">
                  <c:v>37825</c:v>
                </c:pt>
                <c:pt idx="293">
                  <c:v>37832</c:v>
                </c:pt>
                <c:pt idx="294">
                  <c:v>37839</c:v>
                </c:pt>
                <c:pt idx="295">
                  <c:v>37846</c:v>
                </c:pt>
                <c:pt idx="296">
                  <c:v>37853</c:v>
                </c:pt>
                <c:pt idx="297">
                  <c:v>37860</c:v>
                </c:pt>
                <c:pt idx="298">
                  <c:v>37867</c:v>
                </c:pt>
                <c:pt idx="299">
                  <c:v>37874</c:v>
                </c:pt>
                <c:pt idx="300">
                  <c:v>37881</c:v>
                </c:pt>
                <c:pt idx="301">
                  <c:v>37888</c:v>
                </c:pt>
                <c:pt idx="302">
                  <c:v>37895</c:v>
                </c:pt>
                <c:pt idx="303">
                  <c:v>37902</c:v>
                </c:pt>
                <c:pt idx="304">
                  <c:v>37909</c:v>
                </c:pt>
                <c:pt idx="305">
                  <c:v>37916</c:v>
                </c:pt>
                <c:pt idx="306">
                  <c:v>37923</c:v>
                </c:pt>
                <c:pt idx="307">
                  <c:v>37930</c:v>
                </c:pt>
                <c:pt idx="308">
                  <c:v>37937</c:v>
                </c:pt>
                <c:pt idx="309">
                  <c:v>37944</c:v>
                </c:pt>
                <c:pt idx="310">
                  <c:v>37951</c:v>
                </c:pt>
                <c:pt idx="311">
                  <c:v>37958</c:v>
                </c:pt>
                <c:pt idx="312">
                  <c:v>37965</c:v>
                </c:pt>
                <c:pt idx="313">
                  <c:v>37972</c:v>
                </c:pt>
                <c:pt idx="314">
                  <c:v>37979</c:v>
                </c:pt>
                <c:pt idx="315">
                  <c:v>37986</c:v>
                </c:pt>
                <c:pt idx="316">
                  <c:v>37993</c:v>
                </c:pt>
                <c:pt idx="317">
                  <c:v>38000</c:v>
                </c:pt>
                <c:pt idx="318">
                  <c:v>38007</c:v>
                </c:pt>
                <c:pt idx="319">
                  <c:v>38014</c:v>
                </c:pt>
                <c:pt idx="320">
                  <c:v>38021</c:v>
                </c:pt>
                <c:pt idx="321">
                  <c:v>38028</c:v>
                </c:pt>
                <c:pt idx="322">
                  <c:v>38035</c:v>
                </c:pt>
                <c:pt idx="323">
                  <c:v>38042</c:v>
                </c:pt>
                <c:pt idx="324">
                  <c:v>38049</c:v>
                </c:pt>
                <c:pt idx="325">
                  <c:v>38056</c:v>
                </c:pt>
                <c:pt idx="326">
                  <c:v>38063</c:v>
                </c:pt>
                <c:pt idx="327">
                  <c:v>38070</c:v>
                </c:pt>
                <c:pt idx="328">
                  <c:v>38077</c:v>
                </c:pt>
                <c:pt idx="329">
                  <c:v>38084</c:v>
                </c:pt>
                <c:pt idx="330">
                  <c:v>38091</c:v>
                </c:pt>
                <c:pt idx="331">
                  <c:v>38098</c:v>
                </c:pt>
                <c:pt idx="332">
                  <c:v>38105</c:v>
                </c:pt>
                <c:pt idx="333">
                  <c:v>38112</c:v>
                </c:pt>
                <c:pt idx="334">
                  <c:v>38119</c:v>
                </c:pt>
                <c:pt idx="335">
                  <c:v>38126</c:v>
                </c:pt>
                <c:pt idx="336">
                  <c:v>38133</c:v>
                </c:pt>
                <c:pt idx="337">
                  <c:v>38140</c:v>
                </c:pt>
                <c:pt idx="338">
                  <c:v>38147</c:v>
                </c:pt>
                <c:pt idx="339">
                  <c:v>38154</c:v>
                </c:pt>
                <c:pt idx="340">
                  <c:v>38161</c:v>
                </c:pt>
                <c:pt idx="341">
                  <c:v>38168</c:v>
                </c:pt>
                <c:pt idx="342">
                  <c:v>38175</c:v>
                </c:pt>
                <c:pt idx="343">
                  <c:v>38182</c:v>
                </c:pt>
                <c:pt idx="344">
                  <c:v>38189</c:v>
                </c:pt>
                <c:pt idx="345">
                  <c:v>38196</c:v>
                </c:pt>
                <c:pt idx="346">
                  <c:v>38203</c:v>
                </c:pt>
                <c:pt idx="347">
                  <c:v>38210</c:v>
                </c:pt>
                <c:pt idx="348">
                  <c:v>38217</c:v>
                </c:pt>
                <c:pt idx="349">
                  <c:v>38224</c:v>
                </c:pt>
                <c:pt idx="350">
                  <c:v>38231</c:v>
                </c:pt>
                <c:pt idx="351">
                  <c:v>38238</c:v>
                </c:pt>
                <c:pt idx="352">
                  <c:v>38245</c:v>
                </c:pt>
                <c:pt idx="353">
                  <c:v>38252</c:v>
                </c:pt>
                <c:pt idx="354">
                  <c:v>38259</c:v>
                </c:pt>
                <c:pt idx="355">
                  <c:v>38266</c:v>
                </c:pt>
                <c:pt idx="356">
                  <c:v>38273</c:v>
                </c:pt>
                <c:pt idx="357">
                  <c:v>38280</c:v>
                </c:pt>
                <c:pt idx="358">
                  <c:v>38287</c:v>
                </c:pt>
                <c:pt idx="359">
                  <c:v>38294</c:v>
                </c:pt>
                <c:pt idx="360">
                  <c:v>38301</c:v>
                </c:pt>
                <c:pt idx="361">
                  <c:v>38308</c:v>
                </c:pt>
                <c:pt idx="362">
                  <c:v>38315</c:v>
                </c:pt>
                <c:pt idx="363">
                  <c:v>38322</c:v>
                </c:pt>
                <c:pt idx="364">
                  <c:v>38329</c:v>
                </c:pt>
                <c:pt idx="365">
                  <c:v>38336</c:v>
                </c:pt>
                <c:pt idx="366">
                  <c:v>38343</c:v>
                </c:pt>
                <c:pt idx="367">
                  <c:v>38350</c:v>
                </c:pt>
                <c:pt idx="368">
                  <c:v>38357</c:v>
                </c:pt>
                <c:pt idx="369">
                  <c:v>38364</c:v>
                </c:pt>
                <c:pt idx="370">
                  <c:v>38371</c:v>
                </c:pt>
                <c:pt idx="371">
                  <c:v>38378</c:v>
                </c:pt>
                <c:pt idx="372">
                  <c:v>38385</c:v>
                </c:pt>
                <c:pt idx="373">
                  <c:v>38392</c:v>
                </c:pt>
                <c:pt idx="374">
                  <c:v>38399</c:v>
                </c:pt>
                <c:pt idx="375">
                  <c:v>38406</c:v>
                </c:pt>
                <c:pt idx="376">
                  <c:v>38413</c:v>
                </c:pt>
                <c:pt idx="377">
                  <c:v>38420</c:v>
                </c:pt>
                <c:pt idx="378">
                  <c:v>38427</c:v>
                </c:pt>
                <c:pt idx="379">
                  <c:v>38434</c:v>
                </c:pt>
                <c:pt idx="380">
                  <c:v>38441</c:v>
                </c:pt>
                <c:pt idx="381">
                  <c:v>38448</c:v>
                </c:pt>
                <c:pt idx="382">
                  <c:v>38455</c:v>
                </c:pt>
                <c:pt idx="383">
                  <c:v>38462</c:v>
                </c:pt>
                <c:pt idx="384">
                  <c:v>38469</c:v>
                </c:pt>
                <c:pt idx="385">
                  <c:v>38476</c:v>
                </c:pt>
                <c:pt idx="386">
                  <c:v>38483</c:v>
                </c:pt>
                <c:pt idx="387">
                  <c:v>38490</c:v>
                </c:pt>
                <c:pt idx="388">
                  <c:v>38497</c:v>
                </c:pt>
                <c:pt idx="389">
                  <c:v>38504</c:v>
                </c:pt>
                <c:pt idx="390">
                  <c:v>38511</c:v>
                </c:pt>
                <c:pt idx="391">
                  <c:v>38518</c:v>
                </c:pt>
                <c:pt idx="392">
                  <c:v>38525</c:v>
                </c:pt>
                <c:pt idx="393">
                  <c:v>38532</c:v>
                </c:pt>
                <c:pt idx="394">
                  <c:v>38539</c:v>
                </c:pt>
                <c:pt idx="395">
                  <c:v>38546</c:v>
                </c:pt>
                <c:pt idx="396">
                  <c:v>38553</c:v>
                </c:pt>
                <c:pt idx="397">
                  <c:v>38560</c:v>
                </c:pt>
                <c:pt idx="398">
                  <c:v>38567</c:v>
                </c:pt>
                <c:pt idx="399">
                  <c:v>38574</c:v>
                </c:pt>
                <c:pt idx="400">
                  <c:v>38581</c:v>
                </c:pt>
                <c:pt idx="401">
                  <c:v>38588</c:v>
                </c:pt>
                <c:pt idx="402">
                  <c:v>38595</c:v>
                </c:pt>
                <c:pt idx="403">
                  <c:v>38602</c:v>
                </c:pt>
                <c:pt idx="404">
                  <c:v>38609</c:v>
                </c:pt>
                <c:pt idx="405">
                  <c:v>38616</c:v>
                </c:pt>
                <c:pt idx="406">
                  <c:v>38623</c:v>
                </c:pt>
                <c:pt idx="407">
                  <c:v>38630</c:v>
                </c:pt>
                <c:pt idx="408">
                  <c:v>38637</c:v>
                </c:pt>
                <c:pt idx="409">
                  <c:v>38644</c:v>
                </c:pt>
                <c:pt idx="410">
                  <c:v>38651</c:v>
                </c:pt>
                <c:pt idx="411">
                  <c:v>38658</c:v>
                </c:pt>
                <c:pt idx="412">
                  <c:v>38665</c:v>
                </c:pt>
                <c:pt idx="413">
                  <c:v>38672</c:v>
                </c:pt>
                <c:pt idx="414">
                  <c:v>38679</c:v>
                </c:pt>
                <c:pt idx="415">
                  <c:v>38686</c:v>
                </c:pt>
                <c:pt idx="416">
                  <c:v>38693</c:v>
                </c:pt>
                <c:pt idx="417">
                  <c:v>38700</c:v>
                </c:pt>
                <c:pt idx="418">
                  <c:v>38707</c:v>
                </c:pt>
                <c:pt idx="419">
                  <c:v>38714</c:v>
                </c:pt>
                <c:pt idx="420">
                  <c:v>38721</c:v>
                </c:pt>
                <c:pt idx="421">
                  <c:v>38728</c:v>
                </c:pt>
                <c:pt idx="422">
                  <c:v>38735</c:v>
                </c:pt>
                <c:pt idx="423">
                  <c:v>38742</c:v>
                </c:pt>
                <c:pt idx="424">
                  <c:v>38749</c:v>
                </c:pt>
                <c:pt idx="425">
                  <c:v>38756</c:v>
                </c:pt>
                <c:pt idx="426">
                  <c:v>38763</c:v>
                </c:pt>
                <c:pt idx="427">
                  <c:v>38770</c:v>
                </c:pt>
                <c:pt idx="428">
                  <c:v>38777</c:v>
                </c:pt>
                <c:pt idx="429">
                  <c:v>38784</c:v>
                </c:pt>
                <c:pt idx="430">
                  <c:v>38791</c:v>
                </c:pt>
                <c:pt idx="431">
                  <c:v>38798</c:v>
                </c:pt>
                <c:pt idx="432">
                  <c:v>38805</c:v>
                </c:pt>
                <c:pt idx="433">
                  <c:v>38812</c:v>
                </c:pt>
                <c:pt idx="434">
                  <c:v>38819</c:v>
                </c:pt>
                <c:pt idx="435">
                  <c:v>38826</c:v>
                </c:pt>
                <c:pt idx="436">
                  <c:v>38833</c:v>
                </c:pt>
                <c:pt idx="437">
                  <c:v>38840</c:v>
                </c:pt>
                <c:pt idx="438">
                  <c:v>38847</c:v>
                </c:pt>
                <c:pt idx="439">
                  <c:v>38854</c:v>
                </c:pt>
                <c:pt idx="440">
                  <c:v>38861</c:v>
                </c:pt>
                <c:pt idx="441">
                  <c:v>38868</c:v>
                </c:pt>
                <c:pt idx="442">
                  <c:v>38875</c:v>
                </c:pt>
                <c:pt idx="443">
                  <c:v>38882</c:v>
                </c:pt>
                <c:pt idx="444">
                  <c:v>38889</c:v>
                </c:pt>
                <c:pt idx="445">
                  <c:v>38896</c:v>
                </c:pt>
                <c:pt idx="446">
                  <c:v>38903</c:v>
                </c:pt>
                <c:pt idx="447">
                  <c:v>38910</c:v>
                </c:pt>
                <c:pt idx="448">
                  <c:v>38917</c:v>
                </c:pt>
                <c:pt idx="449">
                  <c:v>38924</c:v>
                </c:pt>
                <c:pt idx="450">
                  <c:v>38931</c:v>
                </c:pt>
                <c:pt idx="451">
                  <c:v>38938</c:v>
                </c:pt>
                <c:pt idx="452">
                  <c:v>38945</c:v>
                </c:pt>
                <c:pt idx="453">
                  <c:v>38952</c:v>
                </c:pt>
                <c:pt idx="454">
                  <c:v>38959</c:v>
                </c:pt>
                <c:pt idx="455">
                  <c:v>38966</c:v>
                </c:pt>
                <c:pt idx="456">
                  <c:v>38973</c:v>
                </c:pt>
                <c:pt idx="457">
                  <c:v>38980</c:v>
                </c:pt>
                <c:pt idx="458">
                  <c:v>38987</c:v>
                </c:pt>
                <c:pt idx="459">
                  <c:v>38994</c:v>
                </c:pt>
                <c:pt idx="460">
                  <c:v>39001</c:v>
                </c:pt>
                <c:pt idx="461">
                  <c:v>39008</c:v>
                </c:pt>
                <c:pt idx="462">
                  <c:v>39015</c:v>
                </c:pt>
                <c:pt idx="463">
                  <c:v>39022</c:v>
                </c:pt>
                <c:pt idx="464">
                  <c:v>39029</c:v>
                </c:pt>
                <c:pt idx="465">
                  <c:v>39036</c:v>
                </c:pt>
                <c:pt idx="466">
                  <c:v>39043</c:v>
                </c:pt>
                <c:pt idx="467">
                  <c:v>39050</c:v>
                </c:pt>
                <c:pt idx="468">
                  <c:v>39057</c:v>
                </c:pt>
                <c:pt idx="469">
                  <c:v>39064</c:v>
                </c:pt>
                <c:pt idx="470">
                  <c:v>39071</c:v>
                </c:pt>
                <c:pt idx="471">
                  <c:v>39078</c:v>
                </c:pt>
                <c:pt idx="472">
                  <c:v>39085</c:v>
                </c:pt>
                <c:pt idx="473">
                  <c:v>39092</c:v>
                </c:pt>
                <c:pt idx="474">
                  <c:v>39099</c:v>
                </c:pt>
                <c:pt idx="475">
                  <c:v>39106</c:v>
                </c:pt>
                <c:pt idx="476">
                  <c:v>39113</c:v>
                </c:pt>
                <c:pt idx="477">
                  <c:v>39120</c:v>
                </c:pt>
                <c:pt idx="478">
                  <c:v>39127</c:v>
                </c:pt>
                <c:pt idx="479">
                  <c:v>39134</c:v>
                </c:pt>
                <c:pt idx="480">
                  <c:v>39141</c:v>
                </c:pt>
                <c:pt idx="481">
                  <c:v>39148</c:v>
                </c:pt>
                <c:pt idx="482">
                  <c:v>39155</c:v>
                </c:pt>
                <c:pt idx="483">
                  <c:v>39162</c:v>
                </c:pt>
                <c:pt idx="484">
                  <c:v>39169</c:v>
                </c:pt>
                <c:pt idx="485">
                  <c:v>39176</c:v>
                </c:pt>
                <c:pt idx="486">
                  <c:v>39183</c:v>
                </c:pt>
                <c:pt idx="487">
                  <c:v>39190</c:v>
                </c:pt>
                <c:pt idx="488">
                  <c:v>39197</c:v>
                </c:pt>
                <c:pt idx="489">
                  <c:v>39204</c:v>
                </c:pt>
                <c:pt idx="490">
                  <c:v>39211</c:v>
                </c:pt>
                <c:pt idx="491">
                  <c:v>39218</c:v>
                </c:pt>
                <c:pt idx="492">
                  <c:v>39225</c:v>
                </c:pt>
                <c:pt idx="493">
                  <c:v>39232</c:v>
                </c:pt>
                <c:pt idx="494">
                  <c:v>39239</c:v>
                </c:pt>
                <c:pt idx="495">
                  <c:v>39246</c:v>
                </c:pt>
                <c:pt idx="496">
                  <c:v>39253</c:v>
                </c:pt>
                <c:pt idx="497">
                  <c:v>39260</c:v>
                </c:pt>
                <c:pt idx="498">
                  <c:v>39267</c:v>
                </c:pt>
                <c:pt idx="499">
                  <c:v>39274</c:v>
                </c:pt>
                <c:pt idx="500">
                  <c:v>39281</c:v>
                </c:pt>
                <c:pt idx="501">
                  <c:v>39288</c:v>
                </c:pt>
                <c:pt idx="502">
                  <c:v>39295</c:v>
                </c:pt>
                <c:pt idx="503">
                  <c:v>39302</c:v>
                </c:pt>
                <c:pt idx="504">
                  <c:v>39309</c:v>
                </c:pt>
                <c:pt idx="505">
                  <c:v>39316</c:v>
                </c:pt>
                <c:pt idx="506">
                  <c:v>39323</c:v>
                </c:pt>
                <c:pt idx="507">
                  <c:v>39330</c:v>
                </c:pt>
                <c:pt idx="508">
                  <c:v>39337</c:v>
                </c:pt>
                <c:pt idx="509">
                  <c:v>39344</c:v>
                </c:pt>
                <c:pt idx="510">
                  <c:v>39351</c:v>
                </c:pt>
                <c:pt idx="511">
                  <c:v>39358</c:v>
                </c:pt>
                <c:pt idx="512">
                  <c:v>39365</c:v>
                </c:pt>
                <c:pt idx="513">
                  <c:v>39372</c:v>
                </c:pt>
                <c:pt idx="514">
                  <c:v>39379</c:v>
                </c:pt>
                <c:pt idx="515">
                  <c:v>39386</c:v>
                </c:pt>
                <c:pt idx="516">
                  <c:v>39393</c:v>
                </c:pt>
                <c:pt idx="517">
                  <c:v>39400</c:v>
                </c:pt>
                <c:pt idx="518">
                  <c:v>39407</c:v>
                </c:pt>
                <c:pt idx="519">
                  <c:v>39414</c:v>
                </c:pt>
                <c:pt idx="520">
                  <c:v>39421</c:v>
                </c:pt>
                <c:pt idx="521">
                  <c:v>39428</c:v>
                </c:pt>
                <c:pt idx="522">
                  <c:v>39435</c:v>
                </c:pt>
                <c:pt idx="523">
                  <c:v>39440</c:v>
                </c:pt>
                <c:pt idx="524">
                  <c:v>39442</c:v>
                </c:pt>
                <c:pt idx="525">
                  <c:v>39449</c:v>
                </c:pt>
                <c:pt idx="526">
                  <c:v>39456</c:v>
                </c:pt>
                <c:pt idx="527">
                  <c:v>39463</c:v>
                </c:pt>
                <c:pt idx="528">
                  <c:v>39470</c:v>
                </c:pt>
                <c:pt idx="529">
                  <c:v>39477</c:v>
                </c:pt>
                <c:pt idx="530">
                  <c:v>39484</c:v>
                </c:pt>
                <c:pt idx="531">
                  <c:v>39491</c:v>
                </c:pt>
                <c:pt idx="532">
                  <c:v>39498</c:v>
                </c:pt>
                <c:pt idx="533">
                  <c:v>39505</c:v>
                </c:pt>
                <c:pt idx="534">
                  <c:v>39512</c:v>
                </c:pt>
                <c:pt idx="535">
                  <c:v>39519</c:v>
                </c:pt>
                <c:pt idx="536">
                  <c:v>39526</c:v>
                </c:pt>
                <c:pt idx="537">
                  <c:v>39533</c:v>
                </c:pt>
                <c:pt idx="538">
                  <c:v>39540</c:v>
                </c:pt>
                <c:pt idx="539">
                  <c:v>39547</c:v>
                </c:pt>
                <c:pt idx="540">
                  <c:v>39554</c:v>
                </c:pt>
                <c:pt idx="541">
                  <c:v>39561</c:v>
                </c:pt>
                <c:pt idx="542">
                  <c:v>39568</c:v>
                </c:pt>
                <c:pt idx="543">
                  <c:v>39575</c:v>
                </c:pt>
                <c:pt idx="544">
                  <c:v>39582</c:v>
                </c:pt>
                <c:pt idx="545">
                  <c:v>39589</c:v>
                </c:pt>
                <c:pt idx="546">
                  <c:v>39596</c:v>
                </c:pt>
                <c:pt idx="547">
                  <c:v>39603</c:v>
                </c:pt>
                <c:pt idx="548">
                  <c:v>39610</c:v>
                </c:pt>
                <c:pt idx="549">
                  <c:v>39617</c:v>
                </c:pt>
                <c:pt idx="550">
                  <c:v>39624</c:v>
                </c:pt>
                <c:pt idx="551">
                  <c:v>39631</c:v>
                </c:pt>
                <c:pt idx="552">
                  <c:v>39638</c:v>
                </c:pt>
                <c:pt idx="553">
                  <c:v>39645</c:v>
                </c:pt>
                <c:pt idx="554">
                  <c:v>39652</c:v>
                </c:pt>
                <c:pt idx="555">
                  <c:v>39659</c:v>
                </c:pt>
                <c:pt idx="556">
                  <c:v>39666</c:v>
                </c:pt>
                <c:pt idx="557">
                  <c:v>39673</c:v>
                </c:pt>
                <c:pt idx="558">
                  <c:v>39680</c:v>
                </c:pt>
                <c:pt idx="559">
                  <c:v>39687</c:v>
                </c:pt>
                <c:pt idx="560">
                  <c:v>39694</c:v>
                </c:pt>
                <c:pt idx="561">
                  <c:v>39701</c:v>
                </c:pt>
                <c:pt idx="562">
                  <c:v>39708</c:v>
                </c:pt>
                <c:pt idx="563">
                  <c:v>39715</c:v>
                </c:pt>
                <c:pt idx="564">
                  <c:v>39722</c:v>
                </c:pt>
                <c:pt idx="565">
                  <c:v>39729</c:v>
                </c:pt>
                <c:pt idx="566">
                  <c:v>39736</c:v>
                </c:pt>
                <c:pt idx="567">
                  <c:v>39743</c:v>
                </c:pt>
                <c:pt idx="568">
                  <c:v>39750</c:v>
                </c:pt>
                <c:pt idx="569">
                  <c:v>39757</c:v>
                </c:pt>
                <c:pt idx="570">
                  <c:v>39764</c:v>
                </c:pt>
                <c:pt idx="571">
                  <c:v>39771</c:v>
                </c:pt>
                <c:pt idx="572">
                  <c:v>39778</c:v>
                </c:pt>
                <c:pt idx="573">
                  <c:v>39785</c:v>
                </c:pt>
                <c:pt idx="574">
                  <c:v>39792</c:v>
                </c:pt>
                <c:pt idx="575">
                  <c:v>39799</c:v>
                </c:pt>
                <c:pt idx="576">
                  <c:v>39806</c:v>
                </c:pt>
                <c:pt idx="577">
                  <c:v>39813</c:v>
                </c:pt>
                <c:pt idx="578">
                  <c:v>39820</c:v>
                </c:pt>
                <c:pt idx="579">
                  <c:v>39827</c:v>
                </c:pt>
                <c:pt idx="580">
                  <c:v>39834</c:v>
                </c:pt>
                <c:pt idx="581">
                  <c:v>39841</c:v>
                </c:pt>
                <c:pt idx="582">
                  <c:v>39848</c:v>
                </c:pt>
                <c:pt idx="583">
                  <c:v>39855</c:v>
                </c:pt>
                <c:pt idx="584">
                  <c:v>39862</c:v>
                </c:pt>
                <c:pt idx="585">
                  <c:v>39869</c:v>
                </c:pt>
                <c:pt idx="586">
                  <c:v>39876</c:v>
                </c:pt>
                <c:pt idx="587">
                  <c:v>39883</c:v>
                </c:pt>
                <c:pt idx="588">
                  <c:v>39890</c:v>
                </c:pt>
                <c:pt idx="589">
                  <c:v>39897</c:v>
                </c:pt>
                <c:pt idx="590">
                  <c:v>39904</c:v>
                </c:pt>
                <c:pt idx="591">
                  <c:v>39911</c:v>
                </c:pt>
                <c:pt idx="592">
                  <c:v>39918</c:v>
                </c:pt>
                <c:pt idx="593">
                  <c:v>39925</c:v>
                </c:pt>
                <c:pt idx="594">
                  <c:v>39932</c:v>
                </c:pt>
                <c:pt idx="595">
                  <c:v>39939</c:v>
                </c:pt>
                <c:pt idx="596">
                  <c:v>39946</c:v>
                </c:pt>
                <c:pt idx="597">
                  <c:v>39953</c:v>
                </c:pt>
                <c:pt idx="598">
                  <c:v>39960</c:v>
                </c:pt>
                <c:pt idx="599">
                  <c:v>39967</c:v>
                </c:pt>
                <c:pt idx="600">
                  <c:v>39974</c:v>
                </c:pt>
                <c:pt idx="601">
                  <c:v>39981</c:v>
                </c:pt>
                <c:pt idx="602">
                  <c:v>39988</c:v>
                </c:pt>
                <c:pt idx="603">
                  <c:v>39995</c:v>
                </c:pt>
                <c:pt idx="604">
                  <c:v>40002</c:v>
                </c:pt>
                <c:pt idx="605">
                  <c:v>40009</c:v>
                </c:pt>
                <c:pt idx="606">
                  <c:v>40016</c:v>
                </c:pt>
                <c:pt idx="607">
                  <c:v>40023</c:v>
                </c:pt>
                <c:pt idx="608">
                  <c:v>40030</c:v>
                </c:pt>
                <c:pt idx="609">
                  <c:v>40037</c:v>
                </c:pt>
                <c:pt idx="610">
                  <c:v>40044</c:v>
                </c:pt>
                <c:pt idx="611">
                  <c:v>40051</c:v>
                </c:pt>
                <c:pt idx="612">
                  <c:v>40058</c:v>
                </c:pt>
                <c:pt idx="613">
                  <c:v>40065</c:v>
                </c:pt>
                <c:pt idx="614">
                  <c:v>40072</c:v>
                </c:pt>
                <c:pt idx="615">
                  <c:v>40079</c:v>
                </c:pt>
                <c:pt idx="616">
                  <c:v>40086</c:v>
                </c:pt>
                <c:pt idx="617">
                  <c:v>40093</c:v>
                </c:pt>
                <c:pt idx="618">
                  <c:v>40100</c:v>
                </c:pt>
                <c:pt idx="619">
                  <c:v>40107</c:v>
                </c:pt>
                <c:pt idx="620">
                  <c:v>40114</c:v>
                </c:pt>
                <c:pt idx="621">
                  <c:v>40121</c:v>
                </c:pt>
                <c:pt idx="622">
                  <c:v>40128</c:v>
                </c:pt>
                <c:pt idx="623">
                  <c:v>40135</c:v>
                </c:pt>
                <c:pt idx="624">
                  <c:v>40142</c:v>
                </c:pt>
                <c:pt idx="625">
                  <c:v>40149</c:v>
                </c:pt>
                <c:pt idx="626">
                  <c:v>40156</c:v>
                </c:pt>
                <c:pt idx="627">
                  <c:v>40163</c:v>
                </c:pt>
                <c:pt idx="628">
                  <c:v>40170</c:v>
                </c:pt>
                <c:pt idx="629">
                  <c:v>40177</c:v>
                </c:pt>
                <c:pt idx="630">
                  <c:v>40184</c:v>
                </c:pt>
                <c:pt idx="631">
                  <c:v>40191</c:v>
                </c:pt>
                <c:pt idx="632">
                  <c:v>40198</c:v>
                </c:pt>
                <c:pt idx="633">
                  <c:v>40205</c:v>
                </c:pt>
                <c:pt idx="634">
                  <c:v>40212</c:v>
                </c:pt>
                <c:pt idx="635">
                  <c:v>40219</c:v>
                </c:pt>
                <c:pt idx="636">
                  <c:v>40226</c:v>
                </c:pt>
                <c:pt idx="637">
                  <c:v>40233</c:v>
                </c:pt>
                <c:pt idx="638">
                  <c:v>40240</c:v>
                </c:pt>
                <c:pt idx="639">
                  <c:v>40247</c:v>
                </c:pt>
                <c:pt idx="640">
                  <c:v>40254</c:v>
                </c:pt>
                <c:pt idx="641">
                  <c:v>40261</c:v>
                </c:pt>
                <c:pt idx="642">
                  <c:v>40268</c:v>
                </c:pt>
                <c:pt idx="643">
                  <c:v>40275</c:v>
                </c:pt>
                <c:pt idx="644">
                  <c:v>40282</c:v>
                </c:pt>
                <c:pt idx="645">
                  <c:v>40289</c:v>
                </c:pt>
                <c:pt idx="646">
                  <c:v>40296</c:v>
                </c:pt>
                <c:pt idx="647">
                  <c:v>40303</c:v>
                </c:pt>
                <c:pt idx="648">
                  <c:v>40310</c:v>
                </c:pt>
                <c:pt idx="649">
                  <c:v>40317</c:v>
                </c:pt>
                <c:pt idx="650">
                  <c:v>40324</c:v>
                </c:pt>
                <c:pt idx="651">
                  <c:v>40331</c:v>
                </c:pt>
                <c:pt idx="652">
                  <c:v>40338</c:v>
                </c:pt>
                <c:pt idx="653">
                  <c:v>40345</c:v>
                </c:pt>
                <c:pt idx="654">
                  <c:v>40352</c:v>
                </c:pt>
                <c:pt idx="655">
                  <c:v>40359</c:v>
                </c:pt>
                <c:pt idx="656">
                  <c:v>40366</c:v>
                </c:pt>
                <c:pt idx="657">
                  <c:v>40373</c:v>
                </c:pt>
                <c:pt idx="658">
                  <c:v>40380</c:v>
                </c:pt>
                <c:pt idx="659">
                  <c:v>40387</c:v>
                </c:pt>
                <c:pt idx="660">
                  <c:v>40394</c:v>
                </c:pt>
                <c:pt idx="661">
                  <c:v>40401</c:v>
                </c:pt>
                <c:pt idx="662">
                  <c:v>40408</c:v>
                </c:pt>
                <c:pt idx="663">
                  <c:v>40415</c:v>
                </c:pt>
                <c:pt idx="664">
                  <c:v>40422</c:v>
                </c:pt>
                <c:pt idx="665">
                  <c:v>40429</c:v>
                </c:pt>
                <c:pt idx="666">
                  <c:v>40436</c:v>
                </c:pt>
                <c:pt idx="667">
                  <c:v>40443</c:v>
                </c:pt>
                <c:pt idx="668">
                  <c:v>40450</c:v>
                </c:pt>
                <c:pt idx="669">
                  <c:v>40457</c:v>
                </c:pt>
                <c:pt idx="670">
                  <c:v>40464</c:v>
                </c:pt>
                <c:pt idx="671">
                  <c:v>40471</c:v>
                </c:pt>
                <c:pt idx="672">
                  <c:v>40478</c:v>
                </c:pt>
                <c:pt idx="673">
                  <c:v>40485</c:v>
                </c:pt>
                <c:pt idx="674">
                  <c:v>40492</c:v>
                </c:pt>
                <c:pt idx="675">
                  <c:v>40499</c:v>
                </c:pt>
                <c:pt idx="676">
                  <c:v>40506</c:v>
                </c:pt>
                <c:pt idx="677">
                  <c:v>40513</c:v>
                </c:pt>
                <c:pt idx="678">
                  <c:v>40520</c:v>
                </c:pt>
                <c:pt idx="679">
                  <c:v>40527</c:v>
                </c:pt>
                <c:pt idx="680">
                  <c:v>40534</c:v>
                </c:pt>
                <c:pt idx="681">
                  <c:v>40541</c:v>
                </c:pt>
                <c:pt idx="682">
                  <c:v>40548</c:v>
                </c:pt>
                <c:pt idx="683">
                  <c:v>40555</c:v>
                </c:pt>
                <c:pt idx="684">
                  <c:v>40562</c:v>
                </c:pt>
                <c:pt idx="685">
                  <c:v>40569</c:v>
                </c:pt>
                <c:pt idx="686">
                  <c:v>40576</c:v>
                </c:pt>
                <c:pt idx="687">
                  <c:v>40583</c:v>
                </c:pt>
                <c:pt idx="688">
                  <c:v>40590</c:v>
                </c:pt>
                <c:pt idx="689">
                  <c:v>40597</c:v>
                </c:pt>
                <c:pt idx="690">
                  <c:v>40604</c:v>
                </c:pt>
                <c:pt idx="691">
                  <c:v>40611</c:v>
                </c:pt>
                <c:pt idx="692">
                  <c:v>40618</c:v>
                </c:pt>
                <c:pt idx="693">
                  <c:v>40625</c:v>
                </c:pt>
                <c:pt idx="694">
                  <c:v>40632</c:v>
                </c:pt>
                <c:pt idx="695">
                  <c:v>40639</c:v>
                </c:pt>
                <c:pt idx="696">
                  <c:v>40646</c:v>
                </c:pt>
                <c:pt idx="697">
                  <c:v>40653</c:v>
                </c:pt>
                <c:pt idx="698">
                  <c:v>40660</c:v>
                </c:pt>
                <c:pt idx="699">
                  <c:v>40667</c:v>
                </c:pt>
                <c:pt idx="700">
                  <c:v>40674</c:v>
                </c:pt>
                <c:pt idx="701">
                  <c:v>40681</c:v>
                </c:pt>
                <c:pt idx="702">
                  <c:v>40688</c:v>
                </c:pt>
                <c:pt idx="703">
                  <c:v>40695</c:v>
                </c:pt>
                <c:pt idx="704">
                  <c:v>40702</c:v>
                </c:pt>
                <c:pt idx="705">
                  <c:v>40709</c:v>
                </c:pt>
                <c:pt idx="706">
                  <c:v>40716</c:v>
                </c:pt>
                <c:pt idx="707">
                  <c:v>40723</c:v>
                </c:pt>
                <c:pt idx="708">
                  <c:v>40730</c:v>
                </c:pt>
                <c:pt idx="709">
                  <c:v>40737</c:v>
                </c:pt>
                <c:pt idx="710">
                  <c:v>40744</c:v>
                </c:pt>
                <c:pt idx="711">
                  <c:v>40751</c:v>
                </c:pt>
                <c:pt idx="712">
                  <c:v>40758</c:v>
                </c:pt>
                <c:pt idx="713">
                  <c:v>40765</c:v>
                </c:pt>
                <c:pt idx="714">
                  <c:v>40772</c:v>
                </c:pt>
                <c:pt idx="715">
                  <c:v>40779</c:v>
                </c:pt>
                <c:pt idx="716">
                  <c:v>40786</c:v>
                </c:pt>
                <c:pt idx="717">
                  <c:v>40793</c:v>
                </c:pt>
                <c:pt idx="718">
                  <c:v>40800</c:v>
                </c:pt>
                <c:pt idx="719">
                  <c:v>40807</c:v>
                </c:pt>
                <c:pt idx="720">
                  <c:v>40814</c:v>
                </c:pt>
                <c:pt idx="721">
                  <c:v>40821</c:v>
                </c:pt>
                <c:pt idx="722">
                  <c:v>40828</c:v>
                </c:pt>
                <c:pt idx="723">
                  <c:v>40835</c:v>
                </c:pt>
                <c:pt idx="724">
                  <c:v>40842</c:v>
                </c:pt>
                <c:pt idx="725">
                  <c:v>40849</c:v>
                </c:pt>
                <c:pt idx="726">
                  <c:v>40856</c:v>
                </c:pt>
                <c:pt idx="727">
                  <c:v>40863</c:v>
                </c:pt>
                <c:pt idx="728">
                  <c:v>40870</c:v>
                </c:pt>
                <c:pt idx="729">
                  <c:v>40877</c:v>
                </c:pt>
                <c:pt idx="730">
                  <c:v>40884</c:v>
                </c:pt>
                <c:pt idx="731">
                  <c:v>40891</c:v>
                </c:pt>
                <c:pt idx="732">
                  <c:v>40898</c:v>
                </c:pt>
                <c:pt idx="733">
                  <c:v>40905</c:v>
                </c:pt>
                <c:pt idx="734">
                  <c:v>40912</c:v>
                </c:pt>
                <c:pt idx="735">
                  <c:v>40919</c:v>
                </c:pt>
                <c:pt idx="736">
                  <c:v>40926</c:v>
                </c:pt>
                <c:pt idx="737">
                  <c:v>40933</c:v>
                </c:pt>
                <c:pt idx="738">
                  <c:v>40940</c:v>
                </c:pt>
                <c:pt idx="739">
                  <c:v>40947</c:v>
                </c:pt>
                <c:pt idx="740">
                  <c:v>40954</c:v>
                </c:pt>
                <c:pt idx="741">
                  <c:v>40961</c:v>
                </c:pt>
                <c:pt idx="742">
                  <c:v>40968</c:v>
                </c:pt>
                <c:pt idx="743">
                  <c:v>40975</c:v>
                </c:pt>
                <c:pt idx="744">
                  <c:v>40982</c:v>
                </c:pt>
                <c:pt idx="745">
                  <c:v>40989</c:v>
                </c:pt>
                <c:pt idx="746">
                  <c:v>40996</c:v>
                </c:pt>
                <c:pt idx="747">
                  <c:v>41003</c:v>
                </c:pt>
                <c:pt idx="748">
                  <c:v>41010</c:v>
                </c:pt>
                <c:pt idx="749">
                  <c:v>41017</c:v>
                </c:pt>
                <c:pt idx="750">
                  <c:v>41024</c:v>
                </c:pt>
                <c:pt idx="751">
                  <c:v>41031</c:v>
                </c:pt>
                <c:pt idx="752">
                  <c:v>41038</c:v>
                </c:pt>
                <c:pt idx="753">
                  <c:v>41045</c:v>
                </c:pt>
                <c:pt idx="754">
                  <c:v>41052</c:v>
                </c:pt>
                <c:pt idx="755">
                  <c:v>41059</c:v>
                </c:pt>
                <c:pt idx="756">
                  <c:v>41066</c:v>
                </c:pt>
                <c:pt idx="757">
                  <c:v>41073</c:v>
                </c:pt>
                <c:pt idx="758">
                  <c:v>41080</c:v>
                </c:pt>
                <c:pt idx="759">
                  <c:v>41087</c:v>
                </c:pt>
                <c:pt idx="760">
                  <c:v>41094</c:v>
                </c:pt>
                <c:pt idx="761">
                  <c:v>41101</c:v>
                </c:pt>
                <c:pt idx="762">
                  <c:v>41108</c:v>
                </c:pt>
                <c:pt idx="763">
                  <c:v>41115</c:v>
                </c:pt>
                <c:pt idx="764">
                  <c:v>41122</c:v>
                </c:pt>
                <c:pt idx="765">
                  <c:v>41129</c:v>
                </c:pt>
                <c:pt idx="766">
                  <c:v>41136</c:v>
                </c:pt>
                <c:pt idx="767">
                  <c:v>41143</c:v>
                </c:pt>
                <c:pt idx="768">
                  <c:v>41150</c:v>
                </c:pt>
                <c:pt idx="769">
                  <c:v>41157</c:v>
                </c:pt>
                <c:pt idx="770">
                  <c:v>41164</c:v>
                </c:pt>
                <c:pt idx="771">
                  <c:v>41171</c:v>
                </c:pt>
                <c:pt idx="772">
                  <c:v>41178</c:v>
                </c:pt>
                <c:pt idx="773">
                  <c:v>41185</c:v>
                </c:pt>
                <c:pt idx="774">
                  <c:v>41192</c:v>
                </c:pt>
                <c:pt idx="775">
                  <c:v>41199</c:v>
                </c:pt>
                <c:pt idx="776">
                  <c:v>41206</c:v>
                </c:pt>
                <c:pt idx="777">
                  <c:v>41213</c:v>
                </c:pt>
                <c:pt idx="778">
                  <c:v>41220</c:v>
                </c:pt>
                <c:pt idx="779">
                  <c:v>41227</c:v>
                </c:pt>
                <c:pt idx="780">
                  <c:v>41234</c:v>
                </c:pt>
                <c:pt idx="781">
                  <c:v>41241</c:v>
                </c:pt>
                <c:pt idx="782">
                  <c:v>41248</c:v>
                </c:pt>
                <c:pt idx="783">
                  <c:v>41255</c:v>
                </c:pt>
                <c:pt idx="784">
                  <c:v>41262</c:v>
                </c:pt>
                <c:pt idx="785">
                  <c:v>41269</c:v>
                </c:pt>
                <c:pt idx="786">
                  <c:v>41276</c:v>
                </c:pt>
                <c:pt idx="787">
                  <c:v>41283</c:v>
                </c:pt>
                <c:pt idx="788">
                  <c:v>41290</c:v>
                </c:pt>
                <c:pt idx="789">
                  <c:v>41297</c:v>
                </c:pt>
                <c:pt idx="790">
                  <c:v>41304</c:v>
                </c:pt>
                <c:pt idx="791">
                  <c:v>41311</c:v>
                </c:pt>
                <c:pt idx="792">
                  <c:v>41318</c:v>
                </c:pt>
                <c:pt idx="793">
                  <c:v>41325</c:v>
                </c:pt>
                <c:pt idx="794">
                  <c:v>41332</c:v>
                </c:pt>
                <c:pt idx="795">
                  <c:v>41339</c:v>
                </c:pt>
                <c:pt idx="796">
                  <c:v>41346</c:v>
                </c:pt>
                <c:pt idx="797">
                  <c:v>41353</c:v>
                </c:pt>
                <c:pt idx="798">
                  <c:v>41360</c:v>
                </c:pt>
                <c:pt idx="799">
                  <c:v>41367</c:v>
                </c:pt>
                <c:pt idx="800">
                  <c:v>41374</c:v>
                </c:pt>
                <c:pt idx="801">
                  <c:v>41381</c:v>
                </c:pt>
                <c:pt idx="802">
                  <c:v>41388</c:v>
                </c:pt>
                <c:pt idx="803">
                  <c:v>41395</c:v>
                </c:pt>
                <c:pt idx="804">
                  <c:v>41402</c:v>
                </c:pt>
                <c:pt idx="805">
                  <c:v>41409</c:v>
                </c:pt>
                <c:pt idx="806">
                  <c:v>41416</c:v>
                </c:pt>
                <c:pt idx="807">
                  <c:v>41423</c:v>
                </c:pt>
                <c:pt idx="808">
                  <c:v>41430</c:v>
                </c:pt>
                <c:pt idx="809">
                  <c:v>41437</c:v>
                </c:pt>
                <c:pt idx="810">
                  <c:v>41444</c:v>
                </c:pt>
                <c:pt idx="811">
                  <c:v>41451</c:v>
                </c:pt>
                <c:pt idx="812">
                  <c:v>41458</c:v>
                </c:pt>
                <c:pt idx="813">
                  <c:v>41465</c:v>
                </c:pt>
                <c:pt idx="814">
                  <c:v>41472</c:v>
                </c:pt>
                <c:pt idx="815">
                  <c:v>41479</c:v>
                </c:pt>
                <c:pt idx="816">
                  <c:v>41486</c:v>
                </c:pt>
                <c:pt idx="817">
                  <c:v>41493</c:v>
                </c:pt>
                <c:pt idx="818">
                  <c:v>41500</c:v>
                </c:pt>
                <c:pt idx="819">
                  <c:v>41507</c:v>
                </c:pt>
                <c:pt idx="820">
                  <c:v>41514</c:v>
                </c:pt>
                <c:pt idx="821">
                  <c:v>41521</c:v>
                </c:pt>
                <c:pt idx="822">
                  <c:v>41528</c:v>
                </c:pt>
                <c:pt idx="823">
                  <c:v>41535</c:v>
                </c:pt>
                <c:pt idx="824">
                  <c:v>41542</c:v>
                </c:pt>
                <c:pt idx="825">
                  <c:v>41549</c:v>
                </c:pt>
                <c:pt idx="826">
                  <c:v>41556</c:v>
                </c:pt>
                <c:pt idx="827">
                  <c:v>41563</c:v>
                </c:pt>
                <c:pt idx="828">
                  <c:v>41570</c:v>
                </c:pt>
                <c:pt idx="829">
                  <c:v>41577</c:v>
                </c:pt>
                <c:pt idx="830">
                  <c:v>41584</c:v>
                </c:pt>
                <c:pt idx="831">
                  <c:v>41591</c:v>
                </c:pt>
                <c:pt idx="832">
                  <c:v>41598</c:v>
                </c:pt>
                <c:pt idx="833">
                  <c:v>41605</c:v>
                </c:pt>
                <c:pt idx="834">
                  <c:v>41612</c:v>
                </c:pt>
                <c:pt idx="835">
                  <c:v>41619</c:v>
                </c:pt>
                <c:pt idx="836">
                  <c:v>41626</c:v>
                </c:pt>
                <c:pt idx="837">
                  <c:v>41633</c:v>
                </c:pt>
                <c:pt idx="838">
                  <c:v>41640</c:v>
                </c:pt>
                <c:pt idx="839">
                  <c:v>41647</c:v>
                </c:pt>
                <c:pt idx="840">
                  <c:v>41654</c:v>
                </c:pt>
                <c:pt idx="841">
                  <c:v>41661</c:v>
                </c:pt>
                <c:pt idx="842">
                  <c:v>41668</c:v>
                </c:pt>
                <c:pt idx="843">
                  <c:v>41675</c:v>
                </c:pt>
                <c:pt idx="844">
                  <c:v>41682</c:v>
                </c:pt>
                <c:pt idx="845">
                  <c:v>41689</c:v>
                </c:pt>
                <c:pt idx="846">
                  <c:v>41696</c:v>
                </c:pt>
                <c:pt idx="847">
                  <c:v>41703</c:v>
                </c:pt>
                <c:pt idx="848">
                  <c:v>41710</c:v>
                </c:pt>
                <c:pt idx="849">
                  <c:v>41717</c:v>
                </c:pt>
                <c:pt idx="850">
                  <c:v>41724</c:v>
                </c:pt>
                <c:pt idx="851">
                  <c:v>41731</c:v>
                </c:pt>
                <c:pt idx="852">
                  <c:v>41738</c:v>
                </c:pt>
                <c:pt idx="853">
                  <c:v>41745</c:v>
                </c:pt>
                <c:pt idx="854">
                  <c:v>41752</c:v>
                </c:pt>
                <c:pt idx="855">
                  <c:v>41759</c:v>
                </c:pt>
                <c:pt idx="856">
                  <c:v>41766</c:v>
                </c:pt>
                <c:pt idx="857">
                  <c:v>41773</c:v>
                </c:pt>
                <c:pt idx="858">
                  <c:v>41780</c:v>
                </c:pt>
                <c:pt idx="859">
                  <c:v>41787</c:v>
                </c:pt>
                <c:pt idx="860">
                  <c:v>41794</c:v>
                </c:pt>
                <c:pt idx="861">
                  <c:v>41801</c:v>
                </c:pt>
                <c:pt idx="862">
                  <c:v>41808</c:v>
                </c:pt>
                <c:pt idx="863">
                  <c:v>41815</c:v>
                </c:pt>
                <c:pt idx="864">
                  <c:v>41822</c:v>
                </c:pt>
                <c:pt idx="865">
                  <c:v>41829</c:v>
                </c:pt>
                <c:pt idx="866">
                  <c:v>41836</c:v>
                </c:pt>
                <c:pt idx="867">
                  <c:v>41843</c:v>
                </c:pt>
                <c:pt idx="868">
                  <c:v>41850</c:v>
                </c:pt>
                <c:pt idx="869">
                  <c:v>41857</c:v>
                </c:pt>
                <c:pt idx="870">
                  <c:v>41864</c:v>
                </c:pt>
                <c:pt idx="871">
                  <c:v>41871</c:v>
                </c:pt>
                <c:pt idx="872">
                  <c:v>41878</c:v>
                </c:pt>
                <c:pt idx="873">
                  <c:v>41885</c:v>
                </c:pt>
                <c:pt idx="874">
                  <c:v>41892</c:v>
                </c:pt>
                <c:pt idx="875">
                  <c:v>41899</c:v>
                </c:pt>
                <c:pt idx="876">
                  <c:v>41906</c:v>
                </c:pt>
                <c:pt idx="877">
                  <c:v>41913</c:v>
                </c:pt>
                <c:pt idx="878">
                  <c:v>41920</c:v>
                </c:pt>
                <c:pt idx="879">
                  <c:v>41927</c:v>
                </c:pt>
                <c:pt idx="880">
                  <c:v>41934</c:v>
                </c:pt>
                <c:pt idx="881">
                  <c:v>41941</c:v>
                </c:pt>
                <c:pt idx="882">
                  <c:v>41948</c:v>
                </c:pt>
                <c:pt idx="883">
                  <c:v>41955</c:v>
                </c:pt>
                <c:pt idx="884">
                  <c:v>41962</c:v>
                </c:pt>
                <c:pt idx="885">
                  <c:v>41969</c:v>
                </c:pt>
                <c:pt idx="886">
                  <c:v>41976</c:v>
                </c:pt>
                <c:pt idx="887">
                  <c:v>41983</c:v>
                </c:pt>
                <c:pt idx="888">
                  <c:v>41990</c:v>
                </c:pt>
                <c:pt idx="889">
                  <c:v>41997</c:v>
                </c:pt>
                <c:pt idx="890">
                  <c:v>42004</c:v>
                </c:pt>
                <c:pt idx="891">
                  <c:v>42011</c:v>
                </c:pt>
                <c:pt idx="892">
                  <c:v>42018</c:v>
                </c:pt>
                <c:pt idx="893">
                  <c:v>42025</c:v>
                </c:pt>
                <c:pt idx="894">
                  <c:v>42032</c:v>
                </c:pt>
                <c:pt idx="895">
                  <c:v>42039</c:v>
                </c:pt>
                <c:pt idx="896">
                  <c:v>42046</c:v>
                </c:pt>
                <c:pt idx="897">
                  <c:v>42053</c:v>
                </c:pt>
                <c:pt idx="898">
                  <c:v>42060</c:v>
                </c:pt>
                <c:pt idx="899">
                  <c:v>42067</c:v>
                </c:pt>
                <c:pt idx="900">
                  <c:v>42074</c:v>
                </c:pt>
                <c:pt idx="901">
                  <c:v>42081</c:v>
                </c:pt>
                <c:pt idx="902">
                  <c:v>42088</c:v>
                </c:pt>
                <c:pt idx="903">
                  <c:v>42095</c:v>
                </c:pt>
                <c:pt idx="904">
                  <c:v>42102</c:v>
                </c:pt>
                <c:pt idx="905">
                  <c:v>42109</c:v>
                </c:pt>
                <c:pt idx="906">
                  <c:v>42116</c:v>
                </c:pt>
                <c:pt idx="907">
                  <c:v>42123</c:v>
                </c:pt>
                <c:pt idx="908">
                  <c:v>42130</c:v>
                </c:pt>
                <c:pt idx="909">
                  <c:v>42137</c:v>
                </c:pt>
                <c:pt idx="910">
                  <c:v>42144</c:v>
                </c:pt>
                <c:pt idx="911">
                  <c:v>42151</c:v>
                </c:pt>
                <c:pt idx="912">
                  <c:v>42158</c:v>
                </c:pt>
                <c:pt idx="913">
                  <c:v>42165</c:v>
                </c:pt>
                <c:pt idx="914">
                  <c:v>42172</c:v>
                </c:pt>
                <c:pt idx="915">
                  <c:v>42179</c:v>
                </c:pt>
                <c:pt idx="916">
                  <c:v>42186</c:v>
                </c:pt>
                <c:pt idx="917">
                  <c:v>42193</c:v>
                </c:pt>
                <c:pt idx="918">
                  <c:v>42200</c:v>
                </c:pt>
                <c:pt idx="919">
                  <c:v>42207</c:v>
                </c:pt>
                <c:pt idx="920">
                  <c:v>42214</c:v>
                </c:pt>
                <c:pt idx="921">
                  <c:v>42221</c:v>
                </c:pt>
                <c:pt idx="922">
                  <c:v>42228</c:v>
                </c:pt>
                <c:pt idx="923">
                  <c:v>42235</c:v>
                </c:pt>
                <c:pt idx="924">
                  <c:v>42242</c:v>
                </c:pt>
                <c:pt idx="925">
                  <c:v>42249</c:v>
                </c:pt>
                <c:pt idx="926">
                  <c:v>42256</c:v>
                </c:pt>
                <c:pt idx="927">
                  <c:v>42263</c:v>
                </c:pt>
                <c:pt idx="928">
                  <c:v>42270</c:v>
                </c:pt>
                <c:pt idx="929">
                  <c:v>42277</c:v>
                </c:pt>
                <c:pt idx="930">
                  <c:v>42284</c:v>
                </c:pt>
                <c:pt idx="931">
                  <c:v>42291</c:v>
                </c:pt>
                <c:pt idx="932">
                  <c:v>42298</c:v>
                </c:pt>
                <c:pt idx="933">
                  <c:v>42305</c:v>
                </c:pt>
                <c:pt idx="934">
                  <c:v>42312</c:v>
                </c:pt>
                <c:pt idx="935">
                  <c:v>42319</c:v>
                </c:pt>
                <c:pt idx="936">
                  <c:v>42326</c:v>
                </c:pt>
                <c:pt idx="937">
                  <c:v>42333</c:v>
                </c:pt>
                <c:pt idx="938">
                  <c:v>42340</c:v>
                </c:pt>
                <c:pt idx="939">
                  <c:v>42347</c:v>
                </c:pt>
                <c:pt idx="940">
                  <c:v>42354</c:v>
                </c:pt>
                <c:pt idx="941">
                  <c:v>42361</c:v>
                </c:pt>
                <c:pt idx="942">
                  <c:v>42368</c:v>
                </c:pt>
                <c:pt idx="943">
                  <c:v>42375</c:v>
                </c:pt>
                <c:pt idx="944">
                  <c:v>42382</c:v>
                </c:pt>
                <c:pt idx="945">
                  <c:v>42389</c:v>
                </c:pt>
                <c:pt idx="946">
                  <c:v>42396</c:v>
                </c:pt>
                <c:pt idx="947">
                  <c:v>42403</c:v>
                </c:pt>
                <c:pt idx="948">
                  <c:v>42410</c:v>
                </c:pt>
                <c:pt idx="949">
                  <c:v>42417</c:v>
                </c:pt>
                <c:pt idx="950">
                  <c:v>42424</c:v>
                </c:pt>
                <c:pt idx="951">
                  <c:v>42431</c:v>
                </c:pt>
                <c:pt idx="952">
                  <c:v>42438</c:v>
                </c:pt>
                <c:pt idx="953">
                  <c:v>42445</c:v>
                </c:pt>
                <c:pt idx="954">
                  <c:v>42452</c:v>
                </c:pt>
                <c:pt idx="955">
                  <c:v>42459</c:v>
                </c:pt>
                <c:pt idx="956">
                  <c:v>42466</c:v>
                </c:pt>
                <c:pt idx="957">
                  <c:v>42473</c:v>
                </c:pt>
                <c:pt idx="958">
                  <c:v>42480</c:v>
                </c:pt>
                <c:pt idx="959">
                  <c:v>42487</c:v>
                </c:pt>
                <c:pt idx="960">
                  <c:v>42494</c:v>
                </c:pt>
                <c:pt idx="961">
                  <c:v>42501</c:v>
                </c:pt>
                <c:pt idx="962">
                  <c:v>42508</c:v>
                </c:pt>
                <c:pt idx="963">
                  <c:v>42515</c:v>
                </c:pt>
                <c:pt idx="964">
                  <c:v>42522</c:v>
                </c:pt>
                <c:pt idx="965">
                  <c:v>42529</c:v>
                </c:pt>
                <c:pt idx="966">
                  <c:v>42536</c:v>
                </c:pt>
                <c:pt idx="967">
                  <c:v>42543</c:v>
                </c:pt>
                <c:pt idx="968">
                  <c:v>42550</c:v>
                </c:pt>
                <c:pt idx="969">
                  <c:v>42557</c:v>
                </c:pt>
                <c:pt idx="970">
                  <c:v>42564</c:v>
                </c:pt>
                <c:pt idx="971">
                  <c:v>42571</c:v>
                </c:pt>
                <c:pt idx="972">
                  <c:v>42578</c:v>
                </c:pt>
                <c:pt idx="973">
                  <c:v>42585</c:v>
                </c:pt>
                <c:pt idx="974">
                  <c:v>42592</c:v>
                </c:pt>
                <c:pt idx="975">
                  <c:v>42599</c:v>
                </c:pt>
                <c:pt idx="976">
                  <c:v>42606</c:v>
                </c:pt>
                <c:pt idx="977">
                  <c:v>42613</c:v>
                </c:pt>
                <c:pt idx="978">
                  <c:v>42620</c:v>
                </c:pt>
                <c:pt idx="979">
                  <c:v>42627</c:v>
                </c:pt>
                <c:pt idx="980">
                  <c:v>42634</c:v>
                </c:pt>
                <c:pt idx="981">
                  <c:v>42641</c:v>
                </c:pt>
                <c:pt idx="982">
                  <c:v>42648</c:v>
                </c:pt>
                <c:pt idx="983">
                  <c:v>42655</c:v>
                </c:pt>
                <c:pt idx="984">
                  <c:v>42662</c:v>
                </c:pt>
                <c:pt idx="985">
                  <c:v>42669</c:v>
                </c:pt>
                <c:pt idx="986">
                  <c:v>42676</c:v>
                </c:pt>
                <c:pt idx="987">
                  <c:v>42683</c:v>
                </c:pt>
                <c:pt idx="988">
                  <c:v>42690</c:v>
                </c:pt>
                <c:pt idx="989">
                  <c:v>42697</c:v>
                </c:pt>
                <c:pt idx="990">
                  <c:v>42704</c:v>
                </c:pt>
                <c:pt idx="991">
                  <c:v>42711</c:v>
                </c:pt>
                <c:pt idx="992">
                  <c:v>42718</c:v>
                </c:pt>
                <c:pt idx="993">
                  <c:v>42725</c:v>
                </c:pt>
                <c:pt idx="994">
                  <c:v>42732</c:v>
                </c:pt>
                <c:pt idx="995">
                  <c:v>42739</c:v>
                </c:pt>
                <c:pt idx="996">
                  <c:v>42746</c:v>
                </c:pt>
                <c:pt idx="997">
                  <c:v>42753</c:v>
                </c:pt>
                <c:pt idx="998">
                  <c:v>42760</c:v>
                </c:pt>
                <c:pt idx="999">
                  <c:v>42767</c:v>
                </c:pt>
                <c:pt idx="1000">
                  <c:v>42774</c:v>
                </c:pt>
                <c:pt idx="1001">
                  <c:v>42781</c:v>
                </c:pt>
                <c:pt idx="1002">
                  <c:v>42788</c:v>
                </c:pt>
                <c:pt idx="1003">
                  <c:v>42795</c:v>
                </c:pt>
                <c:pt idx="1004">
                  <c:v>42802</c:v>
                </c:pt>
                <c:pt idx="1005">
                  <c:v>42809</c:v>
                </c:pt>
                <c:pt idx="1006">
                  <c:v>42816</c:v>
                </c:pt>
                <c:pt idx="1007">
                  <c:v>42823</c:v>
                </c:pt>
                <c:pt idx="1008">
                  <c:v>42830</c:v>
                </c:pt>
                <c:pt idx="1009">
                  <c:v>42837</c:v>
                </c:pt>
                <c:pt idx="1010">
                  <c:v>42844</c:v>
                </c:pt>
                <c:pt idx="1011">
                  <c:v>42851</c:v>
                </c:pt>
                <c:pt idx="1012">
                  <c:v>42858</c:v>
                </c:pt>
                <c:pt idx="1013">
                  <c:v>42865</c:v>
                </c:pt>
                <c:pt idx="1014">
                  <c:v>42872</c:v>
                </c:pt>
                <c:pt idx="1015">
                  <c:v>42879</c:v>
                </c:pt>
                <c:pt idx="1016">
                  <c:v>42886</c:v>
                </c:pt>
                <c:pt idx="1017">
                  <c:v>42893</c:v>
                </c:pt>
                <c:pt idx="1018">
                  <c:v>42900</c:v>
                </c:pt>
                <c:pt idx="1019">
                  <c:v>42907</c:v>
                </c:pt>
                <c:pt idx="1020">
                  <c:v>42914</c:v>
                </c:pt>
                <c:pt idx="1021">
                  <c:v>42921</c:v>
                </c:pt>
                <c:pt idx="1022">
                  <c:v>42928</c:v>
                </c:pt>
                <c:pt idx="1023">
                  <c:v>42935</c:v>
                </c:pt>
                <c:pt idx="1024">
                  <c:v>42942</c:v>
                </c:pt>
                <c:pt idx="1025">
                  <c:v>42949</c:v>
                </c:pt>
                <c:pt idx="1026">
                  <c:v>42956</c:v>
                </c:pt>
                <c:pt idx="1027">
                  <c:v>42963</c:v>
                </c:pt>
                <c:pt idx="1028">
                  <c:v>42970</c:v>
                </c:pt>
                <c:pt idx="1029">
                  <c:v>42977</c:v>
                </c:pt>
                <c:pt idx="1030">
                  <c:v>42984</c:v>
                </c:pt>
                <c:pt idx="1031">
                  <c:v>42991</c:v>
                </c:pt>
                <c:pt idx="1032">
                  <c:v>42998</c:v>
                </c:pt>
                <c:pt idx="1033">
                  <c:v>43005</c:v>
                </c:pt>
                <c:pt idx="1034">
                  <c:v>43012</c:v>
                </c:pt>
                <c:pt idx="1035">
                  <c:v>43019</c:v>
                </c:pt>
                <c:pt idx="1036">
                  <c:v>43026</c:v>
                </c:pt>
                <c:pt idx="1037">
                  <c:v>43033</c:v>
                </c:pt>
                <c:pt idx="1038">
                  <c:v>43040</c:v>
                </c:pt>
                <c:pt idx="1039">
                  <c:v>43047</c:v>
                </c:pt>
                <c:pt idx="1040">
                  <c:v>43054</c:v>
                </c:pt>
                <c:pt idx="1041">
                  <c:v>43061</c:v>
                </c:pt>
                <c:pt idx="1042">
                  <c:v>43068</c:v>
                </c:pt>
                <c:pt idx="1043">
                  <c:v>43075</c:v>
                </c:pt>
                <c:pt idx="1044">
                  <c:v>43082</c:v>
                </c:pt>
                <c:pt idx="1045">
                  <c:v>43089</c:v>
                </c:pt>
                <c:pt idx="1046">
                  <c:v>43096</c:v>
                </c:pt>
                <c:pt idx="1047">
                  <c:v>43103</c:v>
                </c:pt>
                <c:pt idx="1048">
                  <c:v>43110</c:v>
                </c:pt>
                <c:pt idx="1049">
                  <c:v>43117</c:v>
                </c:pt>
                <c:pt idx="1050">
                  <c:v>43124</c:v>
                </c:pt>
                <c:pt idx="1051">
                  <c:v>43131</c:v>
                </c:pt>
                <c:pt idx="1052">
                  <c:v>43138</c:v>
                </c:pt>
                <c:pt idx="1053">
                  <c:v>43145</c:v>
                </c:pt>
                <c:pt idx="1054">
                  <c:v>43152</c:v>
                </c:pt>
                <c:pt idx="1055">
                  <c:v>43159</c:v>
                </c:pt>
                <c:pt idx="1056">
                  <c:v>43166</c:v>
                </c:pt>
                <c:pt idx="1057">
                  <c:v>43173</c:v>
                </c:pt>
                <c:pt idx="1058">
                  <c:v>43180</c:v>
                </c:pt>
                <c:pt idx="1059">
                  <c:v>43187</c:v>
                </c:pt>
                <c:pt idx="1060">
                  <c:v>43194</c:v>
                </c:pt>
                <c:pt idx="1061">
                  <c:v>43201</c:v>
                </c:pt>
                <c:pt idx="1062">
                  <c:v>43208</c:v>
                </c:pt>
                <c:pt idx="1063">
                  <c:v>43215</c:v>
                </c:pt>
                <c:pt idx="1064">
                  <c:v>43222</c:v>
                </c:pt>
                <c:pt idx="1065">
                  <c:v>43229</c:v>
                </c:pt>
                <c:pt idx="1066">
                  <c:v>43236</c:v>
                </c:pt>
                <c:pt idx="1067">
                  <c:v>43243</c:v>
                </c:pt>
                <c:pt idx="1068">
                  <c:v>43250</c:v>
                </c:pt>
                <c:pt idx="1069">
                  <c:v>43257</c:v>
                </c:pt>
                <c:pt idx="1070">
                  <c:v>43264</c:v>
                </c:pt>
                <c:pt idx="1071">
                  <c:v>43271</c:v>
                </c:pt>
                <c:pt idx="1072">
                  <c:v>43278</c:v>
                </c:pt>
                <c:pt idx="1073">
                  <c:v>43285</c:v>
                </c:pt>
                <c:pt idx="1074">
                  <c:v>43292</c:v>
                </c:pt>
                <c:pt idx="1075">
                  <c:v>43299</c:v>
                </c:pt>
                <c:pt idx="1076">
                  <c:v>43306</c:v>
                </c:pt>
                <c:pt idx="1077">
                  <c:v>43313</c:v>
                </c:pt>
                <c:pt idx="1078">
                  <c:v>43320</c:v>
                </c:pt>
                <c:pt idx="1079">
                  <c:v>43327</c:v>
                </c:pt>
                <c:pt idx="1080">
                  <c:v>43334</c:v>
                </c:pt>
                <c:pt idx="1081">
                  <c:v>43341</c:v>
                </c:pt>
                <c:pt idx="1082">
                  <c:v>43348</c:v>
                </c:pt>
                <c:pt idx="1083">
                  <c:v>43355</c:v>
                </c:pt>
                <c:pt idx="1084">
                  <c:v>43362</c:v>
                </c:pt>
                <c:pt idx="1085">
                  <c:v>43369</c:v>
                </c:pt>
                <c:pt idx="1086">
                  <c:v>43376</c:v>
                </c:pt>
                <c:pt idx="1087">
                  <c:v>43383</c:v>
                </c:pt>
                <c:pt idx="1088">
                  <c:v>43390</c:v>
                </c:pt>
                <c:pt idx="1089">
                  <c:v>43397</c:v>
                </c:pt>
                <c:pt idx="1090">
                  <c:v>43404</c:v>
                </c:pt>
                <c:pt idx="1091">
                  <c:v>43411</c:v>
                </c:pt>
                <c:pt idx="1092">
                  <c:v>43418</c:v>
                </c:pt>
                <c:pt idx="1093">
                  <c:v>43425</c:v>
                </c:pt>
                <c:pt idx="1094">
                  <c:v>43432</c:v>
                </c:pt>
                <c:pt idx="1095">
                  <c:v>43439</c:v>
                </c:pt>
                <c:pt idx="1096">
                  <c:v>43446</c:v>
                </c:pt>
                <c:pt idx="1097">
                  <c:v>43453</c:v>
                </c:pt>
                <c:pt idx="1098">
                  <c:v>43460</c:v>
                </c:pt>
                <c:pt idx="1099">
                  <c:v>43467</c:v>
                </c:pt>
                <c:pt idx="1100">
                  <c:v>43474</c:v>
                </c:pt>
                <c:pt idx="1101">
                  <c:v>43481</c:v>
                </c:pt>
                <c:pt idx="1102">
                  <c:v>43488</c:v>
                </c:pt>
                <c:pt idx="1103">
                  <c:v>43495</c:v>
                </c:pt>
                <c:pt idx="1104">
                  <c:v>43502</c:v>
                </c:pt>
                <c:pt idx="1105">
                  <c:v>43509</c:v>
                </c:pt>
                <c:pt idx="1106">
                  <c:v>43516</c:v>
                </c:pt>
                <c:pt idx="1107">
                  <c:v>43523</c:v>
                </c:pt>
                <c:pt idx="1108">
                  <c:v>43530</c:v>
                </c:pt>
                <c:pt idx="1109">
                  <c:v>43537</c:v>
                </c:pt>
                <c:pt idx="1110">
                  <c:v>43544</c:v>
                </c:pt>
                <c:pt idx="1111">
                  <c:v>43551</c:v>
                </c:pt>
                <c:pt idx="1112">
                  <c:v>43558</c:v>
                </c:pt>
                <c:pt idx="1113">
                  <c:v>43565</c:v>
                </c:pt>
                <c:pt idx="1114">
                  <c:v>43572</c:v>
                </c:pt>
                <c:pt idx="1115">
                  <c:v>43579</c:v>
                </c:pt>
                <c:pt idx="1116">
                  <c:v>43586</c:v>
                </c:pt>
                <c:pt idx="1117">
                  <c:v>43593</c:v>
                </c:pt>
                <c:pt idx="1118">
                  <c:v>43600</c:v>
                </c:pt>
                <c:pt idx="1119">
                  <c:v>43607</c:v>
                </c:pt>
                <c:pt idx="1120">
                  <c:v>43614</c:v>
                </c:pt>
                <c:pt idx="1121">
                  <c:v>43621</c:v>
                </c:pt>
                <c:pt idx="1122">
                  <c:v>43628</c:v>
                </c:pt>
                <c:pt idx="1123">
                  <c:v>43635</c:v>
                </c:pt>
                <c:pt idx="1124">
                  <c:v>43642</c:v>
                </c:pt>
                <c:pt idx="1125">
                  <c:v>43649</c:v>
                </c:pt>
                <c:pt idx="1126">
                  <c:v>43656</c:v>
                </c:pt>
                <c:pt idx="1127">
                  <c:v>43663</c:v>
                </c:pt>
                <c:pt idx="1128">
                  <c:v>43670</c:v>
                </c:pt>
                <c:pt idx="1129">
                  <c:v>43677</c:v>
                </c:pt>
                <c:pt idx="1130">
                  <c:v>43684</c:v>
                </c:pt>
                <c:pt idx="1131">
                  <c:v>43691</c:v>
                </c:pt>
                <c:pt idx="1132">
                  <c:v>43698</c:v>
                </c:pt>
                <c:pt idx="1133">
                  <c:v>43705</c:v>
                </c:pt>
                <c:pt idx="1134">
                  <c:v>43712</c:v>
                </c:pt>
                <c:pt idx="1135">
                  <c:v>43719</c:v>
                </c:pt>
                <c:pt idx="1136">
                  <c:v>43726</c:v>
                </c:pt>
                <c:pt idx="1137">
                  <c:v>43733</c:v>
                </c:pt>
                <c:pt idx="1138">
                  <c:v>43740</c:v>
                </c:pt>
                <c:pt idx="1139">
                  <c:v>43747</c:v>
                </c:pt>
                <c:pt idx="1140">
                  <c:v>43754</c:v>
                </c:pt>
                <c:pt idx="1141">
                  <c:v>43761</c:v>
                </c:pt>
                <c:pt idx="1142">
                  <c:v>43768</c:v>
                </c:pt>
                <c:pt idx="1143">
                  <c:v>43775</c:v>
                </c:pt>
                <c:pt idx="1144">
                  <c:v>43782</c:v>
                </c:pt>
                <c:pt idx="1145">
                  <c:v>43789</c:v>
                </c:pt>
                <c:pt idx="1146">
                  <c:v>43796</c:v>
                </c:pt>
                <c:pt idx="1147">
                  <c:v>43803</c:v>
                </c:pt>
                <c:pt idx="1148">
                  <c:v>43810</c:v>
                </c:pt>
                <c:pt idx="1149">
                  <c:v>43817</c:v>
                </c:pt>
                <c:pt idx="1150">
                  <c:v>43824</c:v>
                </c:pt>
                <c:pt idx="1151">
                  <c:v>43831</c:v>
                </c:pt>
                <c:pt idx="1152">
                  <c:v>43838</c:v>
                </c:pt>
                <c:pt idx="1153">
                  <c:v>43845</c:v>
                </c:pt>
                <c:pt idx="1154">
                  <c:v>43852</c:v>
                </c:pt>
                <c:pt idx="1155">
                  <c:v>43859</c:v>
                </c:pt>
                <c:pt idx="1156">
                  <c:v>43866</c:v>
                </c:pt>
                <c:pt idx="1157">
                  <c:v>43873</c:v>
                </c:pt>
                <c:pt idx="1158">
                  <c:v>43880</c:v>
                </c:pt>
                <c:pt idx="1159">
                  <c:v>43887</c:v>
                </c:pt>
                <c:pt idx="1160">
                  <c:v>43894</c:v>
                </c:pt>
                <c:pt idx="1161">
                  <c:v>43901</c:v>
                </c:pt>
                <c:pt idx="1162">
                  <c:v>43908</c:v>
                </c:pt>
                <c:pt idx="1163">
                  <c:v>43915</c:v>
                </c:pt>
                <c:pt idx="1164">
                  <c:v>43922</c:v>
                </c:pt>
                <c:pt idx="1165">
                  <c:v>43929</c:v>
                </c:pt>
                <c:pt idx="1166">
                  <c:v>43936</c:v>
                </c:pt>
                <c:pt idx="1167">
                  <c:v>43943</c:v>
                </c:pt>
                <c:pt idx="1168">
                  <c:v>43950</c:v>
                </c:pt>
                <c:pt idx="1169">
                  <c:v>43957</c:v>
                </c:pt>
                <c:pt idx="1170">
                  <c:v>43964</c:v>
                </c:pt>
                <c:pt idx="1171">
                  <c:v>43971</c:v>
                </c:pt>
                <c:pt idx="1172">
                  <c:v>43978</c:v>
                </c:pt>
                <c:pt idx="1173">
                  <c:v>43985</c:v>
                </c:pt>
                <c:pt idx="1174">
                  <c:v>43992</c:v>
                </c:pt>
                <c:pt idx="1175">
                  <c:v>43999</c:v>
                </c:pt>
                <c:pt idx="1176">
                  <c:v>44006</c:v>
                </c:pt>
                <c:pt idx="1177">
                  <c:v>44013</c:v>
                </c:pt>
                <c:pt idx="1178">
                  <c:v>44020</c:v>
                </c:pt>
                <c:pt idx="1179">
                  <c:v>44027</c:v>
                </c:pt>
                <c:pt idx="1180">
                  <c:v>44034</c:v>
                </c:pt>
                <c:pt idx="1181">
                  <c:v>44041</c:v>
                </c:pt>
                <c:pt idx="1182">
                  <c:v>44048</c:v>
                </c:pt>
                <c:pt idx="1183">
                  <c:v>44055</c:v>
                </c:pt>
                <c:pt idx="1184">
                  <c:v>44062</c:v>
                </c:pt>
                <c:pt idx="1185">
                  <c:v>44069</c:v>
                </c:pt>
                <c:pt idx="1186">
                  <c:v>44076</c:v>
                </c:pt>
                <c:pt idx="1187">
                  <c:v>44083</c:v>
                </c:pt>
                <c:pt idx="1188">
                  <c:v>44090</c:v>
                </c:pt>
                <c:pt idx="1189">
                  <c:v>44097</c:v>
                </c:pt>
                <c:pt idx="1190">
                  <c:v>44104</c:v>
                </c:pt>
                <c:pt idx="1191">
                  <c:v>44111</c:v>
                </c:pt>
                <c:pt idx="1192">
                  <c:v>44118</c:v>
                </c:pt>
                <c:pt idx="1193">
                  <c:v>44125</c:v>
                </c:pt>
                <c:pt idx="1194">
                  <c:v>44132</c:v>
                </c:pt>
                <c:pt idx="1195">
                  <c:v>44139</c:v>
                </c:pt>
                <c:pt idx="1196">
                  <c:v>44146</c:v>
                </c:pt>
                <c:pt idx="1197">
                  <c:v>44153</c:v>
                </c:pt>
                <c:pt idx="1198">
                  <c:v>44160</c:v>
                </c:pt>
                <c:pt idx="1199">
                  <c:v>44167</c:v>
                </c:pt>
                <c:pt idx="1200">
                  <c:v>44174</c:v>
                </c:pt>
                <c:pt idx="1201">
                  <c:v>44181</c:v>
                </c:pt>
                <c:pt idx="1202">
                  <c:v>44188</c:v>
                </c:pt>
                <c:pt idx="1203">
                  <c:v>44195</c:v>
                </c:pt>
              </c:numCache>
            </c:numRef>
          </c:cat>
          <c:val>
            <c:numRef>
              <c:f>balance_sheet!$AH$6:$AH$1209</c:f>
              <c:numCache>
                <c:formatCode>General</c:formatCode>
                <c:ptCount val="1204"/>
                <c:pt idx="0">
                  <c:v>-4736</c:v>
                </c:pt>
                <c:pt idx="1">
                  <c:v>-4575</c:v>
                </c:pt>
                <c:pt idx="2">
                  <c:v>-5032</c:v>
                </c:pt>
                <c:pt idx="3">
                  <c:v>-4527</c:v>
                </c:pt>
                <c:pt idx="4">
                  <c:v>-6590</c:v>
                </c:pt>
                <c:pt idx="5">
                  <c:v>-6638</c:v>
                </c:pt>
                <c:pt idx="6">
                  <c:v>-6817</c:v>
                </c:pt>
                <c:pt idx="7">
                  <c:v>-6452</c:v>
                </c:pt>
                <c:pt idx="8">
                  <c:v>-6371</c:v>
                </c:pt>
                <c:pt idx="9">
                  <c:v>-5423</c:v>
                </c:pt>
                <c:pt idx="10">
                  <c:v>-3900</c:v>
                </c:pt>
                <c:pt idx="11">
                  <c:v>-3147</c:v>
                </c:pt>
                <c:pt idx="12">
                  <c:v>-3170</c:v>
                </c:pt>
                <c:pt idx="13">
                  <c:v>-3355</c:v>
                </c:pt>
                <c:pt idx="14">
                  <c:v>-3379</c:v>
                </c:pt>
                <c:pt idx="15">
                  <c:v>-3361</c:v>
                </c:pt>
                <c:pt idx="16">
                  <c:v>-3239</c:v>
                </c:pt>
                <c:pt idx="17">
                  <c:v>-3346</c:v>
                </c:pt>
                <c:pt idx="18">
                  <c:v>-3257</c:v>
                </c:pt>
                <c:pt idx="19">
                  <c:v>-3194</c:v>
                </c:pt>
                <c:pt idx="20">
                  <c:v>-3385</c:v>
                </c:pt>
                <c:pt idx="21">
                  <c:v>-3592</c:v>
                </c:pt>
                <c:pt idx="22">
                  <c:v>-3529</c:v>
                </c:pt>
                <c:pt idx="23">
                  <c:v>-3432</c:v>
                </c:pt>
                <c:pt idx="24">
                  <c:v>-3630</c:v>
                </c:pt>
                <c:pt idx="25">
                  <c:v>-3506</c:v>
                </c:pt>
                <c:pt idx="26">
                  <c:v>-3209</c:v>
                </c:pt>
                <c:pt idx="27">
                  <c:v>-3665</c:v>
                </c:pt>
                <c:pt idx="28">
                  <c:v>-3378</c:v>
                </c:pt>
                <c:pt idx="29">
                  <c:v>-3734</c:v>
                </c:pt>
                <c:pt idx="30">
                  <c:v>-4083</c:v>
                </c:pt>
                <c:pt idx="31">
                  <c:v>-3542</c:v>
                </c:pt>
                <c:pt idx="32">
                  <c:v>-3677</c:v>
                </c:pt>
                <c:pt idx="33">
                  <c:v>-3658</c:v>
                </c:pt>
                <c:pt idx="34">
                  <c:v>-3626</c:v>
                </c:pt>
                <c:pt idx="35">
                  <c:v>-3798</c:v>
                </c:pt>
                <c:pt idx="36">
                  <c:v>-4059</c:v>
                </c:pt>
                <c:pt idx="37">
                  <c:v>-3980</c:v>
                </c:pt>
                <c:pt idx="38">
                  <c:v>-4064</c:v>
                </c:pt>
                <c:pt idx="39">
                  <c:v>-6104</c:v>
                </c:pt>
                <c:pt idx="40">
                  <c:v>-3961</c:v>
                </c:pt>
                <c:pt idx="41">
                  <c:v>-3983</c:v>
                </c:pt>
                <c:pt idx="42">
                  <c:v>-4065</c:v>
                </c:pt>
                <c:pt idx="43">
                  <c:v>-6606</c:v>
                </c:pt>
                <c:pt idx="44">
                  <c:v>-4087</c:v>
                </c:pt>
                <c:pt idx="45">
                  <c:v>-3962</c:v>
                </c:pt>
                <c:pt idx="46">
                  <c:v>-4027</c:v>
                </c:pt>
                <c:pt idx="47">
                  <c:v>-4510</c:v>
                </c:pt>
                <c:pt idx="48">
                  <c:v>-4238</c:v>
                </c:pt>
                <c:pt idx="49">
                  <c:v>-5163</c:v>
                </c:pt>
                <c:pt idx="50">
                  <c:v>-6016</c:v>
                </c:pt>
                <c:pt idx="51">
                  <c:v>-6659</c:v>
                </c:pt>
                <c:pt idx="52">
                  <c:v>-17084</c:v>
                </c:pt>
                <c:pt idx="53">
                  <c:v>-31240</c:v>
                </c:pt>
                <c:pt idx="54">
                  <c:v>-43504</c:v>
                </c:pt>
                <c:pt idx="55">
                  <c:v>-49712</c:v>
                </c:pt>
                <c:pt idx="56">
                  <c:v>-63961</c:v>
                </c:pt>
                <c:pt idx="57">
                  <c:v>-72958</c:v>
                </c:pt>
                <c:pt idx="58">
                  <c:v>-77339</c:v>
                </c:pt>
                <c:pt idx="59">
                  <c:v>-35886</c:v>
                </c:pt>
                <c:pt idx="60">
                  <c:v>-20509</c:v>
                </c:pt>
                <c:pt idx="61">
                  <c:v>-30216</c:v>
                </c:pt>
                <c:pt idx="62">
                  <c:v>-30226</c:v>
                </c:pt>
                <c:pt idx="63">
                  <c:v>-33854</c:v>
                </c:pt>
                <c:pt idx="64">
                  <c:v>-46467</c:v>
                </c:pt>
                <c:pt idx="65">
                  <c:v>-53887</c:v>
                </c:pt>
                <c:pt idx="66">
                  <c:v>-63637</c:v>
                </c:pt>
                <c:pt idx="67">
                  <c:v>-47016</c:v>
                </c:pt>
                <c:pt idx="68">
                  <c:v>-45227</c:v>
                </c:pt>
                <c:pt idx="69">
                  <c:v>-53410</c:v>
                </c:pt>
                <c:pt idx="70">
                  <c:v>-65697</c:v>
                </c:pt>
                <c:pt idx="71">
                  <c:v>-77560</c:v>
                </c:pt>
                <c:pt idx="72">
                  <c:v>-86309</c:v>
                </c:pt>
                <c:pt idx="73">
                  <c:v>-22385</c:v>
                </c:pt>
                <c:pt idx="74">
                  <c:v>-34984</c:v>
                </c:pt>
                <c:pt idx="75">
                  <c:v>-48172</c:v>
                </c:pt>
                <c:pt idx="76">
                  <c:v>-67917</c:v>
                </c:pt>
                <c:pt idx="77">
                  <c:v>-81914</c:v>
                </c:pt>
                <c:pt idx="78">
                  <c:v>-96547</c:v>
                </c:pt>
                <c:pt idx="79">
                  <c:v>-19045</c:v>
                </c:pt>
                <c:pt idx="80">
                  <c:v>-23878</c:v>
                </c:pt>
                <c:pt idx="81">
                  <c:v>-40512</c:v>
                </c:pt>
                <c:pt idx="82">
                  <c:v>-54698</c:v>
                </c:pt>
                <c:pt idx="83">
                  <c:v>-61447</c:v>
                </c:pt>
                <c:pt idx="84">
                  <c:v>-71386</c:v>
                </c:pt>
                <c:pt idx="85">
                  <c:v>-25883</c:v>
                </c:pt>
                <c:pt idx="86">
                  <c:v>-36593</c:v>
                </c:pt>
                <c:pt idx="87">
                  <c:v>-42213</c:v>
                </c:pt>
                <c:pt idx="88">
                  <c:v>-51391</c:v>
                </c:pt>
                <c:pt idx="89">
                  <c:v>-65425</c:v>
                </c:pt>
                <c:pt idx="90">
                  <c:v>-28852</c:v>
                </c:pt>
                <c:pt idx="91">
                  <c:v>-40533</c:v>
                </c:pt>
                <c:pt idx="92">
                  <c:v>-55834</c:v>
                </c:pt>
                <c:pt idx="93">
                  <c:v>-63479</c:v>
                </c:pt>
                <c:pt idx="94">
                  <c:v>-28629</c:v>
                </c:pt>
                <c:pt idx="95">
                  <c:v>-37789</c:v>
                </c:pt>
                <c:pt idx="96">
                  <c:v>-50547</c:v>
                </c:pt>
                <c:pt idx="97">
                  <c:v>-56731</c:v>
                </c:pt>
                <c:pt idx="98">
                  <c:v>-18661</c:v>
                </c:pt>
                <c:pt idx="99">
                  <c:v>-24681</c:v>
                </c:pt>
                <c:pt idx="100">
                  <c:v>-37392</c:v>
                </c:pt>
                <c:pt idx="101">
                  <c:v>-50506</c:v>
                </c:pt>
                <c:pt idx="102">
                  <c:v>-20369</c:v>
                </c:pt>
                <c:pt idx="103">
                  <c:v>-11234</c:v>
                </c:pt>
                <c:pt idx="104">
                  <c:v>-14261</c:v>
                </c:pt>
                <c:pt idx="105">
                  <c:v>-27043</c:v>
                </c:pt>
                <c:pt idx="106">
                  <c:v>-39583</c:v>
                </c:pt>
                <c:pt idx="107">
                  <c:v>-21017</c:v>
                </c:pt>
                <c:pt idx="108">
                  <c:v>-32056</c:v>
                </c:pt>
                <c:pt idx="109">
                  <c:v>-48182</c:v>
                </c:pt>
                <c:pt idx="110">
                  <c:v>-54235</c:v>
                </c:pt>
                <c:pt idx="111">
                  <c:v>-62505</c:v>
                </c:pt>
                <c:pt idx="112">
                  <c:v>-21592</c:v>
                </c:pt>
                <c:pt idx="113">
                  <c:v>-33459</c:v>
                </c:pt>
                <c:pt idx="114">
                  <c:v>-43408</c:v>
                </c:pt>
                <c:pt idx="115">
                  <c:v>-58326</c:v>
                </c:pt>
                <c:pt idx="116">
                  <c:v>-21319</c:v>
                </c:pt>
                <c:pt idx="117">
                  <c:v>-33480</c:v>
                </c:pt>
                <c:pt idx="118">
                  <c:v>-38121</c:v>
                </c:pt>
                <c:pt idx="119">
                  <c:v>-51672</c:v>
                </c:pt>
                <c:pt idx="120">
                  <c:v>-57808</c:v>
                </c:pt>
                <c:pt idx="121">
                  <c:v>-25115</c:v>
                </c:pt>
                <c:pt idx="122">
                  <c:v>-30797</c:v>
                </c:pt>
                <c:pt idx="123">
                  <c:v>-42103</c:v>
                </c:pt>
                <c:pt idx="124">
                  <c:v>-51329</c:v>
                </c:pt>
                <c:pt idx="125">
                  <c:v>-27683</c:v>
                </c:pt>
                <c:pt idx="126">
                  <c:v>-41437</c:v>
                </c:pt>
                <c:pt idx="127">
                  <c:v>-52935</c:v>
                </c:pt>
                <c:pt idx="128">
                  <c:v>-62299</c:v>
                </c:pt>
                <c:pt idx="129">
                  <c:v>-26534</c:v>
                </c:pt>
                <c:pt idx="130">
                  <c:v>-36109</c:v>
                </c:pt>
                <c:pt idx="131">
                  <c:v>-49223</c:v>
                </c:pt>
                <c:pt idx="132">
                  <c:v>-58890</c:v>
                </c:pt>
                <c:pt idx="133">
                  <c:v>-19291</c:v>
                </c:pt>
                <c:pt idx="134">
                  <c:v>-33915</c:v>
                </c:pt>
                <c:pt idx="135">
                  <c:v>-44961</c:v>
                </c:pt>
                <c:pt idx="136">
                  <c:v>-53071</c:v>
                </c:pt>
                <c:pt idx="137">
                  <c:v>-60026</c:v>
                </c:pt>
                <c:pt idx="138">
                  <c:v>-19599</c:v>
                </c:pt>
                <c:pt idx="139">
                  <c:v>-34659</c:v>
                </c:pt>
                <c:pt idx="140">
                  <c:v>-45022</c:v>
                </c:pt>
                <c:pt idx="141">
                  <c:v>-56103</c:v>
                </c:pt>
                <c:pt idx="142">
                  <c:v>-21589</c:v>
                </c:pt>
                <c:pt idx="143">
                  <c:v>-27972</c:v>
                </c:pt>
                <c:pt idx="144">
                  <c:v>-40004</c:v>
                </c:pt>
                <c:pt idx="145">
                  <c:v>-47171</c:v>
                </c:pt>
                <c:pt idx="146">
                  <c:v>-56649</c:v>
                </c:pt>
                <c:pt idx="147">
                  <c:v>-21474</c:v>
                </c:pt>
                <c:pt idx="148">
                  <c:v>-30169</c:v>
                </c:pt>
                <c:pt idx="149">
                  <c:v>-35768</c:v>
                </c:pt>
                <c:pt idx="150">
                  <c:v>-57292</c:v>
                </c:pt>
                <c:pt idx="151">
                  <c:v>-68118</c:v>
                </c:pt>
                <c:pt idx="152">
                  <c:v>-8358</c:v>
                </c:pt>
                <c:pt idx="153">
                  <c:v>-8623</c:v>
                </c:pt>
                <c:pt idx="154">
                  <c:v>-8471</c:v>
                </c:pt>
                <c:pt idx="155">
                  <c:v>-8596</c:v>
                </c:pt>
                <c:pt idx="156">
                  <c:v>-8807</c:v>
                </c:pt>
                <c:pt idx="157">
                  <c:v>-8563</c:v>
                </c:pt>
                <c:pt idx="158">
                  <c:v>-8373</c:v>
                </c:pt>
                <c:pt idx="159">
                  <c:v>-8245</c:v>
                </c:pt>
                <c:pt idx="160">
                  <c:v>-8623</c:v>
                </c:pt>
                <c:pt idx="161">
                  <c:v>-8789</c:v>
                </c:pt>
                <c:pt idx="162">
                  <c:v>-9024</c:v>
                </c:pt>
                <c:pt idx="163">
                  <c:v>-9036</c:v>
                </c:pt>
                <c:pt idx="164">
                  <c:v>-9007</c:v>
                </c:pt>
                <c:pt idx="165">
                  <c:v>-9407</c:v>
                </c:pt>
                <c:pt idx="166">
                  <c:v>-8771</c:v>
                </c:pt>
                <c:pt idx="167">
                  <c:v>-9310</c:v>
                </c:pt>
                <c:pt idx="168">
                  <c:v>-8990</c:v>
                </c:pt>
                <c:pt idx="169">
                  <c:v>-9215</c:v>
                </c:pt>
                <c:pt idx="170">
                  <c:v>-10083</c:v>
                </c:pt>
                <c:pt idx="171">
                  <c:v>-10625</c:v>
                </c:pt>
                <c:pt idx="172">
                  <c:v>-9397</c:v>
                </c:pt>
                <c:pt idx="173">
                  <c:v>-9809</c:v>
                </c:pt>
                <c:pt idx="174">
                  <c:v>-9617</c:v>
                </c:pt>
                <c:pt idx="175">
                  <c:v>-9393</c:v>
                </c:pt>
                <c:pt idx="176">
                  <c:v>-10467</c:v>
                </c:pt>
                <c:pt idx="177">
                  <c:v>-10060</c:v>
                </c:pt>
                <c:pt idx="178">
                  <c:v>-9570</c:v>
                </c:pt>
                <c:pt idx="179">
                  <c:v>-9575</c:v>
                </c:pt>
                <c:pt idx="180">
                  <c:v>-9036</c:v>
                </c:pt>
                <c:pt idx="181">
                  <c:v>-9266</c:v>
                </c:pt>
                <c:pt idx="182">
                  <c:v>-8911</c:v>
                </c:pt>
                <c:pt idx="183">
                  <c:v>-8910</c:v>
                </c:pt>
                <c:pt idx="184">
                  <c:v>-9362</c:v>
                </c:pt>
                <c:pt idx="185">
                  <c:v>-9230</c:v>
                </c:pt>
                <c:pt idx="186">
                  <c:v>-9177</c:v>
                </c:pt>
                <c:pt idx="187">
                  <c:v>-9290</c:v>
                </c:pt>
                <c:pt idx="188">
                  <c:v>-9230</c:v>
                </c:pt>
                <c:pt idx="189">
                  <c:v>-9092</c:v>
                </c:pt>
                <c:pt idx="190">
                  <c:v>-8958</c:v>
                </c:pt>
                <c:pt idx="191">
                  <c:v>-9097</c:v>
                </c:pt>
                <c:pt idx="192">
                  <c:v>-9462</c:v>
                </c:pt>
                <c:pt idx="193">
                  <c:v>-9148</c:v>
                </c:pt>
                <c:pt idx="194">
                  <c:v>-9337</c:v>
                </c:pt>
                <c:pt idx="195">
                  <c:v>-9252</c:v>
                </c:pt>
                <c:pt idx="196">
                  <c:v>-9316</c:v>
                </c:pt>
                <c:pt idx="197">
                  <c:v>-9218</c:v>
                </c:pt>
                <c:pt idx="198">
                  <c:v>-9372</c:v>
                </c:pt>
                <c:pt idx="199">
                  <c:v>-9360</c:v>
                </c:pt>
                <c:pt idx="200">
                  <c:v>-9488</c:v>
                </c:pt>
                <c:pt idx="201">
                  <c:v>-9407</c:v>
                </c:pt>
                <c:pt idx="202">
                  <c:v>-9397</c:v>
                </c:pt>
                <c:pt idx="203">
                  <c:v>-9603</c:v>
                </c:pt>
                <c:pt idx="204">
                  <c:v>-9611</c:v>
                </c:pt>
                <c:pt idx="205">
                  <c:v>-10113</c:v>
                </c:pt>
                <c:pt idx="206">
                  <c:v>-9834</c:v>
                </c:pt>
                <c:pt idx="207">
                  <c:v>-9746</c:v>
                </c:pt>
                <c:pt idx="208">
                  <c:v>-9746</c:v>
                </c:pt>
                <c:pt idx="209">
                  <c:v>-9506</c:v>
                </c:pt>
                <c:pt idx="210">
                  <c:v>-9820</c:v>
                </c:pt>
                <c:pt idx="211">
                  <c:v>-9616</c:v>
                </c:pt>
                <c:pt idx="212">
                  <c:v>-9938</c:v>
                </c:pt>
                <c:pt idx="213">
                  <c:v>-10193</c:v>
                </c:pt>
                <c:pt idx="214">
                  <c:v>-10414</c:v>
                </c:pt>
                <c:pt idx="215">
                  <c:v>-10451</c:v>
                </c:pt>
                <c:pt idx="216">
                  <c:v>-10261</c:v>
                </c:pt>
                <c:pt idx="217">
                  <c:v>-10507</c:v>
                </c:pt>
                <c:pt idx="218">
                  <c:v>-10311</c:v>
                </c:pt>
                <c:pt idx="219">
                  <c:v>-10303</c:v>
                </c:pt>
                <c:pt idx="220">
                  <c:v>-10491</c:v>
                </c:pt>
                <c:pt idx="221">
                  <c:v>-10636</c:v>
                </c:pt>
                <c:pt idx="222">
                  <c:v>-10753</c:v>
                </c:pt>
                <c:pt idx="223">
                  <c:v>-10922</c:v>
                </c:pt>
                <c:pt idx="224">
                  <c:v>-11237</c:v>
                </c:pt>
                <c:pt idx="225">
                  <c:v>-11298</c:v>
                </c:pt>
                <c:pt idx="226">
                  <c:v>-11258</c:v>
                </c:pt>
                <c:pt idx="227">
                  <c:v>-11060</c:v>
                </c:pt>
                <c:pt idx="228">
                  <c:v>-11029</c:v>
                </c:pt>
                <c:pt idx="229">
                  <c:v>-11353</c:v>
                </c:pt>
                <c:pt idx="230">
                  <c:v>-11262</c:v>
                </c:pt>
                <c:pt idx="231">
                  <c:v>-11305</c:v>
                </c:pt>
                <c:pt idx="232">
                  <c:v>-11546</c:v>
                </c:pt>
                <c:pt idx="233">
                  <c:v>-11193</c:v>
                </c:pt>
                <c:pt idx="234">
                  <c:v>-11206</c:v>
                </c:pt>
                <c:pt idx="235">
                  <c:v>-11138</c:v>
                </c:pt>
                <c:pt idx="236">
                  <c:v>-11522</c:v>
                </c:pt>
                <c:pt idx="237">
                  <c:v>-11834</c:v>
                </c:pt>
                <c:pt idx="238">
                  <c:v>-11652</c:v>
                </c:pt>
                <c:pt idx="239">
                  <c:v>-11293</c:v>
                </c:pt>
                <c:pt idx="240">
                  <c:v>-11971</c:v>
                </c:pt>
                <c:pt idx="241">
                  <c:v>-11843</c:v>
                </c:pt>
                <c:pt idx="242">
                  <c:v>-11803</c:v>
                </c:pt>
                <c:pt idx="243">
                  <c:v>-11799</c:v>
                </c:pt>
                <c:pt idx="244">
                  <c:v>-11572</c:v>
                </c:pt>
                <c:pt idx="245">
                  <c:v>-11689</c:v>
                </c:pt>
                <c:pt idx="246">
                  <c:v>-11809</c:v>
                </c:pt>
                <c:pt idx="247">
                  <c:v>-11914</c:v>
                </c:pt>
                <c:pt idx="248">
                  <c:v>-11240</c:v>
                </c:pt>
                <c:pt idx="249">
                  <c:v>-11831</c:v>
                </c:pt>
                <c:pt idx="250">
                  <c:v>-12015</c:v>
                </c:pt>
                <c:pt idx="251">
                  <c:v>-11864</c:v>
                </c:pt>
                <c:pt idx="252">
                  <c:v>-11639</c:v>
                </c:pt>
                <c:pt idx="253">
                  <c:v>-11975</c:v>
                </c:pt>
                <c:pt idx="254">
                  <c:v>-12095</c:v>
                </c:pt>
                <c:pt idx="255">
                  <c:v>-12018</c:v>
                </c:pt>
                <c:pt idx="256">
                  <c:v>-12124</c:v>
                </c:pt>
                <c:pt idx="257">
                  <c:v>-12554</c:v>
                </c:pt>
                <c:pt idx="258">
                  <c:v>-12194</c:v>
                </c:pt>
                <c:pt idx="259">
                  <c:v>-12215</c:v>
                </c:pt>
                <c:pt idx="260">
                  <c:v>-12133</c:v>
                </c:pt>
                <c:pt idx="261">
                  <c:v>-12133</c:v>
                </c:pt>
                <c:pt idx="262">
                  <c:v>-12222</c:v>
                </c:pt>
                <c:pt idx="263">
                  <c:v>-12222</c:v>
                </c:pt>
                <c:pt idx="264">
                  <c:v>-12292</c:v>
                </c:pt>
                <c:pt idx="265">
                  <c:v>-12508</c:v>
                </c:pt>
                <c:pt idx="266">
                  <c:v>-12633</c:v>
                </c:pt>
                <c:pt idx="267">
                  <c:v>-13403</c:v>
                </c:pt>
                <c:pt idx="268">
                  <c:v>-13117</c:v>
                </c:pt>
                <c:pt idx="269">
                  <c:v>-13290</c:v>
                </c:pt>
                <c:pt idx="270">
                  <c:v>-13431</c:v>
                </c:pt>
                <c:pt idx="271">
                  <c:v>-13672</c:v>
                </c:pt>
                <c:pt idx="272">
                  <c:v>-13689</c:v>
                </c:pt>
                <c:pt idx="273">
                  <c:v>-13853</c:v>
                </c:pt>
                <c:pt idx="274">
                  <c:v>-13827</c:v>
                </c:pt>
                <c:pt idx="275">
                  <c:v>-13780</c:v>
                </c:pt>
                <c:pt idx="276">
                  <c:v>-13567</c:v>
                </c:pt>
                <c:pt idx="277">
                  <c:v>-13917</c:v>
                </c:pt>
                <c:pt idx="278">
                  <c:v>-13762</c:v>
                </c:pt>
                <c:pt idx="279">
                  <c:v>-13740</c:v>
                </c:pt>
                <c:pt idx="280">
                  <c:v>-13109</c:v>
                </c:pt>
                <c:pt idx="281">
                  <c:v>-13761</c:v>
                </c:pt>
                <c:pt idx="282">
                  <c:v>-13851</c:v>
                </c:pt>
                <c:pt idx="283">
                  <c:v>-13722</c:v>
                </c:pt>
                <c:pt idx="284">
                  <c:v>-13822</c:v>
                </c:pt>
                <c:pt idx="285">
                  <c:v>-13299</c:v>
                </c:pt>
                <c:pt idx="286">
                  <c:v>-14328</c:v>
                </c:pt>
                <c:pt idx="287">
                  <c:v>-13719</c:v>
                </c:pt>
                <c:pt idx="288">
                  <c:v>-14217</c:v>
                </c:pt>
                <c:pt idx="289">
                  <c:v>-14049</c:v>
                </c:pt>
                <c:pt idx="290">
                  <c:v>-14849</c:v>
                </c:pt>
                <c:pt idx="291">
                  <c:v>-14640</c:v>
                </c:pt>
                <c:pt idx="292">
                  <c:v>-16132</c:v>
                </c:pt>
                <c:pt idx="293">
                  <c:v>-19029</c:v>
                </c:pt>
                <c:pt idx="294">
                  <c:v>-16413</c:v>
                </c:pt>
                <c:pt idx="295">
                  <c:v>-15204</c:v>
                </c:pt>
                <c:pt idx="296">
                  <c:v>-15370</c:v>
                </c:pt>
                <c:pt idx="297">
                  <c:v>-16187</c:v>
                </c:pt>
                <c:pt idx="298">
                  <c:v>-14844</c:v>
                </c:pt>
                <c:pt idx="299">
                  <c:v>-15259</c:v>
                </c:pt>
                <c:pt idx="300">
                  <c:v>-14186</c:v>
                </c:pt>
                <c:pt idx="301">
                  <c:v>-14200</c:v>
                </c:pt>
                <c:pt idx="302">
                  <c:v>-14612</c:v>
                </c:pt>
                <c:pt idx="303">
                  <c:v>-14589</c:v>
                </c:pt>
                <c:pt idx="304">
                  <c:v>-14869</c:v>
                </c:pt>
                <c:pt idx="305">
                  <c:v>-14015</c:v>
                </c:pt>
                <c:pt idx="306">
                  <c:v>-13958</c:v>
                </c:pt>
                <c:pt idx="307">
                  <c:v>-14076</c:v>
                </c:pt>
                <c:pt idx="308">
                  <c:v>-14649</c:v>
                </c:pt>
                <c:pt idx="309">
                  <c:v>-14045</c:v>
                </c:pt>
                <c:pt idx="310">
                  <c:v>-14414</c:v>
                </c:pt>
                <c:pt idx="311">
                  <c:v>-14241</c:v>
                </c:pt>
                <c:pt idx="312">
                  <c:v>-15379</c:v>
                </c:pt>
                <c:pt idx="313">
                  <c:v>-15190</c:v>
                </c:pt>
                <c:pt idx="314">
                  <c:v>-14724</c:v>
                </c:pt>
                <c:pt idx="315">
                  <c:v>-14559</c:v>
                </c:pt>
                <c:pt idx="316">
                  <c:v>-14602</c:v>
                </c:pt>
                <c:pt idx="317">
                  <c:v>-15558</c:v>
                </c:pt>
                <c:pt idx="318">
                  <c:v>-15945</c:v>
                </c:pt>
                <c:pt idx="319">
                  <c:v>-15732</c:v>
                </c:pt>
                <c:pt idx="320">
                  <c:v>-14426</c:v>
                </c:pt>
                <c:pt idx="321">
                  <c:v>-13833</c:v>
                </c:pt>
                <c:pt idx="322">
                  <c:v>-12951</c:v>
                </c:pt>
                <c:pt idx="323">
                  <c:v>-12637</c:v>
                </c:pt>
                <c:pt idx="324">
                  <c:v>-12598</c:v>
                </c:pt>
                <c:pt idx="325">
                  <c:v>-14313</c:v>
                </c:pt>
                <c:pt idx="326">
                  <c:v>-14673</c:v>
                </c:pt>
                <c:pt idx="327">
                  <c:v>-14115</c:v>
                </c:pt>
                <c:pt idx="328">
                  <c:v>-14263</c:v>
                </c:pt>
                <c:pt idx="329">
                  <c:v>-14653</c:v>
                </c:pt>
                <c:pt idx="330">
                  <c:v>-15738</c:v>
                </c:pt>
                <c:pt idx="331">
                  <c:v>-15155</c:v>
                </c:pt>
                <c:pt idx="332">
                  <c:v>-15063</c:v>
                </c:pt>
                <c:pt idx="333">
                  <c:v>-15485</c:v>
                </c:pt>
                <c:pt idx="334">
                  <c:v>-15680</c:v>
                </c:pt>
                <c:pt idx="335">
                  <c:v>-14963</c:v>
                </c:pt>
                <c:pt idx="336">
                  <c:v>-14508</c:v>
                </c:pt>
                <c:pt idx="337">
                  <c:v>-14810</c:v>
                </c:pt>
                <c:pt idx="338">
                  <c:v>-15622</c:v>
                </c:pt>
                <c:pt idx="339">
                  <c:v>-15308</c:v>
                </c:pt>
                <c:pt idx="340">
                  <c:v>-15393</c:v>
                </c:pt>
                <c:pt idx="341">
                  <c:v>-15565</c:v>
                </c:pt>
                <c:pt idx="342">
                  <c:v>-15645</c:v>
                </c:pt>
                <c:pt idx="343">
                  <c:v>-16397</c:v>
                </c:pt>
                <c:pt idx="344">
                  <c:v>-16151</c:v>
                </c:pt>
                <c:pt idx="345">
                  <c:v>-16136</c:v>
                </c:pt>
                <c:pt idx="346">
                  <c:v>-17096</c:v>
                </c:pt>
                <c:pt idx="347">
                  <c:v>-16733</c:v>
                </c:pt>
                <c:pt idx="348">
                  <c:v>-16523</c:v>
                </c:pt>
                <c:pt idx="349">
                  <c:v>-16631</c:v>
                </c:pt>
                <c:pt idx="350">
                  <c:v>-17066</c:v>
                </c:pt>
                <c:pt idx="351">
                  <c:v>-17008</c:v>
                </c:pt>
                <c:pt idx="352">
                  <c:v>-17491</c:v>
                </c:pt>
                <c:pt idx="353">
                  <c:v>-17238</c:v>
                </c:pt>
                <c:pt idx="354">
                  <c:v>-17365</c:v>
                </c:pt>
                <c:pt idx="355">
                  <c:v>-17812</c:v>
                </c:pt>
                <c:pt idx="356">
                  <c:v>-18770</c:v>
                </c:pt>
                <c:pt idx="357">
                  <c:v>-16813</c:v>
                </c:pt>
                <c:pt idx="358">
                  <c:v>-16348</c:v>
                </c:pt>
                <c:pt idx="359">
                  <c:v>-16737</c:v>
                </c:pt>
                <c:pt idx="360">
                  <c:v>-17307</c:v>
                </c:pt>
                <c:pt idx="361">
                  <c:v>-16960</c:v>
                </c:pt>
                <c:pt idx="362">
                  <c:v>-17393</c:v>
                </c:pt>
                <c:pt idx="363">
                  <c:v>-17486</c:v>
                </c:pt>
                <c:pt idx="364">
                  <c:v>-17167</c:v>
                </c:pt>
                <c:pt idx="365">
                  <c:v>-17767</c:v>
                </c:pt>
                <c:pt idx="366">
                  <c:v>-17237</c:v>
                </c:pt>
                <c:pt idx="367">
                  <c:v>-17472</c:v>
                </c:pt>
                <c:pt idx="368">
                  <c:v>-18271</c:v>
                </c:pt>
                <c:pt idx="369">
                  <c:v>-18205</c:v>
                </c:pt>
                <c:pt idx="370">
                  <c:v>-18979</c:v>
                </c:pt>
                <c:pt idx="371">
                  <c:v>-19359</c:v>
                </c:pt>
                <c:pt idx="372">
                  <c:v>-18235</c:v>
                </c:pt>
                <c:pt idx="373">
                  <c:v>-18905</c:v>
                </c:pt>
                <c:pt idx="374">
                  <c:v>-18102</c:v>
                </c:pt>
                <c:pt idx="375">
                  <c:v>-18238</c:v>
                </c:pt>
                <c:pt idx="376">
                  <c:v>-18906</c:v>
                </c:pt>
                <c:pt idx="377">
                  <c:v>-19406</c:v>
                </c:pt>
                <c:pt idx="378">
                  <c:v>-19688</c:v>
                </c:pt>
                <c:pt idx="379">
                  <c:v>-19684</c:v>
                </c:pt>
                <c:pt idx="380">
                  <c:v>-19752</c:v>
                </c:pt>
                <c:pt idx="381">
                  <c:v>-19575</c:v>
                </c:pt>
                <c:pt idx="382">
                  <c:v>-19768</c:v>
                </c:pt>
                <c:pt idx="383">
                  <c:v>-18967</c:v>
                </c:pt>
                <c:pt idx="384">
                  <c:v>-19675</c:v>
                </c:pt>
                <c:pt idx="385">
                  <c:v>-20533</c:v>
                </c:pt>
                <c:pt idx="386">
                  <c:v>-21905</c:v>
                </c:pt>
                <c:pt idx="387">
                  <c:v>-21997</c:v>
                </c:pt>
                <c:pt idx="388">
                  <c:v>-21720</c:v>
                </c:pt>
                <c:pt idx="389">
                  <c:v>-21814</c:v>
                </c:pt>
                <c:pt idx="390">
                  <c:v>-21755</c:v>
                </c:pt>
                <c:pt idx="391">
                  <c:v>-21927</c:v>
                </c:pt>
                <c:pt idx="392">
                  <c:v>-21346</c:v>
                </c:pt>
                <c:pt idx="393">
                  <c:v>-22299</c:v>
                </c:pt>
                <c:pt idx="394">
                  <c:v>-21323</c:v>
                </c:pt>
                <c:pt idx="395">
                  <c:v>-21941</c:v>
                </c:pt>
                <c:pt idx="396">
                  <c:v>-20750</c:v>
                </c:pt>
                <c:pt idx="397">
                  <c:v>-20971</c:v>
                </c:pt>
                <c:pt idx="398">
                  <c:v>-20500</c:v>
                </c:pt>
                <c:pt idx="399">
                  <c:v>-21173</c:v>
                </c:pt>
                <c:pt idx="400">
                  <c:v>-20586</c:v>
                </c:pt>
                <c:pt idx="401">
                  <c:v>-20120</c:v>
                </c:pt>
                <c:pt idx="402">
                  <c:v>-20583</c:v>
                </c:pt>
                <c:pt idx="403">
                  <c:v>-20059</c:v>
                </c:pt>
                <c:pt idx="404">
                  <c:v>-21166</c:v>
                </c:pt>
                <c:pt idx="405">
                  <c:v>-21455</c:v>
                </c:pt>
                <c:pt idx="406">
                  <c:v>-21195</c:v>
                </c:pt>
                <c:pt idx="407">
                  <c:v>-21221</c:v>
                </c:pt>
                <c:pt idx="408">
                  <c:v>-22182</c:v>
                </c:pt>
                <c:pt idx="409">
                  <c:v>-21317</c:v>
                </c:pt>
                <c:pt idx="410">
                  <c:v>-21801</c:v>
                </c:pt>
                <c:pt idx="411">
                  <c:v>-21695</c:v>
                </c:pt>
                <c:pt idx="412">
                  <c:v>-22421</c:v>
                </c:pt>
                <c:pt idx="413">
                  <c:v>-21420</c:v>
                </c:pt>
                <c:pt idx="414">
                  <c:v>-21698</c:v>
                </c:pt>
                <c:pt idx="415">
                  <c:v>-21541</c:v>
                </c:pt>
                <c:pt idx="416">
                  <c:v>-21556</c:v>
                </c:pt>
                <c:pt idx="417">
                  <c:v>-21907</c:v>
                </c:pt>
                <c:pt idx="418">
                  <c:v>-21095</c:v>
                </c:pt>
                <c:pt idx="419">
                  <c:v>-21411</c:v>
                </c:pt>
                <c:pt idx="420">
                  <c:v>-21595</c:v>
                </c:pt>
                <c:pt idx="421">
                  <c:v>-21726</c:v>
                </c:pt>
                <c:pt idx="422">
                  <c:v>-20918</c:v>
                </c:pt>
                <c:pt idx="423">
                  <c:v>-22975</c:v>
                </c:pt>
                <c:pt idx="424">
                  <c:v>-20313</c:v>
                </c:pt>
                <c:pt idx="425">
                  <c:v>-20303</c:v>
                </c:pt>
                <c:pt idx="426">
                  <c:v>-21324</c:v>
                </c:pt>
                <c:pt idx="427">
                  <c:v>-21383</c:v>
                </c:pt>
                <c:pt idx="428">
                  <c:v>-20684</c:v>
                </c:pt>
                <c:pt idx="429">
                  <c:v>-20790</c:v>
                </c:pt>
                <c:pt idx="430">
                  <c:v>-21367</c:v>
                </c:pt>
                <c:pt idx="431">
                  <c:v>-20188</c:v>
                </c:pt>
                <c:pt idx="432">
                  <c:v>-20926</c:v>
                </c:pt>
                <c:pt idx="433">
                  <c:v>-21398</c:v>
                </c:pt>
                <c:pt idx="434">
                  <c:v>-22040</c:v>
                </c:pt>
                <c:pt idx="435">
                  <c:v>-20558</c:v>
                </c:pt>
                <c:pt idx="436">
                  <c:v>-20817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E8E-9645-926E-3830DABCE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172192"/>
        <c:axId val="1508173840"/>
      </c:areaChart>
      <c:dateAx>
        <c:axId val="15081721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173840"/>
        <c:crosses val="autoZero"/>
        <c:auto val="1"/>
        <c:lblOffset val="100"/>
        <c:baseTimeUnit val="months"/>
        <c:majorUnit val="1"/>
        <c:majorTimeUnit val="years"/>
      </c:dateAx>
      <c:valAx>
        <c:axId val="150817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172192"/>
        <c:crosses val="autoZero"/>
        <c:crossBetween val="midCat"/>
        <c:dispUnits>
          <c:builtInUnit val="hundred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GBP 100bn</a:t>
                  </a:r>
                  <a:endParaRPr lang="en-US" baseline="0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6636660280941382E-2"/>
          <c:y val="0.6253178910888566"/>
          <c:w val="0.83711437387762322"/>
          <c:h val="0.369827739979104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Bank of England 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rates!$B$1</c:f>
              <c:strCache>
                <c:ptCount val="1"/>
                <c:pt idx="0">
                  <c:v>official_bank_rate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rates!$A$2:$A$49</c:f>
              <c:numCache>
                <c:formatCode>yyyy\-mm\-dd;@</c:formatCode>
                <c:ptCount val="48"/>
                <c:pt idx="0">
                  <c:v>35740</c:v>
                </c:pt>
                <c:pt idx="1">
                  <c:v>35950</c:v>
                </c:pt>
                <c:pt idx="2">
                  <c:v>36076</c:v>
                </c:pt>
                <c:pt idx="3">
                  <c:v>36104</c:v>
                </c:pt>
                <c:pt idx="4">
                  <c:v>36139</c:v>
                </c:pt>
                <c:pt idx="5">
                  <c:v>36167</c:v>
                </c:pt>
                <c:pt idx="6">
                  <c:v>36195</c:v>
                </c:pt>
                <c:pt idx="7">
                  <c:v>36258</c:v>
                </c:pt>
                <c:pt idx="8">
                  <c:v>36321</c:v>
                </c:pt>
                <c:pt idx="9">
                  <c:v>36411</c:v>
                </c:pt>
                <c:pt idx="10">
                  <c:v>36468</c:v>
                </c:pt>
                <c:pt idx="11">
                  <c:v>36538</c:v>
                </c:pt>
                <c:pt idx="12">
                  <c:v>36566</c:v>
                </c:pt>
                <c:pt idx="13">
                  <c:v>36930</c:v>
                </c:pt>
                <c:pt idx="14">
                  <c:v>36986</c:v>
                </c:pt>
                <c:pt idx="15">
                  <c:v>37021</c:v>
                </c:pt>
                <c:pt idx="16">
                  <c:v>37105</c:v>
                </c:pt>
                <c:pt idx="17">
                  <c:v>37152</c:v>
                </c:pt>
                <c:pt idx="18">
                  <c:v>37168</c:v>
                </c:pt>
                <c:pt idx="19">
                  <c:v>37203</c:v>
                </c:pt>
                <c:pt idx="20">
                  <c:v>37658</c:v>
                </c:pt>
                <c:pt idx="21">
                  <c:v>37812</c:v>
                </c:pt>
                <c:pt idx="22">
                  <c:v>37931</c:v>
                </c:pt>
                <c:pt idx="23">
                  <c:v>38022</c:v>
                </c:pt>
                <c:pt idx="24">
                  <c:v>38113</c:v>
                </c:pt>
                <c:pt idx="25">
                  <c:v>38148</c:v>
                </c:pt>
                <c:pt idx="26">
                  <c:v>38204</c:v>
                </c:pt>
                <c:pt idx="27">
                  <c:v>38568</c:v>
                </c:pt>
                <c:pt idx="28">
                  <c:v>38932</c:v>
                </c:pt>
                <c:pt idx="29">
                  <c:v>39030</c:v>
                </c:pt>
                <c:pt idx="30">
                  <c:v>39093</c:v>
                </c:pt>
                <c:pt idx="31">
                  <c:v>39212</c:v>
                </c:pt>
                <c:pt idx="32">
                  <c:v>39268</c:v>
                </c:pt>
                <c:pt idx="33">
                  <c:v>39422</c:v>
                </c:pt>
                <c:pt idx="34">
                  <c:v>39485</c:v>
                </c:pt>
                <c:pt idx="35">
                  <c:v>39548</c:v>
                </c:pt>
                <c:pt idx="36">
                  <c:v>39729</c:v>
                </c:pt>
                <c:pt idx="37">
                  <c:v>39758</c:v>
                </c:pt>
                <c:pt idx="38">
                  <c:v>39786</c:v>
                </c:pt>
                <c:pt idx="39">
                  <c:v>39821</c:v>
                </c:pt>
                <c:pt idx="40">
                  <c:v>39849</c:v>
                </c:pt>
                <c:pt idx="41">
                  <c:v>39877</c:v>
                </c:pt>
                <c:pt idx="42">
                  <c:v>42586</c:v>
                </c:pt>
                <c:pt idx="43">
                  <c:v>43041</c:v>
                </c:pt>
                <c:pt idx="44">
                  <c:v>43314</c:v>
                </c:pt>
                <c:pt idx="45">
                  <c:v>43901</c:v>
                </c:pt>
                <c:pt idx="46">
                  <c:v>43909</c:v>
                </c:pt>
                <c:pt idx="47">
                  <c:v>44546</c:v>
                </c:pt>
              </c:numCache>
            </c:numRef>
          </c:cat>
          <c:val>
            <c:numRef>
              <c:f>rates!$B$2:$B$49</c:f>
              <c:numCache>
                <c:formatCode>0.00%</c:formatCode>
                <c:ptCount val="48"/>
                <c:pt idx="0">
                  <c:v>7.2499999999999995E-2</c:v>
                </c:pt>
                <c:pt idx="1">
                  <c:v>7.4999999999999997E-2</c:v>
                </c:pt>
                <c:pt idx="2">
                  <c:v>7.2499999999999995E-2</c:v>
                </c:pt>
                <c:pt idx="3">
                  <c:v>6.7500000000000004E-2</c:v>
                </c:pt>
                <c:pt idx="4">
                  <c:v>6.25E-2</c:v>
                </c:pt>
                <c:pt idx="5">
                  <c:v>0.06</c:v>
                </c:pt>
                <c:pt idx="6">
                  <c:v>5.5E-2</c:v>
                </c:pt>
                <c:pt idx="7">
                  <c:v>5.2499999999999998E-2</c:v>
                </c:pt>
                <c:pt idx="8">
                  <c:v>0.05</c:v>
                </c:pt>
                <c:pt idx="9">
                  <c:v>5.2499999999999998E-2</c:v>
                </c:pt>
                <c:pt idx="10">
                  <c:v>5.5E-2</c:v>
                </c:pt>
                <c:pt idx="11">
                  <c:v>5.7500000000000002E-2</c:v>
                </c:pt>
                <c:pt idx="12">
                  <c:v>0.06</c:v>
                </c:pt>
                <c:pt idx="13">
                  <c:v>5.7500000000000002E-2</c:v>
                </c:pt>
                <c:pt idx="14">
                  <c:v>5.5E-2</c:v>
                </c:pt>
                <c:pt idx="15">
                  <c:v>5.2499999999999998E-2</c:v>
                </c:pt>
                <c:pt idx="16">
                  <c:v>0.05</c:v>
                </c:pt>
                <c:pt idx="17">
                  <c:v>4.7500000000000001E-2</c:v>
                </c:pt>
                <c:pt idx="18">
                  <c:v>4.4999999999999998E-2</c:v>
                </c:pt>
                <c:pt idx="19">
                  <c:v>0.04</c:v>
                </c:pt>
                <c:pt idx="20">
                  <c:v>3.7499999999999999E-2</c:v>
                </c:pt>
                <c:pt idx="21">
                  <c:v>3.5000000000000003E-2</c:v>
                </c:pt>
                <c:pt idx="22">
                  <c:v>3.7499999999999999E-2</c:v>
                </c:pt>
                <c:pt idx="23">
                  <c:v>0.04</c:v>
                </c:pt>
                <c:pt idx="24">
                  <c:v>4.2500000000000003E-2</c:v>
                </c:pt>
                <c:pt idx="25">
                  <c:v>4.4999999999999998E-2</c:v>
                </c:pt>
                <c:pt idx="26">
                  <c:v>4.7500000000000001E-2</c:v>
                </c:pt>
                <c:pt idx="27">
                  <c:v>4.4999999999999998E-2</c:v>
                </c:pt>
                <c:pt idx="28">
                  <c:v>4.7500000000000001E-2</c:v>
                </c:pt>
                <c:pt idx="29">
                  <c:v>0.05</c:v>
                </c:pt>
                <c:pt idx="30">
                  <c:v>5.2499999999999998E-2</c:v>
                </c:pt>
                <c:pt idx="31">
                  <c:v>5.5E-2</c:v>
                </c:pt>
                <c:pt idx="32">
                  <c:v>5.7500000000000002E-2</c:v>
                </c:pt>
                <c:pt idx="33">
                  <c:v>5.5E-2</c:v>
                </c:pt>
                <c:pt idx="34">
                  <c:v>5.2499999999999998E-2</c:v>
                </c:pt>
                <c:pt idx="35">
                  <c:v>0.05</c:v>
                </c:pt>
                <c:pt idx="36">
                  <c:v>4.4999999999999998E-2</c:v>
                </c:pt>
                <c:pt idx="37">
                  <c:v>0.03</c:v>
                </c:pt>
                <c:pt idx="38">
                  <c:v>0.02</c:v>
                </c:pt>
                <c:pt idx="39">
                  <c:v>1.4999999999999999E-2</c:v>
                </c:pt>
                <c:pt idx="40">
                  <c:v>0.01</c:v>
                </c:pt>
                <c:pt idx="41">
                  <c:v>5.0000000000000001E-3</c:v>
                </c:pt>
                <c:pt idx="42">
                  <c:v>2.5000000000000001E-3</c:v>
                </c:pt>
                <c:pt idx="43">
                  <c:v>5.0000000000000001E-3</c:v>
                </c:pt>
                <c:pt idx="44">
                  <c:v>7.4999999999999997E-3</c:v>
                </c:pt>
                <c:pt idx="45">
                  <c:v>2.5000000000000001E-3</c:v>
                </c:pt>
                <c:pt idx="46">
                  <c:v>1E-3</c:v>
                </c:pt>
                <c:pt idx="47">
                  <c:v>2.5000000000000001E-3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A0-CB48-B421-E0BF357A9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882943"/>
        <c:axId val="879884591"/>
      </c:lineChart>
      <c:dateAx>
        <c:axId val="879882943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84591"/>
        <c:crosses val="autoZero"/>
        <c:auto val="1"/>
        <c:lblOffset val="100"/>
        <c:baseTimeUnit val="days"/>
      </c:dateAx>
      <c:valAx>
        <c:axId val="8798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8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620889</xdr:colOff>
      <xdr:row>1</xdr:row>
      <xdr:rowOff>180622</xdr:rowOff>
    </xdr:from>
    <xdr:to>
      <xdr:col>51</xdr:col>
      <xdr:colOff>141111</xdr:colOff>
      <xdr:row>41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74206-F6F3-024D-813C-8711A2895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139700</xdr:rowOff>
    </xdr:from>
    <xdr:to>
      <xdr:col>8</xdr:col>
      <xdr:colOff>450850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915AE-59C8-614A-8ECB-A4B62B26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E1EC-51BD-0E4C-8A89-06B41D64ACBE}">
  <sheetPr codeName="Sheet2"/>
  <dimension ref="B3:N49"/>
  <sheetViews>
    <sheetView tabSelected="1" workbookViewId="0">
      <selection activeCell="D8" sqref="D8"/>
    </sheetView>
  </sheetViews>
  <sheetFormatPr baseColWidth="10" defaultRowHeight="15" x14ac:dyDescent="0.2"/>
  <cols>
    <col min="2" max="2" width="102.5" customWidth="1"/>
    <col min="5" max="5" width="21.6640625" customWidth="1"/>
  </cols>
  <sheetData>
    <row r="3" spans="2:14" ht="16" thickBot="1" x14ac:dyDescent="0.25"/>
    <row r="4" spans="2:14" ht="16" x14ac:dyDescent="0.2">
      <c r="B4" s="8" t="s">
        <v>4516</v>
      </c>
      <c r="E4" s="47" t="s">
        <v>4495</v>
      </c>
      <c r="F4" s="48"/>
      <c r="G4" s="49"/>
      <c r="H4" s="49"/>
      <c r="I4" s="49"/>
      <c r="J4" s="49"/>
      <c r="K4" s="49"/>
      <c r="L4" s="49"/>
      <c r="M4" s="49"/>
      <c r="N4" s="50"/>
    </row>
    <row r="5" spans="2:14" ht="16" x14ac:dyDescent="0.2">
      <c r="B5" s="9" t="s">
        <v>4494</v>
      </c>
      <c r="E5" s="51" t="s">
        <v>5845</v>
      </c>
      <c r="F5" s="61" t="s">
        <v>5846</v>
      </c>
      <c r="G5" s="62" t="s">
        <v>5847</v>
      </c>
      <c r="H5" s="62" t="s">
        <v>5848</v>
      </c>
      <c r="I5" s="62"/>
      <c r="J5" s="63"/>
      <c r="K5" s="63"/>
      <c r="L5" s="64"/>
      <c r="M5" s="63"/>
      <c r="N5" s="52" t="s">
        <v>5849</v>
      </c>
    </row>
    <row r="6" spans="2:14" ht="16" x14ac:dyDescent="0.2">
      <c r="B6" s="10" t="s">
        <v>4500</v>
      </c>
      <c r="E6" s="65" t="s">
        <v>5862</v>
      </c>
      <c r="F6" s="67" t="s">
        <v>5841</v>
      </c>
      <c r="G6" s="60">
        <v>1</v>
      </c>
      <c r="H6" s="60" t="s">
        <v>5863</v>
      </c>
      <c r="I6" s="60"/>
      <c r="J6" s="60"/>
      <c r="K6" s="60"/>
      <c r="L6" s="60"/>
      <c r="M6" s="60"/>
      <c r="N6" s="55"/>
    </row>
    <row r="7" spans="2:14" ht="16" x14ac:dyDescent="0.2">
      <c r="B7" s="10"/>
      <c r="E7" s="65"/>
      <c r="F7" s="67"/>
      <c r="G7" s="60">
        <v>2</v>
      </c>
      <c r="H7" s="60" t="s">
        <v>5864</v>
      </c>
      <c r="I7" s="60"/>
      <c r="J7" s="60"/>
      <c r="K7" s="60"/>
      <c r="L7" s="60"/>
      <c r="M7" s="60"/>
      <c r="N7" s="55"/>
    </row>
    <row r="8" spans="2:14" ht="48" x14ac:dyDescent="0.2">
      <c r="B8" s="19" t="s">
        <v>5891</v>
      </c>
      <c r="E8" s="66"/>
      <c r="F8" s="68"/>
      <c r="G8" s="56">
        <v>3</v>
      </c>
      <c r="H8" s="56" t="s">
        <v>5888</v>
      </c>
      <c r="I8" s="56"/>
      <c r="J8" s="56"/>
      <c r="K8" s="56"/>
      <c r="L8" s="56"/>
      <c r="M8" s="56"/>
      <c r="N8" s="57"/>
    </row>
    <row r="9" spans="2:14" ht="16" x14ac:dyDescent="0.2">
      <c r="B9" s="10"/>
      <c r="E9" s="69" t="s">
        <v>5857</v>
      </c>
      <c r="F9" s="70" t="s">
        <v>5842</v>
      </c>
      <c r="G9" s="53">
        <v>1</v>
      </c>
      <c r="H9" s="53" t="s">
        <v>5858</v>
      </c>
      <c r="I9" s="53"/>
      <c r="J9" s="53"/>
      <c r="K9" s="53"/>
      <c r="L9" s="53"/>
      <c r="M9" s="53"/>
      <c r="N9" s="54" t="s">
        <v>5875</v>
      </c>
    </row>
    <row r="10" spans="2:14" ht="16" x14ac:dyDescent="0.2">
      <c r="B10" s="11" t="s">
        <v>4495</v>
      </c>
      <c r="E10" s="65"/>
      <c r="F10" s="67"/>
      <c r="G10" s="60">
        <v>2</v>
      </c>
      <c r="H10" s="60" t="s">
        <v>5859</v>
      </c>
      <c r="I10" s="60"/>
      <c r="J10" s="60"/>
      <c r="K10" s="60"/>
      <c r="L10" s="60"/>
      <c r="M10" s="60"/>
      <c r="N10" s="55" t="s">
        <v>5876</v>
      </c>
    </row>
    <row r="11" spans="2:14" ht="16" x14ac:dyDescent="0.2">
      <c r="B11" s="12" t="s">
        <v>4501</v>
      </c>
      <c r="E11" s="65"/>
      <c r="F11" s="67"/>
      <c r="G11" s="60">
        <v>3</v>
      </c>
      <c r="H11" s="60" t="s">
        <v>5860</v>
      </c>
      <c r="I11" s="60"/>
      <c r="J11" s="60"/>
      <c r="K11" s="60"/>
      <c r="L11" s="60"/>
      <c r="M11" s="60"/>
      <c r="N11" s="55" t="s">
        <v>5877</v>
      </c>
    </row>
    <row r="12" spans="2:14" ht="16" x14ac:dyDescent="0.2">
      <c r="B12" s="14" t="s">
        <v>4526</v>
      </c>
      <c r="E12" s="66"/>
      <c r="F12" s="68"/>
      <c r="G12" s="56">
        <v>4</v>
      </c>
      <c r="H12" s="56" t="s">
        <v>5861</v>
      </c>
      <c r="I12" s="56"/>
      <c r="J12" s="56"/>
      <c r="K12" s="56"/>
      <c r="L12" s="56"/>
      <c r="M12" s="56"/>
      <c r="N12" s="57" t="s">
        <v>5878</v>
      </c>
    </row>
    <row r="13" spans="2:14" ht="16" x14ac:dyDescent="0.2">
      <c r="B13" s="12" t="s">
        <v>4502</v>
      </c>
      <c r="E13" s="69" t="s">
        <v>5865</v>
      </c>
      <c r="F13" s="70" t="s">
        <v>5843</v>
      </c>
      <c r="G13" s="53">
        <v>1</v>
      </c>
      <c r="H13" s="53" t="s">
        <v>5880</v>
      </c>
      <c r="I13" s="53"/>
      <c r="J13" s="53"/>
      <c r="K13" s="53"/>
      <c r="L13" s="53"/>
      <c r="M13" s="53"/>
      <c r="N13" s="54" t="s">
        <v>5879</v>
      </c>
    </row>
    <row r="14" spans="2:14" ht="16" x14ac:dyDescent="0.2">
      <c r="B14" s="13" t="s">
        <v>4503</v>
      </c>
      <c r="E14" s="66"/>
      <c r="F14" s="68"/>
      <c r="G14" s="56">
        <v>2</v>
      </c>
      <c r="H14" s="56" t="s">
        <v>5866</v>
      </c>
      <c r="I14" s="56"/>
      <c r="J14" s="56"/>
      <c r="K14" s="56"/>
      <c r="L14" s="56"/>
      <c r="M14" s="56"/>
      <c r="N14" s="57" t="s">
        <v>5854</v>
      </c>
    </row>
    <row r="15" spans="2:14" ht="16" customHeight="1" x14ac:dyDescent="0.2">
      <c r="B15" s="12" t="s">
        <v>4507</v>
      </c>
      <c r="E15" s="71" t="s">
        <v>5867</v>
      </c>
      <c r="F15" s="67" t="s">
        <v>5844</v>
      </c>
      <c r="G15" s="60">
        <v>1</v>
      </c>
      <c r="H15" s="60" t="s">
        <v>5868</v>
      </c>
      <c r="I15" s="60"/>
      <c r="J15" s="60"/>
      <c r="K15" s="60"/>
      <c r="L15" s="60"/>
      <c r="M15" s="60"/>
      <c r="N15" s="55" t="s">
        <v>5850</v>
      </c>
    </row>
    <row r="16" spans="2:14" ht="16" x14ac:dyDescent="0.2">
      <c r="B16" s="12" t="s">
        <v>4515</v>
      </c>
      <c r="E16" s="71"/>
      <c r="F16" s="67"/>
      <c r="G16" s="60">
        <v>2</v>
      </c>
      <c r="H16" s="60" t="s">
        <v>5851</v>
      </c>
      <c r="I16" s="60"/>
      <c r="J16" s="60"/>
      <c r="K16" s="60"/>
      <c r="L16" s="60"/>
      <c r="M16" s="60"/>
      <c r="N16" s="55" t="s">
        <v>5852</v>
      </c>
    </row>
    <row r="17" spans="2:14" ht="16" x14ac:dyDescent="0.2">
      <c r="B17" s="13" t="s">
        <v>4514</v>
      </c>
      <c r="E17" s="71"/>
      <c r="F17" s="67"/>
      <c r="G17" s="60">
        <v>3</v>
      </c>
      <c r="H17" s="60" t="s">
        <v>5853</v>
      </c>
      <c r="I17" s="60"/>
      <c r="J17" s="60"/>
      <c r="K17" s="60"/>
      <c r="L17" s="60"/>
      <c r="M17" s="60"/>
      <c r="N17" s="55" t="s">
        <v>5854</v>
      </c>
    </row>
    <row r="18" spans="2:14" ht="16" x14ac:dyDescent="0.2">
      <c r="B18" s="13" t="s">
        <v>4504</v>
      </c>
      <c r="E18" s="71"/>
      <c r="F18" s="67"/>
      <c r="G18" s="60">
        <v>4</v>
      </c>
      <c r="H18" s="60" t="s">
        <v>5855</v>
      </c>
      <c r="I18" s="60"/>
      <c r="J18" s="60"/>
      <c r="K18" s="60"/>
      <c r="L18" s="60"/>
      <c r="M18" s="60"/>
      <c r="N18" s="55" t="s">
        <v>5856</v>
      </c>
    </row>
    <row r="19" spans="2:14" ht="16" x14ac:dyDescent="0.2">
      <c r="B19" s="12" t="s">
        <v>4505</v>
      </c>
      <c r="E19" s="71"/>
      <c r="F19" s="67"/>
      <c r="G19" s="60">
        <v>5</v>
      </c>
      <c r="H19" s="60" t="s">
        <v>5869</v>
      </c>
      <c r="I19" s="60"/>
      <c r="J19" s="60"/>
      <c r="K19" s="60"/>
      <c r="L19" s="60"/>
      <c r="M19" s="60"/>
      <c r="N19" s="55" t="s">
        <v>5885</v>
      </c>
    </row>
    <row r="20" spans="2:14" ht="16" x14ac:dyDescent="0.2">
      <c r="B20" s="12" t="s">
        <v>4506</v>
      </c>
      <c r="E20" s="71"/>
      <c r="F20" s="67"/>
      <c r="G20" s="60">
        <v>6</v>
      </c>
      <c r="H20" s="60" t="s">
        <v>5870</v>
      </c>
      <c r="I20" s="60"/>
      <c r="J20" s="60"/>
      <c r="K20" s="60"/>
      <c r="L20" s="60"/>
      <c r="M20" s="60"/>
      <c r="N20" s="55" t="s">
        <v>5881</v>
      </c>
    </row>
    <row r="21" spans="2:14" ht="16" x14ac:dyDescent="0.2">
      <c r="B21" s="12"/>
      <c r="E21" s="71"/>
      <c r="F21" s="67"/>
      <c r="G21" s="60">
        <v>7</v>
      </c>
      <c r="H21" s="60" t="s">
        <v>5871</v>
      </c>
      <c r="I21" s="60"/>
      <c r="J21" s="60"/>
      <c r="K21" s="60"/>
      <c r="L21" s="60"/>
      <c r="M21" s="60"/>
      <c r="N21" s="55" t="s">
        <v>5882</v>
      </c>
    </row>
    <row r="22" spans="2:14" ht="16" x14ac:dyDescent="0.2">
      <c r="B22" s="9" t="s">
        <v>4513</v>
      </c>
      <c r="E22" s="71"/>
      <c r="F22" s="67"/>
      <c r="G22" s="60">
        <v>8</v>
      </c>
      <c r="H22" s="60" t="s">
        <v>5872</v>
      </c>
      <c r="I22" s="60"/>
      <c r="J22" s="60"/>
      <c r="K22" s="60"/>
      <c r="L22" s="60"/>
      <c r="M22" s="60"/>
      <c r="N22" s="55" t="s">
        <v>5883</v>
      </c>
    </row>
    <row r="23" spans="2:14" ht="16" x14ac:dyDescent="0.2">
      <c r="B23" s="11" t="s">
        <v>4496</v>
      </c>
      <c r="E23" s="71"/>
      <c r="F23" s="67"/>
      <c r="G23" s="60">
        <v>9</v>
      </c>
      <c r="H23" s="60" t="s">
        <v>5873</v>
      </c>
      <c r="I23" s="60"/>
      <c r="J23" s="60"/>
      <c r="K23" s="60"/>
      <c r="L23" s="60"/>
      <c r="M23" s="60"/>
      <c r="N23" s="55" t="s">
        <v>5884</v>
      </c>
    </row>
    <row r="24" spans="2:14" ht="16" x14ac:dyDescent="0.2">
      <c r="B24" s="10" t="s">
        <v>4497</v>
      </c>
      <c r="E24" s="71"/>
      <c r="F24" s="67"/>
      <c r="G24" s="60">
        <v>10</v>
      </c>
      <c r="H24" s="60" t="s">
        <v>5889</v>
      </c>
      <c r="I24" s="60"/>
      <c r="J24" s="60"/>
      <c r="K24" s="60"/>
      <c r="L24" s="60"/>
      <c r="M24" s="60"/>
      <c r="N24" s="55" t="s">
        <v>5886</v>
      </c>
    </row>
    <row r="25" spans="2:14" ht="17" thickBot="1" x14ac:dyDescent="0.25">
      <c r="B25" s="10" t="s">
        <v>4498</v>
      </c>
      <c r="E25" s="72"/>
      <c r="F25" s="73"/>
      <c r="G25" s="58">
        <v>11</v>
      </c>
      <c r="H25" s="58" t="s">
        <v>5874</v>
      </c>
      <c r="I25" s="58"/>
      <c r="J25" s="58"/>
      <c r="K25" s="58"/>
      <c r="L25" s="58"/>
      <c r="M25" s="58"/>
      <c r="N25" s="59" t="s">
        <v>4492</v>
      </c>
    </row>
    <row r="26" spans="2:14" x14ac:dyDescent="0.2">
      <c r="B26" s="10" t="s">
        <v>4527</v>
      </c>
    </row>
    <row r="27" spans="2:14" x14ac:dyDescent="0.2">
      <c r="B27" s="10" t="s">
        <v>4499</v>
      </c>
    </row>
    <row r="28" spans="2:14" x14ac:dyDescent="0.2">
      <c r="B28" s="10" t="s">
        <v>4508</v>
      </c>
    </row>
    <row r="29" spans="2:14" x14ac:dyDescent="0.2">
      <c r="B29" s="10"/>
    </row>
    <row r="30" spans="2:14" x14ac:dyDescent="0.2">
      <c r="B30" s="41" t="s">
        <v>5804</v>
      </c>
    </row>
    <row r="31" spans="2:14" ht="32" x14ac:dyDescent="0.2">
      <c r="B31" s="38" t="s">
        <v>5805</v>
      </c>
    </row>
    <row r="32" spans="2:14" x14ac:dyDescent="0.2">
      <c r="B32" s="9" t="s">
        <v>5806</v>
      </c>
    </row>
    <row r="33" spans="2:2" x14ac:dyDescent="0.2">
      <c r="B33" s="10" t="s">
        <v>5808</v>
      </c>
    </row>
    <row r="34" spans="2:2" x14ac:dyDescent="0.2">
      <c r="B34" s="10" t="s">
        <v>5809</v>
      </c>
    </row>
    <row r="35" spans="2:2" x14ac:dyDescent="0.2">
      <c r="B35" s="39" t="s">
        <v>5810</v>
      </c>
    </row>
    <row r="36" spans="2:2" x14ac:dyDescent="0.2">
      <c r="B36" s="9" t="s">
        <v>5807</v>
      </c>
    </row>
    <row r="37" spans="2:2" x14ac:dyDescent="0.2">
      <c r="B37" s="10" t="s">
        <v>5811</v>
      </c>
    </row>
    <row r="38" spans="2:2" x14ac:dyDescent="0.2">
      <c r="B38" s="10" t="s">
        <v>5812</v>
      </c>
    </row>
    <row r="39" spans="2:2" x14ac:dyDescent="0.2">
      <c r="B39" s="39" t="s">
        <v>5813</v>
      </c>
    </row>
    <row r="40" spans="2:2" x14ac:dyDescent="0.2">
      <c r="B40" s="39"/>
    </row>
    <row r="41" spans="2:2" x14ac:dyDescent="0.2">
      <c r="B41" s="11" t="s">
        <v>5890</v>
      </c>
    </row>
    <row r="42" spans="2:2" x14ac:dyDescent="0.2">
      <c r="B42" s="14" t="s">
        <v>4510</v>
      </c>
    </row>
    <row r="43" spans="2:2" x14ac:dyDescent="0.2">
      <c r="B43" s="14" t="s">
        <v>4509</v>
      </c>
    </row>
    <row r="44" spans="2:2" x14ac:dyDescent="0.2">
      <c r="B44" s="14" t="s">
        <v>4511</v>
      </c>
    </row>
    <row r="45" spans="2:2" ht="16" thickBot="1" x14ac:dyDescent="0.25">
      <c r="B45" s="15" t="s">
        <v>4512</v>
      </c>
    </row>
    <row r="49" spans="2:2" x14ac:dyDescent="0.2">
      <c r="B49" s="2"/>
    </row>
  </sheetData>
  <mergeCells count="8">
    <mergeCell ref="E6:E8"/>
    <mergeCell ref="F6:F8"/>
    <mergeCell ref="E9:E12"/>
    <mergeCell ref="F9:F12"/>
    <mergeCell ref="E15:E25"/>
    <mergeCell ref="F15:F25"/>
    <mergeCell ref="E13:E14"/>
    <mergeCell ref="F13:F14"/>
  </mergeCells>
  <hyperlinks>
    <hyperlink ref="B30" location="balance_sheet!A1" display="BoE Balance Sheet:" xr:uid="{043F89DA-AE38-A44F-92C3-E6F94D173ADF}"/>
    <hyperlink ref="E4" location="categories!A1" display="Categories" xr:uid="{8E4CB9B4-F2F1-954B-A37C-19236B4580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EX2874"/>
  <sheetViews>
    <sheetView topLeftCell="A2180" workbookViewId="0">
      <selection activeCell="D2293" sqref="D2293"/>
    </sheetView>
  </sheetViews>
  <sheetFormatPr baseColWidth="10" defaultColWidth="8.83203125" defaultRowHeight="15" x14ac:dyDescent="0.2"/>
  <cols>
    <col min="1" max="1" width="15.33203125" bestFit="1" customWidth="1"/>
    <col min="2" max="2" width="10.5" style="44" customWidth="1"/>
    <col min="4" max="4" width="58.6640625" customWidth="1"/>
    <col min="6" max="7" width="8.83203125" style="4"/>
  </cols>
  <sheetData>
    <row r="1" spans="1:9" s="1" customFormat="1" x14ac:dyDescent="0.2">
      <c r="A1" s="1" t="s">
        <v>3227</v>
      </c>
      <c r="B1" s="43" t="s">
        <v>0</v>
      </c>
      <c r="C1" s="1" t="s">
        <v>5832</v>
      </c>
      <c r="D1" s="1" t="s">
        <v>1</v>
      </c>
      <c r="E1" s="1" t="s">
        <v>3161</v>
      </c>
      <c r="F1" s="3" t="s">
        <v>3159</v>
      </c>
      <c r="G1" s="3" t="s">
        <v>3160</v>
      </c>
      <c r="H1" s="1" t="s">
        <v>2</v>
      </c>
      <c r="I1" s="1" t="s">
        <v>4493</v>
      </c>
    </row>
    <row r="2" spans="1:9" x14ac:dyDescent="0.2">
      <c r="A2" t="s">
        <v>632</v>
      </c>
      <c r="B2" s="44">
        <v>39730</v>
      </c>
      <c r="C2" t="s">
        <v>4</v>
      </c>
      <c r="D2" t="s">
        <v>3105</v>
      </c>
      <c r="F2"/>
      <c r="G2"/>
      <c r="H2">
        <v>0</v>
      </c>
    </row>
    <row r="3" spans="1:9" x14ac:dyDescent="0.2">
      <c r="A3" t="s">
        <v>37</v>
      </c>
      <c r="B3" s="44">
        <v>35802</v>
      </c>
      <c r="C3" t="s">
        <v>4</v>
      </c>
      <c r="D3" t="s">
        <v>3156</v>
      </c>
      <c r="H3">
        <v>1</v>
      </c>
    </row>
    <row r="4" spans="1:9" x14ac:dyDescent="0.2">
      <c r="A4" t="s">
        <v>41</v>
      </c>
      <c r="B4" s="44">
        <v>35803</v>
      </c>
      <c r="C4" t="s">
        <v>4</v>
      </c>
      <c r="D4" t="s">
        <v>3157</v>
      </c>
      <c r="E4" t="s">
        <v>42</v>
      </c>
      <c r="F4" s="4">
        <v>7.2499999999999898E-2</v>
      </c>
      <c r="G4" s="4">
        <v>7.2499999999999995E-2</v>
      </c>
      <c r="H4">
        <v>1</v>
      </c>
    </row>
    <row r="5" spans="1:9" x14ac:dyDescent="0.2">
      <c r="A5" t="s">
        <v>1346</v>
      </c>
      <c r="B5" s="44">
        <v>35809</v>
      </c>
      <c r="C5" t="s">
        <v>4</v>
      </c>
      <c r="D5" t="s">
        <v>3158</v>
      </c>
      <c r="H5">
        <v>1</v>
      </c>
    </row>
    <row r="6" spans="1:9" x14ac:dyDescent="0.2">
      <c r="A6" t="s">
        <v>17</v>
      </c>
      <c r="B6" s="44">
        <v>35830</v>
      </c>
      <c r="C6" t="s">
        <v>4</v>
      </c>
      <c r="D6" t="s">
        <v>3156</v>
      </c>
      <c r="H6">
        <v>1</v>
      </c>
    </row>
    <row r="7" spans="1:9" x14ac:dyDescent="0.2">
      <c r="A7" t="s">
        <v>22</v>
      </c>
      <c r="B7" s="44">
        <v>35831</v>
      </c>
      <c r="C7" t="s">
        <v>4</v>
      </c>
      <c r="D7" t="s">
        <v>3157</v>
      </c>
      <c r="E7" t="s">
        <v>23</v>
      </c>
      <c r="F7" s="4">
        <v>7.2499999999999898E-2</v>
      </c>
      <c r="G7" s="4">
        <v>7.2499999999999995E-2</v>
      </c>
      <c r="H7">
        <v>1</v>
      </c>
    </row>
    <row r="8" spans="1:9" x14ac:dyDescent="0.2">
      <c r="A8" t="s">
        <v>57</v>
      </c>
      <c r="B8" s="44">
        <v>35837</v>
      </c>
      <c r="C8" t="s">
        <v>4</v>
      </c>
      <c r="D8" t="s">
        <v>3158</v>
      </c>
      <c r="H8">
        <v>1</v>
      </c>
    </row>
    <row r="9" spans="1:9" x14ac:dyDescent="0.2">
      <c r="A9" t="s">
        <v>18</v>
      </c>
      <c r="B9" s="44">
        <v>35858</v>
      </c>
      <c r="C9" t="s">
        <v>4</v>
      </c>
      <c r="D9" t="s">
        <v>3156</v>
      </c>
      <c r="H9">
        <v>1</v>
      </c>
    </row>
    <row r="10" spans="1:9" x14ac:dyDescent="0.2">
      <c r="A10" t="s">
        <v>26</v>
      </c>
      <c r="B10" s="44">
        <v>35859</v>
      </c>
      <c r="C10" t="s">
        <v>4</v>
      </c>
      <c r="D10" t="s">
        <v>3157</v>
      </c>
      <c r="E10" t="s">
        <v>27</v>
      </c>
      <c r="F10" s="4">
        <v>7.2499999999999898E-2</v>
      </c>
      <c r="G10" s="4">
        <v>7.2499999999999995E-2</v>
      </c>
      <c r="H10">
        <v>1</v>
      </c>
    </row>
    <row r="11" spans="1:9" x14ac:dyDescent="0.2">
      <c r="A11" t="s">
        <v>46</v>
      </c>
      <c r="B11" s="44">
        <v>35894</v>
      </c>
      <c r="C11" t="s">
        <v>4</v>
      </c>
      <c r="D11" t="s">
        <v>3157</v>
      </c>
      <c r="E11" t="s">
        <v>47</v>
      </c>
      <c r="F11" s="4">
        <v>7.2499999999999898E-2</v>
      </c>
      <c r="G11" s="4">
        <v>7.2499999999999995E-2</v>
      </c>
      <c r="H11">
        <v>1</v>
      </c>
    </row>
    <row r="12" spans="1:9" x14ac:dyDescent="0.2">
      <c r="A12" t="s">
        <v>34</v>
      </c>
      <c r="B12" s="44">
        <v>35921</v>
      </c>
      <c r="C12" t="s">
        <v>4</v>
      </c>
      <c r="D12" t="s">
        <v>3156</v>
      </c>
      <c r="H12">
        <v>1</v>
      </c>
    </row>
    <row r="13" spans="1:9" x14ac:dyDescent="0.2">
      <c r="A13" t="s">
        <v>38</v>
      </c>
      <c r="B13" s="44">
        <v>35922</v>
      </c>
      <c r="C13" t="s">
        <v>4</v>
      </c>
      <c r="D13" t="s">
        <v>3157</v>
      </c>
      <c r="E13" t="s">
        <v>39</v>
      </c>
      <c r="F13" s="4">
        <v>7.2499999999999898E-2</v>
      </c>
      <c r="G13" s="4">
        <v>7.2499999999999995E-2</v>
      </c>
      <c r="H13">
        <v>1</v>
      </c>
    </row>
    <row r="14" spans="1:9" x14ac:dyDescent="0.2">
      <c r="A14" t="s">
        <v>16</v>
      </c>
      <c r="B14" s="44">
        <v>35949</v>
      </c>
      <c r="C14" t="s">
        <v>4</v>
      </c>
      <c r="D14" t="s">
        <v>3156</v>
      </c>
      <c r="H14">
        <v>1</v>
      </c>
    </row>
    <row r="15" spans="1:9" x14ac:dyDescent="0.2">
      <c r="A15" t="s">
        <v>19</v>
      </c>
      <c r="B15" s="44">
        <v>35950</v>
      </c>
      <c r="C15" t="s">
        <v>4</v>
      </c>
      <c r="D15" t="s">
        <v>3157</v>
      </c>
      <c r="E15" t="s">
        <v>20</v>
      </c>
      <c r="F15" s="4">
        <v>7.2499999999999898E-2</v>
      </c>
      <c r="G15" s="4">
        <v>7.4999999999999997E-2</v>
      </c>
      <c r="H15">
        <v>1</v>
      </c>
    </row>
    <row r="16" spans="1:9" x14ac:dyDescent="0.2">
      <c r="A16" t="s">
        <v>52</v>
      </c>
      <c r="B16" s="44">
        <v>35956</v>
      </c>
      <c r="C16" t="s">
        <v>4</v>
      </c>
      <c r="D16" t="s">
        <v>3158</v>
      </c>
      <c r="H16">
        <v>1</v>
      </c>
    </row>
    <row r="17" spans="1:8" x14ac:dyDescent="0.2">
      <c r="A17" t="s">
        <v>43</v>
      </c>
      <c r="B17" s="44">
        <v>35984</v>
      </c>
      <c r="C17" t="s">
        <v>4</v>
      </c>
      <c r="D17" t="s">
        <v>3156</v>
      </c>
      <c r="H17">
        <v>1</v>
      </c>
    </row>
    <row r="18" spans="1:8" x14ac:dyDescent="0.2">
      <c r="A18" t="s">
        <v>48</v>
      </c>
      <c r="B18" s="44">
        <v>35985</v>
      </c>
      <c r="C18" t="s">
        <v>4</v>
      </c>
      <c r="D18" t="s">
        <v>3157</v>
      </c>
      <c r="E18" t="s">
        <v>49</v>
      </c>
      <c r="F18" s="4">
        <v>7.49999999999999E-2</v>
      </c>
      <c r="G18" s="4">
        <v>7.4999999999999997E-2</v>
      </c>
      <c r="H18">
        <v>1</v>
      </c>
    </row>
    <row r="19" spans="1:8" x14ac:dyDescent="0.2">
      <c r="A19" t="s">
        <v>2317</v>
      </c>
      <c r="B19" s="44">
        <v>35991</v>
      </c>
      <c r="C19" t="s">
        <v>4</v>
      </c>
      <c r="D19" t="s">
        <v>3158</v>
      </c>
      <c r="H19">
        <v>1</v>
      </c>
    </row>
    <row r="20" spans="1:8" x14ac:dyDescent="0.2">
      <c r="A20" t="s">
        <v>29</v>
      </c>
      <c r="B20" s="44">
        <v>36012</v>
      </c>
      <c r="C20" t="s">
        <v>4</v>
      </c>
      <c r="D20" t="s">
        <v>3156</v>
      </c>
      <c r="H20">
        <v>1</v>
      </c>
    </row>
    <row r="21" spans="1:8" x14ac:dyDescent="0.2">
      <c r="A21" t="s">
        <v>35</v>
      </c>
      <c r="B21" s="44">
        <v>36013</v>
      </c>
      <c r="C21" t="s">
        <v>4</v>
      </c>
      <c r="D21" t="s">
        <v>3157</v>
      </c>
      <c r="E21" t="s">
        <v>36</v>
      </c>
      <c r="F21" s="4">
        <v>7.49999999999999E-2</v>
      </c>
      <c r="G21" s="4">
        <v>7.4999999999999997E-2</v>
      </c>
      <c r="H21">
        <v>1</v>
      </c>
    </row>
    <row r="22" spans="1:8" x14ac:dyDescent="0.2">
      <c r="A22" t="s">
        <v>53</v>
      </c>
      <c r="B22" s="44">
        <v>36048</v>
      </c>
      <c r="C22" t="s">
        <v>4</v>
      </c>
      <c r="D22" t="s">
        <v>3157</v>
      </c>
      <c r="E22" t="s">
        <v>54</v>
      </c>
      <c r="F22" s="4">
        <v>7.49999999999999E-2</v>
      </c>
      <c r="G22" s="4">
        <v>7.4999999999999997E-2</v>
      </c>
      <c r="H22">
        <v>1</v>
      </c>
    </row>
    <row r="23" spans="1:8" x14ac:dyDescent="0.2">
      <c r="A23" t="s">
        <v>40</v>
      </c>
      <c r="B23" s="44">
        <v>36075</v>
      </c>
      <c r="C23" t="s">
        <v>4</v>
      </c>
      <c r="D23" t="s">
        <v>3156</v>
      </c>
      <c r="H23">
        <v>1</v>
      </c>
    </row>
    <row r="24" spans="1:8" x14ac:dyDescent="0.2">
      <c r="A24" t="s">
        <v>44</v>
      </c>
      <c r="B24" s="44">
        <v>36076</v>
      </c>
      <c r="C24" t="s">
        <v>4</v>
      </c>
      <c r="D24" t="s">
        <v>3157</v>
      </c>
      <c r="E24" t="s">
        <v>45</v>
      </c>
      <c r="F24" s="4">
        <v>7.49999999999999E-2</v>
      </c>
      <c r="G24" s="4">
        <v>7.2499999999999995E-2</v>
      </c>
      <c r="H24">
        <v>1</v>
      </c>
    </row>
    <row r="25" spans="1:8" x14ac:dyDescent="0.2">
      <c r="A25" t="s">
        <v>21</v>
      </c>
      <c r="B25" s="44">
        <v>36103</v>
      </c>
      <c r="C25" t="s">
        <v>4</v>
      </c>
      <c r="D25" t="s">
        <v>3156</v>
      </c>
      <c r="H25">
        <v>1</v>
      </c>
    </row>
    <row r="26" spans="1:8" x14ac:dyDescent="0.2">
      <c r="A26" t="s">
        <v>30</v>
      </c>
      <c r="B26" s="44">
        <v>36104</v>
      </c>
      <c r="C26" t="s">
        <v>4</v>
      </c>
      <c r="D26" t="s">
        <v>3157</v>
      </c>
      <c r="E26" t="s">
        <v>31</v>
      </c>
      <c r="F26" s="4">
        <v>7.0000000000000007E-2</v>
      </c>
      <c r="G26" s="4">
        <v>6.7500000000000004E-2</v>
      </c>
      <c r="H26">
        <v>1</v>
      </c>
    </row>
    <row r="27" spans="1:8" x14ac:dyDescent="0.2">
      <c r="A27" t="s">
        <v>50</v>
      </c>
      <c r="B27" s="44">
        <v>36138</v>
      </c>
      <c r="C27" t="s">
        <v>4</v>
      </c>
      <c r="D27" t="s">
        <v>3156</v>
      </c>
      <c r="H27">
        <v>1</v>
      </c>
    </row>
    <row r="28" spans="1:8" x14ac:dyDescent="0.2">
      <c r="A28" t="s">
        <v>55</v>
      </c>
      <c r="B28" s="44">
        <v>36139</v>
      </c>
      <c r="C28" t="s">
        <v>4</v>
      </c>
      <c r="D28" t="s">
        <v>3157</v>
      </c>
      <c r="E28" t="s">
        <v>56</v>
      </c>
      <c r="F28" s="4">
        <v>6.5000000000000002E-2</v>
      </c>
      <c r="G28" s="4">
        <v>6.25E-2</v>
      </c>
      <c r="H28">
        <v>1</v>
      </c>
    </row>
    <row r="29" spans="1:8" x14ac:dyDescent="0.2">
      <c r="A29" t="s">
        <v>63</v>
      </c>
      <c r="B29" s="44">
        <v>36161</v>
      </c>
      <c r="C29" t="s">
        <v>4</v>
      </c>
      <c r="D29" t="s">
        <v>3158</v>
      </c>
      <c r="H29">
        <v>1</v>
      </c>
    </row>
    <row r="30" spans="1:8" x14ac:dyDescent="0.2">
      <c r="A30" t="s">
        <v>84</v>
      </c>
      <c r="B30" s="44">
        <v>36167</v>
      </c>
      <c r="C30" t="s">
        <v>4</v>
      </c>
      <c r="D30" t="s">
        <v>3157</v>
      </c>
      <c r="E30" t="s">
        <v>85</v>
      </c>
      <c r="F30" s="4">
        <v>6.25E-2</v>
      </c>
      <c r="G30" s="4">
        <v>0.06</v>
      </c>
      <c r="H30">
        <v>1</v>
      </c>
    </row>
    <row r="31" spans="1:8" x14ac:dyDescent="0.2">
      <c r="A31" t="s">
        <v>69</v>
      </c>
      <c r="B31" s="44">
        <v>36194</v>
      </c>
      <c r="C31" t="s">
        <v>4</v>
      </c>
      <c r="D31" t="s">
        <v>3156</v>
      </c>
      <c r="H31">
        <v>1</v>
      </c>
    </row>
    <row r="32" spans="1:8" x14ac:dyDescent="0.2">
      <c r="A32" t="s">
        <v>73</v>
      </c>
      <c r="B32" s="44">
        <v>36195</v>
      </c>
      <c r="C32" t="s">
        <v>4</v>
      </c>
      <c r="D32" t="s">
        <v>3157</v>
      </c>
      <c r="E32" t="s">
        <v>74</v>
      </c>
      <c r="F32" s="4">
        <v>5.7500000000000002E-2</v>
      </c>
      <c r="G32" s="4">
        <v>5.5E-2</v>
      </c>
      <c r="H32">
        <v>1</v>
      </c>
    </row>
    <row r="33" spans="1:8" x14ac:dyDescent="0.2">
      <c r="A33" t="s">
        <v>66</v>
      </c>
      <c r="B33" s="44">
        <v>36221</v>
      </c>
      <c r="C33" t="s">
        <v>4</v>
      </c>
      <c r="D33" t="s">
        <v>3156</v>
      </c>
      <c r="H33">
        <v>1</v>
      </c>
    </row>
    <row r="34" spans="1:8" x14ac:dyDescent="0.2">
      <c r="A34" t="s">
        <v>70</v>
      </c>
      <c r="B34" s="44">
        <v>36222</v>
      </c>
      <c r="C34" t="s">
        <v>4</v>
      </c>
      <c r="D34" t="s">
        <v>3157</v>
      </c>
      <c r="E34" t="s">
        <v>71</v>
      </c>
      <c r="F34" s="4">
        <v>5.2499999999999901E-2</v>
      </c>
      <c r="G34" s="4">
        <v>5.5E-2</v>
      </c>
      <c r="H34">
        <v>1</v>
      </c>
    </row>
    <row r="35" spans="1:8" x14ac:dyDescent="0.2">
      <c r="A35" t="s">
        <v>86</v>
      </c>
      <c r="B35" s="44">
        <v>36257</v>
      </c>
      <c r="C35" t="s">
        <v>4</v>
      </c>
      <c r="D35" t="s">
        <v>3156</v>
      </c>
      <c r="H35">
        <v>1</v>
      </c>
    </row>
    <row r="36" spans="1:8" x14ac:dyDescent="0.2">
      <c r="A36" t="s">
        <v>92</v>
      </c>
      <c r="B36" s="44">
        <v>36258</v>
      </c>
      <c r="C36" t="s">
        <v>4</v>
      </c>
      <c r="D36" t="s">
        <v>3157</v>
      </c>
      <c r="E36" t="s">
        <v>93</v>
      </c>
      <c r="F36" s="4">
        <v>5.2499999999999901E-2</v>
      </c>
      <c r="G36" s="4">
        <v>5.2499999999999998E-2</v>
      </c>
      <c r="H36">
        <v>1</v>
      </c>
    </row>
    <row r="37" spans="1:8" x14ac:dyDescent="0.2">
      <c r="A37" t="s">
        <v>78</v>
      </c>
      <c r="B37" s="44">
        <v>36285</v>
      </c>
      <c r="C37" t="s">
        <v>4</v>
      </c>
      <c r="D37" t="s">
        <v>3156</v>
      </c>
      <c r="H37">
        <v>1</v>
      </c>
    </row>
    <row r="38" spans="1:8" x14ac:dyDescent="0.2">
      <c r="A38" t="s">
        <v>81</v>
      </c>
      <c r="B38" s="44">
        <v>36286</v>
      </c>
      <c r="C38" t="s">
        <v>4</v>
      </c>
      <c r="D38" t="s">
        <v>3157</v>
      </c>
      <c r="E38" t="s">
        <v>82</v>
      </c>
      <c r="F38" s="4">
        <v>5.2499999999999901E-2</v>
      </c>
      <c r="G38" s="4">
        <v>5.2499999999999998E-2</v>
      </c>
      <c r="H38">
        <v>1</v>
      </c>
    </row>
    <row r="39" spans="1:8" x14ac:dyDescent="0.2">
      <c r="A39" t="s">
        <v>99</v>
      </c>
      <c r="B39" s="44">
        <v>36320</v>
      </c>
      <c r="C39" t="s">
        <v>4</v>
      </c>
      <c r="D39" t="s">
        <v>3156</v>
      </c>
      <c r="H39">
        <v>1</v>
      </c>
    </row>
    <row r="40" spans="1:8" x14ac:dyDescent="0.2">
      <c r="A40" t="s">
        <v>102</v>
      </c>
      <c r="B40" s="44">
        <v>36321</v>
      </c>
      <c r="C40" t="s">
        <v>4</v>
      </c>
      <c r="D40" t="s">
        <v>3157</v>
      </c>
      <c r="E40" t="s">
        <v>103</v>
      </c>
      <c r="F40" s="4">
        <v>5.2499999999999901E-2</v>
      </c>
      <c r="G40" s="4">
        <v>0.05</v>
      </c>
      <c r="H40">
        <v>1</v>
      </c>
    </row>
    <row r="41" spans="1:8" x14ac:dyDescent="0.2">
      <c r="A41" t="s">
        <v>87</v>
      </c>
      <c r="B41" s="44">
        <v>36348</v>
      </c>
      <c r="C41" t="s">
        <v>4</v>
      </c>
      <c r="D41" t="s">
        <v>3156</v>
      </c>
      <c r="H41">
        <v>1</v>
      </c>
    </row>
    <row r="42" spans="1:8" x14ac:dyDescent="0.2">
      <c r="A42" t="s">
        <v>94</v>
      </c>
      <c r="B42" s="44">
        <v>36349</v>
      </c>
      <c r="C42" t="s">
        <v>4</v>
      </c>
      <c r="D42" t="s">
        <v>3157</v>
      </c>
      <c r="E42" t="s">
        <v>95</v>
      </c>
      <c r="F42" s="4">
        <v>0.05</v>
      </c>
      <c r="G42" s="4">
        <v>0.05</v>
      </c>
      <c r="H42">
        <v>1</v>
      </c>
    </row>
    <row r="43" spans="1:8" x14ac:dyDescent="0.2">
      <c r="A43" t="s">
        <v>75</v>
      </c>
      <c r="B43" s="44">
        <v>36376</v>
      </c>
      <c r="C43" t="s">
        <v>4</v>
      </c>
      <c r="D43" t="s">
        <v>3156</v>
      </c>
      <c r="H43">
        <v>1</v>
      </c>
    </row>
    <row r="44" spans="1:8" x14ac:dyDescent="0.2">
      <c r="A44" t="s">
        <v>79</v>
      </c>
      <c r="B44" s="44">
        <v>36377</v>
      </c>
      <c r="C44" t="s">
        <v>4</v>
      </c>
      <c r="D44" t="s">
        <v>3157</v>
      </c>
      <c r="E44" t="s">
        <v>80</v>
      </c>
      <c r="F44" s="4">
        <v>0.05</v>
      </c>
      <c r="G44" s="4">
        <v>0.05</v>
      </c>
      <c r="H44">
        <v>1</v>
      </c>
    </row>
    <row r="45" spans="1:8" x14ac:dyDescent="0.2">
      <c r="A45" t="s">
        <v>88</v>
      </c>
      <c r="B45" s="44">
        <v>36410</v>
      </c>
      <c r="C45" t="s">
        <v>4</v>
      </c>
      <c r="D45" t="s">
        <v>3156</v>
      </c>
      <c r="H45">
        <v>1</v>
      </c>
    </row>
    <row r="46" spans="1:8" x14ac:dyDescent="0.2">
      <c r="A46" t="s">
        <v>96</v>
      </c>
      <c r="B46" s="44">
        <v>36411</v>
      </c>
      <c r="C46" t="s">
        <v>4</v>
      </c>
      <c r="D46" t="s">
        <v>3157</v>
      </c>
      <c r="E46" t="s">
        <v>97</v>
      </c>
      <c r="F46" s="4">
        <v>0.05</v>
      </c>
      <c r="G46" s="4">
        <v>5.2499999999999998E-2</v>
      </c>
      <c r="H46">
        <v>1</v>
      </c>
    </row>
    <row r="47" spans="1:8" x14ac:dyDescent="0.2">
      <c r="A47" t="s">
        <v>2558</v>
      </c>
      <c r="B47" s="44">
        <v>36425</v>
      </c>
      <c r="C47" t="s">
        <v>4</v>
      </c>
      <c r="D47" t="s">
        <v>3158</v>
      </c>
      <c r="H47">
        <v>1</v>
      </c>
    </row>
    <row r="48" spans="1:8" x14ac:dyDescent="0.2">
      <c r="A48" t="s">
        <v>83</v>
      </c>
      <c r="B48" s="44">
        <v>36439</v>
      </c>
      <c r="C48" t="s">
        <v>4</v>
      </c>
      <c r="D48" t="s">
        <v>3156</v>
      </c>
      <c r="H48">
        <v>1</v>
      </c>
    </row>
    <row r="49" spans="1:8" x14ac:dyDescent="0.2">
      <c r="A49" t="s">
        <v>89</v>
      </c>
      <c r="B49" s="44">
        <v>36440</v>
      </c>
      <c r="C49" t="s">
        <v>4</v>
      </c>
      <c r="D49" t="s">
        <v>3157</v>
      </c>
      <c r="E49" t="s">
        <v>90</v>
      </c>
      <c r="F49" s="4">
        <v>5.2499999999999901E-2</v>
      </c>
      <c r="G49" s="4">
        <v>5.2499999999999998E-2</v>
      </c>
      <c r="H49">
        <v>1</v>
      </c>
    </row>
    <row r="50" spans="1:8" x14ac:dyDescent="0.2">
      <c r="A50" t="s">
        <v>2719</v>
      </c>
      <c r="B50" s="44">
        <v>36453</v>
      </c>
      <c r="C50" t="s">
        <v>4</v>
      </c>
      <c r="D50" t="s">
        <v>3158</v>
      </c>
      <c r="H50">
        <v>1</v>
      </c>
    </row>
    <row r="51" spans="1:8" x14ac:dyDescent="0.2">
      <c r="A51" t="s">
        <v>72</v>
      </c>
      <c r="B51" s="44">
        <v>36467</v>
      </c>
      <c r="C51" t="s">
        <v>4</v>
      </c>
      <c r="D51" t="s">
        <v>3156</v>
      </c>
      <c r="H51">
        <v>1</v>
      </c>
    </row>
    <row r="52" spans="1:8" x14ac:dyDescent="0.2">
      <c r="A52" t="s">
        <v>76</v>
      </c>
      <c r="B52" s="44">
        <v>36468</v>
      </c>
      <c r="C52" t="s">
        <v>4</v>
      </c>
      <c r="D52" t="s">
        <v>3157</v>
      </c>
      <c r="E52" t="s">
        <v>77</v>
      </c>
      <c r="F52" s="4">
        <v>5.5E-2</v>
      </c>
      <c r="G52" s="4">
        <v>5.5E-2</v>
      </c>
      <c r="H52">
        <v>1</v>
      </c>
    </row>
    <row r="53" spans="1:8" x14ac:dyDescent="0.2">
      <c r="A53" t="s">
        <v>2885</v>
      </c>
      <c r="B53" s="44">
        <v>36481</v>
      </c>
      <c r="C53" t="s">
        <v>4</v>
      </c>
      <c r="D53" t="s">
        <v>3158</v>
      </c>
      <c r="H53">
        <v>1</v>
      </c>
    </row>
    <row r="54" spans="1:8" x14ac:dyDescent="0.2">
      <c r="A54" t="s">
        <v>98</v>
      </c>
      <c r="B54" s="44">
        <v>36502</v>
      </c>
      <c r="C54" t="s">
        <v>4</v>
      </c>
      <c r="D54" t="s">
        <v>3156</v>
      </c>
      <c r="H54">
        <v>1</v>
      </c>
    </row>
    <row r="55" spans="1:8" x14ac:dyDescent="0.2">
      <c r="A55" t="s">
        <v>100</v>
      </c>
      <c r="B55" s="44">
        <v>36503</v>
      </c>
      <c r="C55" t="s">
        <v>4</v>
      </c>
      <c r="D55" t="s">
        <v>3157</v>
      </c>
      <c r="E55" t="s">
        <v>101</v>
      </c>
      <c r="F55" s="4">
        <v>5.5E-2</v>
      </c>
      <c r="G55" s="4">
        <v>5.5E-2</v>
      </c>
      <c r="H55">
        <v>1</v>
      </c>
    </row>
    <row r="56" spans="1:8" x14ac:dyDescent="0.2">
      <c r="A56" t="s">
        <v>3095</v>
      </c>
      <c r="B56" s="44">
        <v>36516</v>
      </c>
      <c r="C56" t="s">
        <v>4</v>
      </c>
      <c r="D56" t="s">
        <v>3158</v>
      </c>
      <c r="H56">
        <v>1</v>
      </c>
    </row>
    <row r="57" spans="1:8" x14ac:dyDescent="0.2">
      <c r="A57" t="s">
        <v>161</v>
      </c>
      <c r="B57" s="44">
        <v>36537</v>
      </c>
      <c r="C57" t="s">
        <v>4</v>
      </c>
      <c r="D57" t="s">
        <v>3156</v>
      </c>
      <c r="H57">
        <v>1</v>
      </c>
    </row>
    <row r="58" spans="1:8" x14ac:dyDescent="0.2">
      <c r="A58" t="s">
        <v>1340</v>
      </c>
      <c r="B58" s="44">
        <v>36538</v>
      </c>
      <c r="C58" t="s">
        <v>4</v>
      </c>
      <c r="D58" t="s">
        <v>3157</v>
      </c>
      <c r="E58" t="s">
        <v>1341</v>
      </c>
      <c r="F58" s="4">
        <v>5.7500000000000002E-2</v>
      </c>
      <c r="G58" s="4">
        <v>5.7500000000000002E-2</v>
      </c>
      <c r="H58">
        <v>1</v>
      </c>
    </row>
    <row r="59" spans="1:8" x14ac:dyDescent="0.2">
      <c r="A59" t="s">
        <v>148</v>
      </c>
      <c r="B59" s="44">
        <v>36565</v>
      </c>
      <c r="C59" t="s">
        <v>4</v>
      </c>
      <c r="D59" t="s">
        <v>3156</v>
      </c>
      <c r="H59">
        <v>1</v>
      </c>
    </row>
    <row r="60" spans="1:8" x14ac:dyDescent="0.2">
      <c r="A60" t="s">
        <v>156</v>
      </c>
      <c r="B60" s="44">
        <v>36566</v>
      </c>
      <c r="C60" t="s">
        <v>4</v>
      </c>
      <c r="D60" t="s">
        <v>3157</v>
      </c>
      <c r="E60" t="s">
        <v>157</v>
      </c>
      <c r="F60" s="4">
        <v>0.06</v>
      </c>
      <c r="G60" s="4">
        <v>0.06</v>
      </c>
      <c r="H60">
        <v>1</v>
      </c>
    </row>
    <row r="61" spans="1:8" x14ac:dyDescent="0.2">
      <c r="A61" t="s">
        <v>146</v>
      </c>
      <c r="B61" s="44">
        <v>36593</v>
      </c>
      <c r="C61" t="s">
        <v>4</v>
      </c>
      <c r="D61" t="s">
        <v>3156</v>
      </c>
      <c r="H61">
        <v>1</v>
      </c>
    </row>
    <row r="62" spans="1:8" x14ac:dyDescent="0.2">
      <c r="A62" t="s">
        <v>149</v>
      </c>
      <c r="B62" s="44">
        <v>36594</v>
      </c>
      <c r="C62" t="s">
        <v>4</v>
      </c>
      <c r="D62" t="s">
        <v>3157</v>
      </c>
      <c r="E62" t="s">
        <v>150</v>
      </c>
      <c r="F62" s="4">
        <v>0.06</v>
      </c>
      <c r="G62" s="4">
        <v>0.06</v>
      </c>
      <c r="H62">
        <v>1</v>
      </c>
    </row>
    <row r="63" spans="1:8" x14ac:dyDescent="0.2">
      <c r="A63" t="s">
        <v>1737</v>
      </c>
      <c r="B63" s="44">
        <v>36607</v>
      </c>
      <c r="C63" t="s">
        <v>4</v>
      </c>
      <c r="D63" t="s">
        <v>3158</v>
      </c>
      <c r="H63">
        <v>1</v>
      </c>
    </row>
    <row r="64" spans="1:8" x14ac:dyDescent="0.2">
      <c r="A64" t="s">
        <v>123</v>
      </c>
      <c r="B64" s="44">
        <v>36621</v>
      </c>
      <c r="C64" t="s">
        <v>4</v>
      </c>
      <c r="D64" t="s">
        <v>3156</v>
      </c>
      <c r="H64">
        <v>1</v>
      </c>
    </row>
    <row r="65" spans="1:8" x14ac:dyDescent="0.2">
      <c r="A65" t="s">
        <v>130</v>
      </c>
      <c r="B65" s="44">
        <v>36622</v>
      </c>
      <c r="C65" t="s">
        <v>4</v>
      </c>
      <c r="D65" t="s">
        <v>3157</v>
      </c>
      <c r="E65" t="s">
        <v>131</v>
      </c>
      <c r="F65" s="4">
        <v>0.06</v>
      </c>
      <c r="G65" s="4">
        <v>0.06</v>
      </c>
      <c r="H65">
        <v>1</v>
      </c>
    </row>
    <row r="66" spans="1:8" x14ac:dyDescent="0.2">
      <c r="A66" t="s">
        <v>1841</v>
      </c>
      <c r="B66" s="44">
        <v>36635</v>
      </c>
      <c r="C66" t="s">
        <v>4</v>
      </c>
      <c r="D66" t="s">
        <v>3158</v>
      </c>
      <c r="H66">
        <v>1</v>
      </c>
    </row>
    <row r="67" spans="1:8" x14ac:dyDescent="0.2">
      <c r="A67" t="s">
        <v>107</v>
      </c>
      <c r="B67" s="44">
        <v>36649</v>
      </c>
      <c r="C67" t="s">
        <v>4</v>
      </c>
      <c r="D67" t="s">
        <v>3156</v>
      </c>
      <c r="H67">
        <v>1</v>
      </c>
    </row>
    <row r="68" spans="1:8" x14ac:dyDescent="0.2">
      <c r="A68" t="s">
        <v>114</v>
      </c>
      <c r="B68" s="44">
        <v>36650</v>
      </c>
      <c r="C68" t="s">
        <v>4</v>
      </c>
      <c r="D68" t="s">
        <v>3157</v>
      </c>
      <c r="E68" t="s">
        <v>115</v>
      </c>
      <c r="F68" s="4">
        <v>6.25E-2</v>
      </c>
      <c r="G68" s="4">
        <v>0.06</v>
      </c>
      <c r="H68">
        <v>1</v>
      </c>
    </row>
    <row r="69" spans="1:8" x14ac:dyDescent="0.2">
      <c r="A69" t="s">
        <v>1952</v>
      </c>
      <c r="B69" s="44">
        <v>36663</v>
      </c>
      <c r="C69" t="s">
        <v>4</v>
      </c>
      <c r="D69" t="s">
        <v>3158</v>
      </c>
      <c r="H69">
        <v>1</v>
      </c>
    </row>
    <row r="70" spans="1:8" x14ac:dyDescent="0.2">
      <c r="A70" t="s">
        <v>132</v>
      </c>
      <c r="B70" s="44">
        <v>36683</v>
      </c>
      <c r="C70" t="s">
        <v>4</v>
      </c>
      <c r="D70" t="s">
        <v>3156</v>
      </c>
      <c r="H70">
        <v>1</v>
      </c>
    </row>
    <row r="71" spans="1:8" x14ac:dyDescent="0.2">
      <c r="A71" t="s">
        <v>138</v>
      </c>
      <c r="B71" s="44">
        <v>36684</v>
      </c>
      <c r="C71" t="s">
        <v>4</v>
      </c>
      <c r="D71" t="s">
        <v>3157</v>
      </c>
      <c r="E71" t="s">
        <v>139</v>
      </c>
      <c r="F71" s="4">
        <v>0.06</v>
      </c>
      <c r="G71" s="4">
        <v>0.06</v>
      </c>
      <c r="H71">
        <v>1</v>
      </c>
    </row>
    <row r="72" spans="1:8" x14ac:dyDescent="0.2">
      <c r="A72" t="s">
        <v>2194</v>
      </c>
      <c r="B72" s="44">
        <v>36698</v>
      </c>
      <c r="C72" t="s">
        <v>4</v>
      </c>
      <c r="D72" t="s">
        <v>3158</v>
      </c>
      <c r="H72">
        <v>1</v>
      </c>
    </row>
    <row r="73" spans="1:8" x14ac:dyDescent="0.2">
      <c r="A73" t="s">
        <v>125</v>
      </c>
      <c r="B73" s="44">
        <v>36712</v>
      </c>
      <c r="C73" t="s">
        <v>4</v>
      </c>
      <c r="D73" t="s">
        <v>3156</v>
      </c>
      <c r="H73">
        <v>1</v>
      </c>
    </row>
    <row r="74" spans="1:8" x14ac:dyDescent="0.2">
      <c r="A74" t="s">
        <v>133</v>
      </c>
      <c r="B74" s="44">
        <v>36713</v>
      </c>
      <c r="C74" t="s">
        <v>4</v>
      </c>
      <c r="D74" t="s">
        <v>3157</v>
      </c>
      <c r="E74" t="s">
        <v>134</v>
      </c>
      <c r="F74" s="4">
        <v>0.06</v>
      </c>
      <c r="G74" s="4">
        <v>0.06</v>
      </c>
      <c r="H74">
        <v>1</v>
      </c>
    </row>
    <row r="75" spans="1:8" x14ac:dyDescent="0.2">
      <c r="A75" t="s">
        <v>2359</v>
      </c>
      <c r="B75" s="44">
        <v>36726</v>
      </c>
      <c r="C75" t="s">
        <v>4</v>
      </c>
      <c r="D75" t="s">
        <v>3158</v>
      </c>
      <c r="H75">
        <v>1</v>
      </c>
    </row>
    <row r="76" spans="1:8" x14ac:dyDescent="0.2">
      <c r="A76" t="s">
        <v>105</v>
      </c>
      <c r="B76" s="44">
        <v>36740</v>
      </c>
      <c r="C76" t="s">
        <v>4</v>
      </c>
      <c r="D76" t="s">
        <v>3156</v>
      </c>
      <c r="H76">
        <v>1</v>
      </c>
    </row>
    <row r="77" spans="1:8" x14ac:dyDescent="0.2">
      <c r="A77" t="s">
        <v>110</v>
      </c>
      <c r="B77" s="44">
        <v>36741</v>
      </c>
      <c r="C77" t="s">
        <v>4</v>
      </c>
      <c r="D77" t="s">
        <v>3157</v>
      </c>
      <c r="E77" t="s">
        <v>111</v>
      </c>
      <c r="F77" s="4">
        <v>0.06</v>
      </c>
      <c r="G77" s="4">
        <v>0.06</v>
      </c>
      <c r="H77">
        <v>1</v>
      </c>
    </row>
    <row r="78" spans="1:8" x14ac:dyDescent="0.2">
      <c r="A78" t="s">
        <v>2423</v>
      </c>
      <c r="B78" s="44">
        <v>36754</v>
      </c>
      <c r="C78" t="s">
        <v>4</v>
      </c>
      <c r="D78" t="s">
        <v>3158</v>
      </c>
      <c r="H78">
        <v>1</v>
      </c>
    </row>
    <row r="79" spans="1:8" x14ac:dyDescent="0.2">
      <c r="A79" t="s">
        <v>135</v>
      </c>
      <c r="B79" s="44">
        <v>36775</v>
      </c>
      <c r="C79" t="s">
        <v>4</v>
      </c>
      <c r="D79" t="s">
        <v>3156</v>
      </c>
      <c r="H79">
        <v>1</v>
      </c>
    </row>
    <row r="80" spans="1:8" x14ac:dyDescent="0.2">
      <c r="A80" t="s">
        <v>142</v>
      </c>
      <c r="B80" s="44">
        <v>36776</v>
      </c>
      <c r="C80" t="s">
        <v>4</v>
      </c>
      <c r="D80" t="s">
        <v>3157</v>
      </c>
      <c r="E80" t="s">
        <v>143</v>
      </c>
      <c r="F80" s="4">
        <v>0.06</v>
      </c>
      <c r="G80" s="4">
        <v>0.06</v>
      </c>
      <c r="H80">
        <v>1</v>
      </c>
    </row>
    <row r="81" spans="1:8" x14ac:dyDescent="0.2">
      <c r="A81" t="s">
        <v>2534</v>
      </c>
      <c r="B81" s="44">
        <v>36789</v>
      </c>
      <c r="C81" t="s">
        <v>4</v>
      </c>
      <c r="D81" t="s">
        <v>3158</v>
      </c>
      <c r="H81">
        <v>1</v>
      </c>
    </row>
    <row r="82" spans="1:8" x14ac:dyDescent="0.2">
      <c r="A82" t="s">
        <v>119</v>
      </c>
      <c r="B82" s="44">
        <v>36803</v>
      </c>
      <c r="C82" t="s">
        <v>4</v>
      </c>
      <c r="D82" t="s">
        <v>3156</v>
      </c>
      <c r="H82">
        <v>1</v>
      </c>
    </row>
    <row r="83" spans="1:8" x14ac:dyDescent="0.2">
      <c r="A83" t="s">
        <v>128</v>
      </c>
      <c r="B83" s="44">
        <v>36804</v>
      </c>
      <c r="C83" t="s">
        <v>4</v>
      </c>
      <c r="D83" t="s">
        <v>3157</v>
      </c>
      <c r="E83" t="s">
        <v>129</v>
      </c>
      <c r="F83" s="4">
        <v>0.06</v>
      </c>
      <c r="G83" s="4">
        <v>0.06</v>
      </c>
      <c r="H83">
        <v>1</v>
      </c>
    </row>
    <row r="84" spans="1:8" x14ac:dyDescent="0.2">
      <c r="A84" t="s">
        <v>2690</v>
      </c>
      <c r="B84" s="44">
        <v>36817</v>
      </c>
      <c r="C84" t="s">
        <v>4</v>
      </c>
      <c r="D84" t="s">
        <v>3158</v>
      </c>
      <c r="H84">
        <v>1</v>
      </c>
    </row>
    <row r="85" spans="1:8" x14ac:dyDescent="0.2">
      <c r="A85" t="s">
        <v>147</v>
      </c>
      <c r="B85" s="44">
        <v>36838</v>
      </c>
      <c r="C85" t="s">
        <v>4</v>
      </c>
      <c r="D85" t="s">
        <v>3156</v>
      </c>
      <c r="H85">
        <v>1</v>
      </c>
    </row>
    <row r="86" spans="1:8" x14ac:dyDescent="0.2">
      <c r="A86" t="s">
        <v>154</v>
      </c>
      <c r="B86" s="44">
        <v>36839</v>
      </c>
      <c r="C86" t="s">
        <v>4</v>
      </c>
      <c r="D86" t="s">
        <v>3157</v>
      </c>
      <c r="E86" t="s">
        <v>155</v>
      </c>
      <c r="F86" s="4">
        <v>0.06</v>
      </c>
      <c r="G86" s="4">
        <v>0.06</v>
      </c>
      <c r="H86">
        <v>1</v>
      </c>
    </row>
    <row r="87" spans="1:8" x14ac:dyDescent="0.2">
      <c r="A87" t="s">
        <v>2947</v>
      </c>
      <c r="B87" s="44">
        <v>36852</v>
      </c>
      <c r="C87" t="s">
        <v>4</v>
      </c>
      <c r="D87" t="s">
        <v>3158</v>
      </c>
      <c r="H87">
        <v>1</v>
      </c>
    </row>
    <row r="88" spans="1:8" x14ac:dyDescent="0.2">
      <c r="A88" t="s">
        <v>136</v>
      </c>
      <c r="B88" s="44">
        <v>36866</v>
      </c>
      <c r="C88" t="s">
        <v>4</v>
      </c>
      <c r="D88" t="s">
        <v>3156</v>
      </c>
      <c r="H88">
        <v>1</v>
      </c>
    </row>
    <row r="89" spans="1:8" x14ac:dyDescent="0.2">
      <c r="A89" t="s">
        <v>144</v>
      </c>
      <c r="B89" s="44">
        <v>36867</v>
      </c>
      <c r="C89" t="s">
        <v>4</v>
      </c>
      <c r="D89" t="s">
        <v>3157</v>
      </c>
      <c r="E89" t="s">
        <v>145</v>
      </c>
      <c r="F89" s="4">
        <v>0.06</v>
      </c>
      <c r="G89" s="4">
        <v>0.06</v>
      </c>
      <c r="H89">
        <v>1</v>
      </c>
    </row>
    <row r="90" spans="1:8" x14ac:dyDescent="0.2">
      <c r="A90" t="s">
        <v>3082</v>
      </c>
      <c r="B90" s="44">
        <v>36880</v>
      </c>
      <c r="C90" t="s">
        <v>4</v>
      </c>
      <c r="D90" t="s">
        <v>3158</v>
      </c>
      <c r="H90">
        <v>1</v>
      </c>
    </row>
    <row r="91" spans="1:8" x14ac:dyDescent="0.2">
      <c r="A91" t="s">
        <v>214</v>
      </c>
      <c r="B91" s="44">
        <v>36901</v>
      </c>
      <c r="C91" t="s">
        <v>4</v>
      </c>
      <c r="D91" t="s">
        <v>3156</v>
      </c>
      <c r="H91">
        <v>1</v>
      </c>
    </row>
    <row r="92" spans="1:8" x14ac:dyDescent="0.2">
      <c r="A92" t="s">
        <v>219</v>
      </c>
      <c r="B92" s="44">
        <v>36902</v>
      </c>
      <c r="C92" t="s">
        <v>4</v>
      </c>
      <c r="D92" t="s">
        <v>3157</v>
      </c>
      <c r="E92" t="s">
        <v>220</v>
      </c>
      <c r="F92" s="4">
        <v>0.06</v>
      </c>
      <c r="G92" s="4">
        <v>0.06</v>
      </c>
      <c r="H92">
        <v>1</v>
      </c>
    </row>
    <row r="93" spans="1:8" x14ac:dyDescent="0.2">
      <c r="A93" t="s">
        <v>1432</v>
      </c>
      <c r="B93" s="44">
        <v>36915</v>
      </c>
      <c r="C93" t="s">
        <v>4</v>
      </c>
      <c r="D93" t="s">
        <v>3158</v>
      </c>
      <c r="H93">
        <v>1</v>
      </c>
    </row>
    <row r="94" spans="1:8" x14ac:dyDescent="0.2">
      <c r="A94" t="s">
        <v>199</v>
      </c>
      <c r="B94" s="44">
        <v>36929</v>
      </c>
      <c r="C94" t="s">
        <v>4</v>
      </c>
      <c r="D94" t="s">
        <v>3156</v>
      </c>
      <c r="H94">
        <v>1</v>
      </c>
    </row>
    <row r="95" spans="1:8" x14ac:dyDescent="0.2">
      <c r="A95" t="s">
        <v>204</v>
      </c>
      <c r="B95" s="44">
        <v>36930</v>
      </c>
      <c r="C95" t="s">
        <v>4</v>
      </c>
      <c r="D95" t="s">
        <v>3157</v>
      </c>
      <c r="E95" t="s">
        <v>205</v>
      </c>
      <c r="F95" s="4">
        <v>5.7500000000000002E-2</v>
      </c>
      <c r="G95" s="4">
        <v>5.7500000000000002E-2</v>
      </c>
      <c r="H95">
        <v>1</v>
      </c>
    </row>
    <row r="96" spans="1:8" x14ac:dyDescent="0.2">
      <c r="A96" t="s">
        <v>1558</v>
      </c>
      <c r="B96" s="44">
        <v>36943</v>
      </c>
      <c r="C96" t="s">
        <v>4</v>
      </c>
      <c r="D96" t="s">
        <v>3158</v>
      </c>
      <c r="H96">
        <v>1</v>
      </c>
    </row>
    <row r="97" spans="1:8" x14ac:dyDescent="0.2">
      <c r="A97" t="s">
        <v>200</v>
      </c>
      <c r="B97" s="44">
        <v>36957</v>
      </c>
      <c r="C97" t="s">
        <v>4</v>
      </c>
      <c r="D97" t="s">
        <v>3156</v>
      </c>
      <c r="H97">
        <v>1</v>
      </c>
    </row>
    <row r="98" spans="1:8" x14ac:dyDescent="0.2">
      <c r="A98" t="s">
        <v>206</v>
      </c>
      <c r="B98" s="44">
        <v>36958</v>
      </c>
      <c r="C98" t="s">
        <v>4</v>
      </c>
      <c r="D98" t="s">
        <v>3157</v>
      </c>
      <c r="E98" t="s">
        <v>207</v>
      </c>
      <c r="F98" s="4">
        <v>5.7500000000000002E-2</v>
      </c>
      <c r="G98" s="4">
        <v>5.7500000000000002E-2</v>
      </c>
      <c r="H98">
        <v>1</v>
      </c>
    </row>
    <row r="99" spans="1:8" x14ac:dyDescent="0.2">
      <c r="A99" t="s">
        <v>1723</v>
      </c>
      <c r="B99" s="44">
        <v>36971</v>
      </c>
      <c r="C99" t="s">
        <v>4</v>
      </c>
      <c r="D99" t="s">
        <v>3158</v>
      </c>
      <c r="H99">
        <v>1</v>
      </c>
    </row>
    <row r="100" spans="1:8" x14ac:dyDescent="0.2">
      <c r="A100" t="s">
        <v>180</v>
      </c>
      <c r="B100" s="44">
        <v>36985</v>
      </c>
      <c r="C100" t="s">
        <v>4</v>
      </c>
      <c r="D100" t="s">
        <v>3156</v>
      </c>
      <c r="H100">
        <v>1</v>
      </c>
    </row>
    <row r="101" spans="1:8" x14ac:dyDescent="0.2">
      <c r="A101" t="s">
        <v>188</v>
      </c>
      <c r="B101" s="44">
        <v>36986</v>
      </c>
      <c r="C101" t="s">
        <v>4</v>
      </c>
      <c r="D101" t="s">
        <v>3157</v>
      </c>
      <c r="E101" t="s">
        <v>189</v>
      </c>
      <c r="F101" s="4">
        <v>5.5E-2</v>
      </c>
      <c r="G101" s="4">
        <v>5.5E-2</v>
      </c>
      <c r="H101">
        <v>1</v>
      </c>
    </row>
    <row r="102" spans="1:8" x14ac:dyDescent="0.2">
      <c r="A102" t="s">
        <v>1834</v>
      </c>
      <c r="B102" s="44">
        <v>36999</v>
      </c>
      <c r="C102" t="s">
        <v>4</v>
      </c>
      <c r="D102" t="s">
        <v>3158</v>
      </c>
      <c r="H102">
        <v>1</v>
      </c>
    </row>
    <row r="103" spans="1:8" x14ac:dyDescent="0.2">
      <c r="A103" t="s">
        <v>213</v>
      </c>
      <c r="B103" s="44">
        <v>37020</v>
      </c>
      <c r="C103" t="s">
        <v>4</v>
      </c>
      <c r="D103" t="s">
        <v>3156</v>
      </c>
      <c r="H103">
        <v>1</v>
      </c>
    </row>
    <row r="104" spans="1:8" x14ac:dyDescent="0.2">
      <c r="A104" t="s">
        <v>216</v>
      </c>
      <c r="B104" s="44">
        <v>37021</v>
      </c>
      <c r="C104" t="s">
        <v>4</v>
      </c>
      <c r="D104" t="s">
        <v>3157</v>
      </c>
      <c r="E104" t="s">
        <v>217</v>
      </c>
      <c r="F104" s="4">
        <v>5.2499999999999901E-2</v>
      </c>
      <c r="G104" s="4">
        <v>5.2499999999999998E-2</v>
      </c>
      <c r="H104">
        <v>1</v>
      </c>
    </row>
    <row r="105" spans="1:8" x14ac:dyDescent="0.2">
      <c r="A105" t="s">
        <v>2029</v>
      </c>
      <c r="B105" s="44">
        <v>37034</v>
      </c>
      <c r="C105" t="s">
        <v>4</v>
      </c>
      <c r="D105" t="s">
        <v>3158</v>
      </c>
      <c r="H105">
        <v>1</v>
      </c>
    </row>
    <row r="106" spans="1:8" x14ac:dyDescent="0.2">
      <c r="A106" t="s">
        <v>190</v>
      </c>
      <c r="B106" s="44">
        <v>37047</v>
      </c>
      <c r="C106" t="s">
        <v>4</v>
      </c>
      <c r="D106" t="s">
        <v>3156</v>
      </c>
      <c r="H106">
        <v>1</v>
      </c>
    </row>
    <row r="107" spans="1:8" x14ac:dyDescent="0.2">
      <c r="A107" t="s">
        <v>196</v>
      </c>
      <c r="B107" s="44">
        <v>37048</v>
      </c>
      <c r="C107" t="s">
        <v>4</v>
      </c>
      <c r="D107" t="s">
        <v>3157</v>
      </c>
      <c r="E107" s="2" t="s">
        <v>245</v>
      </c>
      <c r="F107" s="4">
        <v>5.2499999999999901E-2</v>
      </c>
      <c r="G107" s="4">
        <v>5.2499999999999998E-2</v>
      </c>
      <c r="H107">
        <v>1</v>
      </c>
    </row>
    <row r="108" spans="1:8" x14ac:dyDescent="0.2">
      <c r="A108" t="s">
        <v>2175</v>
      </c>
      <c r="B108" s="44">
        <v>37062</v>
      </c>
      <c r="C108" t="s">
        <v>4</v>
      </c>
      <c r="D108" t="s">
        <v>3158</v>
      </c>
      <c r="H108">
        <v>1</v>
      </c>
    </row>
    <row r="109" spans="1:8" x14ac:dyDescent="0.2">
      <c r="A109" t="s">
        <v>182</v>
      </c>
      <c r="B109" s="44">
        <v>37076</v>
      </c>
      <c r="C109" t="s">
        <v>4</v>
      </c>
      <c r="D109" t="s">
        <v>3156</v>
      </c>
      <c r="H109">
        <v>1</v>
      </c>
    </row>
    <row r="110" spans="1:8" x14ac:dyDescent="0.2">
      <c r="A110" t="s">
        <v>191</v>
      </c>
      <c r="B110" s="44">
        <v>37077</v>
      </c>
      <c r="C110" t="s">
        <v>4</v>
      </c>
      <c r="D110" t="s">
        <v>3157</v>
      </c>
      <c r="E110" t="s">
        <v>192</v>
      </c>
      <c r="F110" s="4">
        <v>5.2499999999999901E-2</v>
      </c>
      <c r="G110" s="4">
        <v>5.2499999999999998E-2</v>
      </c>
      <c r="H110">
        <v>1</v>
      </c>
    </row>
    <row r="111" spans="1:8" x14ac:dyDescent="0.2">
      <c r="A111" t="s">
        <v>2348</v>
      </c>
      <c r="B111" s="44">
        <v>37090</v>
      </c>
      <c r="C111" t="s">
        <v>4</v>
      </c>
      <c r="D111" t="s">
        <v>3158</v>
      </c>
      <c r="H111">
        <v>1</v>
      </c>
    </row>
    <row r="112" spans="1:8" x14ac:dyDescent="0.2">
      <c r="A112" t="s">
        <v>167</v>
      </c>
      <c r="B112" s="44">
        <v>37104</v>
      </c>
      <c r="C112" t="s">
        <v>4</v>
      </c>
      <c r="D112" t="s">
        <v>3156</v>
      </c>
      <c r="H112">
        <v>1</v>
      </c>
    </row>
    <row r="113" spans="1:8" x14ac:dyDescent="0.2">
      <c r="A113" t="s">
        <v>174</v>
      </c>
      <c r="B113" s="44">
        <v>37105</v>
      </c>
      <c r="C113" t="s">
        <v>4</v>
      </c>
      <c r="D113" t="s">
        <v>3157</v>
      </c>
      <c r="E113" t="s">
        <v>175</v>
      </c>
      <c r="F113" s="4">
        <v>5.2499999999999901E-2</v>
      </c>
      <c r="G113" s="4">
        <v>0.05</v>
      </c>
      <c r="H113">
        <v>1</v>
      </c>
    </row>
    <row r="114" spans="1:8" x14ac:dyDescent="0.2">
      <c r="A114" t="s">
        <v>2420</v>
      </c>
      <c r="B114" s="44">
        <v>37118</v>
      </c>
      <c r="C114" t="s">
        <v>4</v>
      </c>
      <c r="D114" t="s">
        <v>3158</v>
      </c>
      <c r="H114">
        <v>1</v>
      </c>
    </row>
    <row r="115" spans="1:8" x14ac:dyDescent="0.2">
      <c r="A115" t="s">
        <v>193</v>
      </c>
      <c r="B115" s="44">
        <v>37139</v>
      </c>
      <c r="C115" t="s">
        <v>4</v>
      </c>
      <c r="D115" t="s">
        <v>3156</v>
      </c>
      <c r="H115">
        <v>1</v>
      </c>
    </row>
    <row r="116" spans="1:8" x14ac:dyDescent="0.2">
      <c r="A116" t="s">
        <v>197</v>
      </c>
      <c r="B116" s="44">
        <v>37140</v>
      </c>
      <c r="C116" t="s">
        <v>4</v>
      </c>
      <c r="D116" t="s">
        <v>3157</v>
      </c>
      <c r="E116" t="s">
        <v>198</v>
      </c>
      <c r="F116" s="4">
        <v>0.05</v>
      </c>
      <c r="G116" s="4">
        <v>0.05</v>
      </c>
      <c r="H116">
        <v>1</v>
      </c>
    </row>
    <row r="117" spans="1:8" x14ac:dyDescent="0.2">
      <c r="A117" t="s">
        <v>2513</v>
      </c>
      <c r="B117" s="44">
        <v>37152</v>
      </c>
      <c r="C117" t="s">
        <v>4</v>
      </c>
      <c r="D117" t="s">
        <v>3157</v>
      </c>
      <c r="E117" t="s">
        <v>2514</v>
      </c>
      <c r="F117" s="4">
        <v>4.7500000000000001E-2</v>
      </c>
      <c r="G117" s="4">
        <v>4.7500000000000001E-2</v>
      </c>
      <c r="H117">
        <v>1</v>
      </c>
    </row>
    <row r="118" spans="1:8" x14ac:dyDescent="0.2">
      <c r="A118" t="s">
        <v>2523</v>
      </c>
      <c r="B118" s="44">
        <v>37153</v>
      </c>
      <c r="C118" t="s">
        <v>4</v>
      </c>
      <c r="D118" t="s">
        <v>3158</v>
      </c>
      <c r="H118">
        <v>1</v>
      </c>
    </row>
    <row r="119" spans="1:8" x14ac:dyDescent="0.2">
      <c r="A119" t="s">
        <v>176</v>
      </c>
      <c r="B119" s="44">
        <v>37167</v>
      </c>
      <c r="C119" t="s">
        <v>4</v>
      </c>
      <c r="D119" t="s">
        <v>3156</v>
      </c>
      <c r="H119">
        <v>1</v>
      </c>
    </row>
    <row r="120" spans="1:8" x14ac:dyDescent="0.2">
      <c r="A120" t="s">
        <v>183</v>
      </c>
      <c r="B120" s="44">
        <v>37168</v>
      </c>
      <c r="C120" t="s">
        <v>4</v>
      </c>
      <c r="D120" t="s">
        <v>3157</v>
      </c>
      <c r="E120" t="s">
        <v>184</v>
      </c>
      <c r="F120" s="4">
        <v>4.4999999999999901E-2</v>
      </c>
      <c r="G120" s="4">
        <v>4.4999999999999998E-2</v>
      </c>
      <c r="H120">
        <v>1</v>
      </c>
    </row>
    <row r="121" spans="1:8" x14ac:dyDescent="0.2">
      <c r="A121" t="s">
        <v>2674</v>
      </c>
      <c r="B121" s="44">
        <v>37181</v>
      </c>
      <c r="C121" t="s">
        <v>4</v>
      </c>
      <c r="D121" t="s">
        <v>3158</v>
      </c>
      <c r="H121">
        <v>1</v>
      </c>
    </row>
    <row r="122" spans="1:8" x14ac:dyDescent="0.2">
      <c r="A122" t="s">
        <v>203</v>
      </c>
      <c r="B122" s="44">
        <v>37202</v>
      </c>
      <c r="C122" t="s">
        <v>4</v>
      </c>
      <c r="D122" t="s">
        <v>3156</v>
      </c>
      <c r="H122">
        <v>1</v>
      </c>
    </row>
    <row r="123" spans="1:8" x14ac:dyDescent="0.2">
      <c r="A123" t="s">
        <v>209</v>
      </c>
      <c r="B123" s="44">
        <v>37203</v>
      </c>
      <c r="C123" t="s">
        <v>4</v>
      </c>
      <c r="D123" t="s">
        <v>3157</v>
      </c>
      <c r="E123" t="s">
        <v>210</v>
      </c>
      <c r="F123" s="4">
        <v>4.2500000000000003E-2</v>
      </c>
      <c r="G123" s="4">
        <v>0.04</v>
      </c>
      <c r="H123">
        <v>1</v>
      </c>
    </row>
    <row r="124" spans="1:8" x14ac:dyDescent="0.2">
      <c r="A124" t="s">
        <v>2937</v>
      </c>
      <c r="B124" s="44">
        <v>37216</v>
      </c>
      <c r="C124" t="s">
        <v>4</v>
      </c>
      <c r="D124" t="s">
        <v>3158</v>
      </c>
      <c r="H124">
        <v>1</v>
      </c>
    </row>
    <row r="125" spans="1:8" x14ac:dyDescent="0.2">
      <c r="A125" t="s">
        <v>185</v>
      </c>
      <c r="B125" s="44">
        <v>37229</v>
      </c>
      <c r="C125" t="s">
        <v>4</v>
      </c>
      <c r="D125" t="s">
        <v>3156</v>
      </c>
      <c r="H125">
        <v>1</v>
      </c>
    </row>
    <row r="126" spans="1:8" x14ac:dyDescent="0.2">
      <c r="A126" t="s">
        <v>194</v>
      </c>
      <c r="B126" s="44">
        <v>37230</v>
      </c>
      <c r="C126" t="s">
        <v>4</v>
      </c>
      <c r="D126" t="s">
        <v>3157</v>
      </c>
      <c r="E126" t="s">
        <v>195</v>
      </c>
      <c r="F126" s="4">
        <v>0.04</v>
      </c>
      <c r="G126" s="4">
        <v>0.04</v>
      </c>
      <c r="H126">
        <v>1</v>
      </c>
    </row>
    <row r="127" spans="1:8" x14ac:dyDescent="0.2">
      <c r="A127" t="s">
        <v>3073</v>
      </c>
      <c r="B127" s="44">
        <v>37244</v>
      </c>
      <c r="C127" t="s">
        <v>4</v>
      </c>
      <c r="D127" t="s">
        <v>3158</v>
      </c>
      <c r="H127">
        <v>1</v>
      </c>
    </row>
    <row r="128" spans="1:8" x14ac:dyDescent="0.2">
      <c r="A128" t="s">
        <v>255</v>
      </c>
      <c r="B128" s="44">
        <v>37265</v>
      </c>
      <c r="C128" t="s">
        <v>4</v>
      </c>
      <c r="D128" t="s">
        <v>3156</v>
      </c>
      <c r="H128">
        <v>1</v>
      </c>
    </row>
    <row r="129" spans="1:8" x14ac:dyDescent="0.2">
      <c r="A129" t="s">
        <v>259</v>
      </c>
      <c r="B129" s="44">
        <v>37266</v>
      </c>
      <c r="C129" t="s">
        <v>4</v>
      </c>
      <c r="D129" t="s">
        <v>3157</v>
      </c>
      <c r="E129" t="s">
        <v>260</v>
      </c>
      <c r="F129" s="4">
        <v>0.04</v>
      </c>
      <c r="G129" s="4">
        <v>0.04</v>
      </c>
      <c r="H129">
        <v>1</v>
      </c>
    </row>
    <row r="130" spans="1:8" x14ac:dyDescent="0.2">
      <c r="A130" t="s">
        <v>1419</v>
      </c>
      <c r="B130" s="44">
        <v>37279</v>
      </c>
      <c r="C130" t="s">
        <v>4</v>
      </c>
      <c r="D130" t="s">
        <v>3158</v>
      </c>
      <c r="H130">
        <v>1</v>
      </c>
    </row>
    <row r="131" spans="1:8" x14ac:dyDescent="0.2">
      <c r="A131" t="s">
        <v>242</v>
      </c>
      <c r="B131" s="44">
        <v>37293</v>
      </c>
      <c r="C131" t="s">
        <v>4</v>
      </c>
      <c r="D131" t="s">
        <v>3156</v>
      </c>
      <c r="H131">
        <v>1</v>
      </c>
    </row>
    <row r="132" spans="1:8" x14ac:dyDescent="0.2">
      <c r="A132" t="s">
        <v>248</v>
      </c>
      <c r="B132" s="44">
        <v>37294</v>
      </c>
      <c r="C132" t="s">
        <v>4</v>
      </c>
      <c r="D132" t="s">
        <v>3157</v>
      </c>
      <c r="E132" t="s">
        <v>249</v>
      </c>
      <c r="F132" s="4">
        <v>0.04</v>
      </c>
      <c r="G132" s="4">
        <v>0.04</v>
      </c>
      <c r="H132">
        <v>1</v>
      </c>
    </row>
    <row r="133" spans="1:8" x14ac:dyDescent="0.2">
      <c r="A133" t="s">
        <v>1549</v>
      </c>
      <c r="B133" s="44">
        <v>37307</v>
      </c>
      <c r="C133" t="s">
        <v>4</v>
      </c>
      <c r="D133" t="s">
        <v>3158</v>
      </c>
      <c r="H133">
        <v>1</v>
      </c>
    </row>
    <row r="134" spans="1:8" x14ac:dyDescent="0.2">
      <c r="A134" t="s">
        <v>243</v>
      </c>
      <c r="B134" s="44">
        <v>37321</v>
      </c>
      <c r="C134" t="s">
        <v>4</v>
      </c>
      <c r="D134" t="s">
        <v>3156</v>
      </c>
      <c r="H134">
        <v>1</v>
      </c>
    </row>
    <row r="135" spans="1:8" x14ac:dyDescent="0.2">
      <c r="A135" t="s">
        <v>250</v>
      </c>
      <c r="B135" s="44">
        <v>37322</v>
      </c>
      <c r="C135" t="s">
        <v>4</v>
      </c>
      <c r="D135" t="s">
        <v>3157</v>
      </c>
      <c r="E135" t="s">
        <v>251</v>
      </c>
      <c r="F135" s="4">
        <v>0.04</v>
      </c>
      <c r="G135" s="4">
        <v>0.04</v>
      </c>
      <c r="H135">
        <v>1</v>
      </c>
    </row>
    <row r="136" spans="1:8" x14ac:dyDescent="0.2">
      <c r="A136" t="s">
        <v>1716</v>
      </c>
      <c r="B136" s="44">
        <v>37335</v>
      </c>
      <c r="C136" t="s">
        <v>4</v>
      </c>
      <c r="D136" t="s">
        <v>3158</v>
      </c>
      <c r="H136">
        <v>1</v>
      </c>
    </row>
    <row r="137" spans="1:8" x14ac:dyDescent="0.2">
      <c r="A137" t="s">
        <v>227</v>
      </c>
      <c r="B137" s="44">
        <v>37349</v>
      </c>
      <c r="C137" t="s">
        <v>4</v>
      </c>
      <c r="D137" t="s">
        <v>3156</v>
      </c>
      <c r="H137">
        <v>1</v>
      </c>
    </row>
    <row r="138" spans="1:8" x14ac:dyDescent="0.2">
      <c r="A138" t="s">
        <v>231</v>
      </c>
      <c r="B138" s="44">
        <v>37350</v>
      </c>
      <c r="C138" t="s">
        <v>4</v>
      </c>
      <c r="D138" t="s">
        <v>3157</v>
      </c>
      <c r="E138" t="s">
        <v>232</v>
      </c>
      <c r="F138" s="4">
        <v>0.04</v>
      </c>
      <c r="G138" s="4">
        <v>0.04</v>
      </c>
      <c r="H138">
        <v>1</v>
      </c>
    </row>
    <row r="139" spans="1:8" x14ac:dyDescent="0.2">
      <c r="A139" s="6">
        <v>37383</v>
      </c>
      <c r="B139" s="44">
        <v>37383</v>
      </c>
      <c r="C139" t="s">
        <v>4</v>
      </c>
      <c r="D139" t="s">
        <v>3156</v>
      </c>
      <c r="H139">
        <v>1</v>
      </c>
    </row>
    <row r="140" spans="1:8" x14ac:dyDescent="0.2">
      <c r="A140" t="s">
        <v>256</v>
      </c>
      <c r="B140" s="44">
        <v>37385</v>
      </c>
      <c r="C140" t="s">
        <v>4</v>
      </c>
      <c r="D140" t="s">
        <v>3157</v>
      </c>
      <c r="E140" t="s">
        <v>257</v>
      </c>
      <c r="F140" s="4">
        <v>0.04</v>
      </c>
      <c r="G140" s="4">
        <v>0.04</v>
      </c>
      <c r="H140">
        <v>1</v>
      </c>
    </row>
    <row r="141" spans="1:8" x14ac:dyDescent="0.2">
      <c r="A141" t="s">
        <v>237</v>
      </c>
      <c r="B141" s="44">
        <v>37412</v>
      </c>
      <c r="C141" t="s">
        <v>4</v>
      </c>
      <c r="D141" t="s">
        <v>3156</v>
      </c>
      <c r="H141">
        <v>1</v>
      </c>
    </row>
    <row r="142" spans="1:8" x14ac:dyDescent="0.2">
      <c r="A142" t="s">
        <v>244</v>
      </c>
      <c r="B142" s="44">
        <v>37413</v>
      </c>
      <c r="C142" t="s">
        <v>4</v>
      </c>
      <c r="D142" t="s">
        <v>3157</v>
      </c>
      <c r="E142" t="s">
        <v>245</v>
      </c>
      <c r="F142" s="4">
        <v>0.04</v>
      </c>
      <c r="G142" s="4">
        <v>0.04</v>
      </c>
      <c r="H142">
        <v>1</v>
      </c>
    </row>
    <row r="143" spans="1:8" x14ac:dyDescent="0.2">
      <c r="A143" t="s">
        <v>229</v>
      </c>
      <c r="B143" s="44">
        <v>37440</v>
      </c>
      <c r="C143" t="s">
        <v>4</v>
      </c>
      <c r="D143" t="s">
        <v>3156</v>
      </c>
      <c r="H143">
        <v>1</v>
      </c>
    </row>
    <row r="144" spans="1:8" x14ac:dyDescent="0.2">
      <c r="A144" t="s">
        <v>233</v>
      </c>
      <c r="B144" s="44">
        <v>37441</v>
      </c>
      <c r="C144" t="s">
        <v>4</v>
      </c>
      <c r="D144" t="s">
        <v>3157</v>
      </c>
      <c r="E144" t="s">
        <v>234</v>
      </c>
      <c r="F144" s="4">
        <v>0.04</v>
      </c>
      <c r="G144" s="4">
        <v>0.04</v>
      </c>
      <c r="H144">
        <v>1</v>
      </c>
    </row>
    <row r="145" spans="1:8" x14ac:dyDescent="0.2">
      <c r="A145" t="s">
        <v>2333</v>
      </c>
      <c r="B145" s="44">
        <v>37454</v>
      </c>
      <c r="C145" t="s">
        <v>4</v>
      </c>
      <c r="D145" t="s">
        <v>3158</v>
      </c>
      <c r="H145">
        <v>1</v>
      </c>
    </row>
    <row r="146" spans="1:8" x14ac:dyDescent="0.2">
      <c r="A146" t="s">
        <v>221</v>
      </c>
      <c r="B146" s="44">
        <v>37469</v>
      </c>
      <c r="C146" t="s">
        <v>4</v>
      </c>
      <c r="D146" t="s">
        <v>3157</v>
      </c>
      <c r="E146" t="s">
        <v>222</v>
      </c>
      <c r="F146" s="4">
        <v>0.04</v>
      </c>
      <c r="G146" s="4">
        <v>0.04</v>
      </c>
      <c r="H146">
        <v>1</v>
      </c>
    </row>
    <row r="147" spans="1:8" x14ac:dyDescent="0.2">
      <c r="A147" t="s">
        <v>235</v>
      </c>
      <c r="B147" s="44">
        <v>37503</v>
      </c>
      <c r="C147" t="s">
        <v>4</v>
      </c>
      <c r="D147" t="s">
        <v>3156</v>
      </c>
      <c r="H147">
        <v>1</v>
      </c>
    </row>
    <row r="148" spans="1:8" x14ac:dyDescent="0.2">
      <c r="A148" t="s">
        <v>239</v>
      </c>
      <c r="B148" s="44">
        <v>37504</v>
      </c>
      <c r="C148" t="s">
        <v>4</v>
      </c>
      <c r="D148" t="s">
        <v>3157</v>
      </c>
      <c r="E148" t="s">
        <v>240</v>
      </c>
      <c r="F148" s="4">
        <v>0.04</v>
      </c>
      <c r="G148" s="4">
        <v>0.04</v>
      </c>
      <c r="H148">
        <v>1</v>
      </c>
    </row>
    <row r="149" spans="1:8" x14ac:dyDescent="0.2">
      <c r="A149" t="s">
        <v>258</v>
      </c>
      <c r="B149" s="44">
        <v>37538</v>
      </c>
      <c r="C149" t="s">
        <v>4</v>
      </c>
      <c r="D149" t="s">
        <v>3156</v>
      </c>
      <c r="H149">
        <v>1</v>
      </c>
    </row>
    <row r="150" spans="1:8" x14ac:dyDescent="0.2">
      <c r="A150" t="s">
        <v>261</v>
      </c>
      <c r="B150" s="44">
        <v>37539</v>
      </c>
      <c r="C150" t="s">
        <v>4</v>
      </c>
      <c r="D150" t="s">
        <v>3157</v>
      </c>
      <c r="E150" t="s">
        <v>262</v>
      </c>
      <c r="F150" s="4">
        <v>0.04</v>
      </c>
      <c r="G150" s="4">
        <v>0.04</v>
      </c>
      <c r="H150">
        <v>1</v>
      </c>
    </row>
    <row r="151" spans="1:8" x14ac:dyDescent="0.2">
      <c r="A151" t="s">
        <v>246</v>
      </c>
      <c r="B151" s="44">
        <v>37566</v>
      </c>
      <c r="C151" t="s">
        <v>4</v>
      </c>
      <c r="D151" t="s">
        <v>3156</v>
      </c>
      <c r="H151">
        <v>1</v>
      </c>
    </row>
    <row r="152" spans="1:8" x14ac:dyDescent="0.2">
      <c r="A152" t="s">
        <v>253</v>
      </c>
      <c r="B152" s="44">
        <v>37567</v>
      </c>
      <c r="C152" t="s">
        <v>4</v>
      </c>
      <c r="D152" t="s">
        <v>3157</v>
      </c>
      <c r="E152" t="s">
        <v>254</v>
      </c>
      <c r="F152" s="4">
        <v>0.04</v>
      </c>
      <c r="G152" s="4">
        <v>0.04</v>
      </c>
      <c r="H152">
        <v>1</v>
      </c>
    </row>
    <row r="153" spans="1:8" x14ac:dyDescent="0.2">
      <c r="A153" t="s">
        <v>236</v>
      </c>
      <c r="B153" s="44">
        <v>37594</v>
      </c>
      <c r="C153" t="s">
        <v>4</v>
      </c>
      <c r="D153" t="s">
        <v>3156</v>
      </c>
      <c r="H153">
        <v>1</v>
      </c>
    </row>
    <row r="154" spans="1:8" x14ac:dyDescent="0.2">
      <c r="A154" t="s">
        <v>241</v>
      </c>
      <c r="B154" s="44">
        <v>37595</v>
      </c>
      <c r="C154" t="s">
        <v>4</v>
      </c>
      <c r="D154" t="s">
        <v>3157</v>
      </c>
      <c r="E154" t="s">
        <v>195</v>
      </c>
      <c r="F154" s="4">
        <v>0.04</v>
      </c>
      <c r="G154" s="4">
        <v>0.04</v>
      </c>
      <c r="H154">
        <v>1</v>
      </c>
    </row>
    <row r="155" spans="1:8" x14ac:dyDescent="0.2">
      <c r="A155" t="s">
        <v>265</v>
      </c>
      <c r="B155" s="44">
        <v>37622</v>
      </c>
      <c r="C155" t="s">
        <v>4</v>
      </c>
      <c r="D155" t="s">
        <v>3158</v>
      </c>
      <c r="H155">
        <v>1</v>
      </c>
    </row>
    <row r="156" spans="1:8" x14ac:dyDescent="0.2">
      <c r="A156" t="s">
        <v>292</v>
      </c>
      <c r="B156" s="44">
        <v>37629</v>
      </c>
      <c r="C156" t="s">
        <v>4</v>
      </c>
      <c r="D156" t="s">
        <v>3156</v>
      </c>
      <c r="H156">
        <v>1</v>
      </c>
    </row>
    <row r="157" spans="1:8" x14ac:dyDescent="0.2">
      <c r="A157" t="s">
        <v>296</v>
      </c>
      <c r="B157" s="44">
        <v>37630</v>
      </c>
      <c r="C157" t="s">
        <v>4</v>
      </c>
      <c r="D157" t="s">
        <v>3157</v>
      </c>
      <c r="E157" t="s">
        <v>297</v>
      </c>
      <c r="F157" s="4">
        <v>0.04</v>
      </c>
      <c r="G157" s="4">
        <v>0.04</v>
      </c>
      <c r="H157">
        <v>1</v>
      </c>
    </row>
    <row r="158" spans="1:8" x14ac:dyDescent="0.2">
      <c r="A158" t="s">
        <v>278</v>
      </c>
      <c r="B158" s="44">
        <v>37657</v>
      </c>
      <c r="C158" t="s">
        <v>4</v>
      </c>
      <c r="D158" t="s">
        <v>3156</v>
      </c>
      <c r="H158">
        <v>1</v>
      </c>
    </row>
    <row r="159" spans="1:8" x14ac:dyDescent="0.2">
      <c r="A159" t="s">
        <v>283</v>
      </c>
      <c r="B159" s="44">
        <v>37658</v>
      </c>
      <c r="C159" t="s">
        <v>4</v>
      </c>
      <c r="D159" t="s">
        <v>3157</v>
      </c>
      <c r="E159" t="s">
        <v>284</v>
      </c>
      <c r="F159" s="4">
        <v>0.04</v>
      </c>
      <c r="G159" s="4">
        <v>3.7499999999999999E-2</v>
      </c>
      <c r="H159">
        <v>1</v>
      </c>
    </row>
    <row r="160" spans="1:8" x14ac:dyDescent="0.2">
      <c r="A160" t="s">
        <v>279</v>
      </c>
      <c r="B160" s="44">
        <v>37685</v>
      </c>
      <c r="C160" t="s">
        <v>4</v>
      </c>
      <c r="D160" t="s">
        <v>3156</v>
      </c>
      <c r="H160">
        <v>1</v>
      </c>
    </row>
    <row r="161" spans="1:8" x14ac:dyDescent="0.2">
      <c r="A161" t="s">
        <v>285</v>
      </c>
      <c r="B161" s="44">
        <v>37686</v>
      </c>
      <c r="C161" t="s">
        <v>4</v>
      </c>
      <c r="D161" t="s">
        <v>3157</v>
      </c>
      <c r="E161" t="s">
        <v>286</v>
      </c>
      <c r="F161" s="4">
        <v>3.7499999999999901E-2</v>
      </c>
      <c r="G161" s="4">
        <v>3.7499999999999999E-2</v>
      </c>
      <c r="H161">
        <v>1</v>
      </c>
    </row>
    <row r="162" spans="1:8" x14ac:dyDescent="0.2">
      <c r="A162" t="s">
        <v>298</v>
      </c>
      <c r="B162" s="44">
        <v>37720</v>
      </c>
      <c r="C162" t="s">
        <v>4</v>
      </c>
      <c r="D162" t="s">
        <v>3156</v>
      </c>
      <c r="H162">
        <v>1</v>
      </c>
    </row>
    <row r="163" spans="1:8" x14ac:dyDescent="0.2">
      <c r="A163" t="s">
        <v>304</v>
      </c>
      <c r="B163" s="44">
        <v>37721</v>
      </c>
      <c r="C163" t="s">
        <v>4</v>
      </c>
      <c r="D163" t="s">
        <v>3157</v>
      </c>
      <c r="E163" t="s">
        <v>305</v>
      </c>
      <c r="F163" s="4">
        <v>3.7499999999999901E-2</v>
      </c>
      <c r="G163" s="4">
        <v>3.7499999999999999E-2</v>
      </c>
      <c r="H163">
        <v>1</v>
      </c>
    </row>
    <row r="164" spans="1:8" x14ac:dyDescent="0.2">
      <c r="A164" t="s">
        <v>289</v>
      </c>
      <c r="B164" s="44">
        <v>37748</v>
      </c>
      <c r="C164" t="s">
        <v>4</v>
      </c>
      <c r="D164" t="s">
        <v>3156</v>
      </c>
      <c r="H164">
        <v>1</v>
      </c>
    </row>
    <row r="165" spans="1:8" x14ac:dyDescent="0.2">
      <c r="A165" t="s">
        <v>293</v>
      </c>
      <c r="B165" s="44">
        <v>37749</v>
      </c>
      <c r="C165" t="s">
        <v>4</v>
      </c>
      <c r="D165" t="s">
        <v>3157</v>
      </c>
      <c r="E165" t="s">
        <v>294</v>
      </c>
      <c r="F165" s="4">
        <v>3.7499999999999901E-2</v>
      </c>
      <c r="G165" s="4">
        <v>3.7499999999999999E-2</v>
      </c>
      <c r="H165">
        <v>1</v>
      </c>
    </row>
    <row r="166" spans="1:8" x14ac:dyDescent="0.2">
      <c r="A166" t="s">
        <v>271</v>
      </c>
      <c r="B166" s="44">
        <v>37776</v>
      </c>
      <c r="C166" t="s">
        <v>4</v>
      </c>
      <c r="D166" t="s">
        <v>3156</v>
      </c>
      <c r="H166">
        <v>1</v>
      </c>
    </row>
    <row r="167" spans="1:8" x14ac:dyDescent="0.2">
      <c r="A167" t="s">
        <v>280</v>
      </c>
      <c r="B167" s="44">
        <v>37777</v>
      </c>
      <c r="C167" t="s">
        <v>4</v>
      </c>
      <c r="D167" t="s">
        <v>3157</v>
      </c>
      <c r="E167" t="s">
        <v>281</v>
      </c>
      <c r="F167" s="4">
        <v>3.7499999999999901E-2</v>
      </c>
      <c r="G167" s="4">
        <v>3.7499999999999999E-2</v>
      </c>
      <c r="H167">
        <v>1</v>
      </c>
    </row>
    <row r="168" spans="1:8" x14ac:dyDescent="0.2">
      <c r="A168" t="s">
        <v>306</v>
      </c>
      <c r="B168" s="44">
        <v>37812</v>
      </c>
      <c r="C168" t="s">
        <v>4</v>
      </c>
      <c r="D168" t="s">
        <v>3157</v>
      </c>
      <c r="E168" t="s">
        <v>307</v>
      </c>
      <c r="F168" s="4">
        <v>3.7499999999999901E-2</v>
      </c>
      <c r="G168" s="4">
        <v>3.5000000000000003E-2</v>
      </c>
      <c r="H168">
        <v>1</v>
      </c>
    </row>
    <row r="169" spans="1:8" x14ac:dyDescent="0.2">
      <c r="A169" t="s">
        <v>290</v>
      </c>
      <c r="B169" s="44">
        <v>37840</v>
      </c>
      <c r="C169" t="s">
        <v>4</v>
      </c>
      <c r="D169" t="s">
        <v>3157</v>
      </c>
      <c r="E169" t="s">
        <v>291</v>
      </c>
      <c r="F169" s="4">
        <v>3.5000000000000003E-2</v>
      </c>
      <c r="G169" s="4">
        <v>3.5000000000000003E-2</v>
      </c>
      <c r="H169">
        <v>1</v>
      </c>
    </row>
    <row r="170" spans="1:8" x14ac:dyDescent="0.2">
      <c r="A170" t="s">
        <v>269</v>
      </c>
      <c r="B170" s="44">
        <v>37867</v>
      </c>
      <c r="C170" t="s">
        <v>4</v>
      </c>
      <c r="D170" t="s">
        <v>3156</v>
      </c>
      <c r="H170">
        <v>1</v>
      </c>
    </row>
    <row r="171" spans="1:8" x14ac:dyDescent="0.2">
      <c r="A171" t="s">
        <v>272</v>
      </c>
      <c r="B171" s="44">
        <v>37868</v>
      </c>
      <c r="C171" t="s">
        <v>4</v>
      </c>
      <c r="D171" t="s">
        <v>3157</v>
      </c>
      <c r="E171" t="s">
        <v>273</v>
      </c>
      <c r="F171" s="4">
        <v>3.5000000000000003E-2</v>
      </c>
      <c r="G171" s="4">
        <v>3.5000000000000003E-2</v>
      </c>
      <c r="H171">
        <v>1</v>
      </c>
    </row>
    <row r="172" spans="1:8" x14ac:dyDescent="0.2">
      <c r="A172" t="s">
        <v>2501</v>
      </c>
      <c r="B172" s="44">
        <v>37881</v>
      </c>
      <c r="C172" t="s">
        <v>4</v>
      </c>
      <c r="D172" t="s">
        <v>3158</v>
      </c>
      <c r="H172">
        <v>1</v>
      </c>
    </row>
    <row r="173" spans="1:8" x14ac:dyDescent="0.2">
      <c r="A173" t="s">
        <v>295</v>
      </c>
      <c r="B173" s="44">
        <v>37902</v>
      </c>
      <c r="C173" t="s">
        <v>4</v>
      </c>
      <c r="D173" t="s">
        <v>3156</v>
      </c>
      <c r="H173">
        <v>1</v>
      </c>
    </row>
    <row r="174" spans="1:8" x14ac:dyDescent="0.2">
      <c r="A174" t="s">
        <v>299</v>
      </c>
      <c r="B174" s="44">
        <v>37903</v>
      </c>
      <c r="C174" t="s">
        <v>4</v>
      </c>
      <c r="D174" t="s">
        <v>3157</v>
      </c>
      <c r="E174" t="s">
        <v>300</v>
      </c>
      <c r="F174" s="4">
        <v>3.5000000000000003E-2</v>
      </c>
      <c r="G174" s="4">
        <v>3.5000000000000003E-2</v>
      </c>
      <c r="H174">
        <v>1</v>
      </c>
    </row>
    <row r="175" spans="1:8" x14ac:dyDescent="0.2">
      <c r="A175" t="s">
        <v>2738</v>
      </c>
      <c r="B175" s="44">
        <v>37916</v>
      </c>
      <c r="C175" t="s">
        <v>4</v>
      </c>
      <c r="D175" t="s">
        <v>3158</v>
      </c>
      <c r="H175">
        <v>1</v>
      </c>
    </row>
    <row r="176" spans="1:8" x14ac:dyDescent="0.2">
      <c r="A176" t="s">
        <v>282</v>
      </c>
      <c r="B176" s="44">
        <v>37930</v>
      </c>
      <c r="C176" t="s">
        <v>4</v>
      </c>
      <c r="D176" t="s">
        <v>3156</v>
      </c>
      <c r="H176">
        <v>1</v>
      </c>
    </row>
    <row r="177" spans="1:8" x14ac:dyDescent="0.2">
      <c r="A177" t="s">
        <v>287</v>
      </c>
      <c r="B177" s="44">
        <v>37931</v>
      </c>
      <c r="C177" t="s">
        <v>4</v>
      </c>
      <c r="D177" t="s">
        <v>3157</v>
      </c>
      <c r="E177" t="s">
        <v>288</v>
      </c>
      <c r="F177" s="4">
        <v>3.7499999999999901E-2</v>
      </c>
      <c r="G177" s="4">
        <v>3.7499999999999999E-2</v>
      </c>
      <c r="H177">
        <v>1</v>
      </c>
    </row>
    <row r="178" spans="1:8" x14ac:dyDescent="0.2">
      <c r="A178" t="s">
        <v>2909</v>
      </c>
      <c r="B178" s="44">
        <v>37944</v>
      </c>
      <c r="C178" t="s">
        <v>4</v>
      </c>
      <c r="D178" t="s">
        <v>3158</v>
      </c>
      <c r="H178">
        <v>1</v>
      </c>
    </row>
    <row r="179" spans="1:8" x14ac:dyDescent="0.2">
      <c r="A179" t="s">
        <v>270</v>
      </c>
      <c r="B179" s="44">
        <v>37958</v>
      </c>
      <c r="C179" t="s">
        <v>4</v>
      </c>
      <c r="D179" t="s">
        <v>3156</v>
      </c>
      <c r="H179">
        <v>1</v>
      </c>
    </row>
    <row r="180" spans="1:8" x14ac:dyDescent="0.2">
      <c r="A180" t="s">
        <v>274</v>
      </c>
      <c r="B180" s="44">
        <v>37959</v>
      </c>
      <c r="C180" t="s">
        <v>4</v>
      </c>
      <c r="D180" t="s">
        <v>3157</v>
      </c>
      <c r="E180" t="s">
        <v>275</v>
      </c>
      <c r="F180" s="4">
        <v>3.7499999999999901E-2</v>
      </c>
      <c r="G180" s="4">
        <v>3.7499999999999999E-2</v>
      </c>
      <c r="H180">
        <v>1</v>
      </c>
    </row>
    <row r="181" spans="1:8" x14ac:dyDescent="0.2">
      <c r="A181" t="s">
        <v>3055</v>
      </c>
      <c r="B181" s="44">
        <v>37972</v>
      </c>
      <c r="C181" t="s">
        <v>4</v>
      </c>
      <c r="D181" t="s">
        <v>3158</v>
      </c>
      <c r="H181">
        <v>1</v>
      </c>
    </row>
    <row r="182" spans="1:8" x14ac:dyDescent="0.2">
      <c r="A182" t="s">
        <v>338</v>
      </c>
      <c r="B182" s="44">
        <v>37993</v>
      </c>
      <c r="C182" t="s">
        <v>4</v>
      </c>
      <c r="D182" t="s">
        <v>3156</v>
      </c>
      <c r="H182">
        <v>1</v>
      </c>
    </row>
    <row r="183" spans="1:8" x14ac:dyDescent="0.2">
      <c r="A183" t="s">
        <v>346</v>
      </c>
      <c r="B183" s="44">
        <v>37994</v>
      </c>
      <c r="C183" t="s">
        <v>4</v>
      </c>
      <c r="D183" t="s">
        <v>3157</v>
      </c>
      <c r="E183" t="s">
        <v>42</v>
      </c>
      <c r="F183" s="4">
        <v>3.7499999999999901E-2</v>
      </c>
      <c r="G183" s="4">
        <v>3.7499999999999999E-2</v>
      </c>
      <c r="H183">
        <v>1</v>
      </c>
    </row>
    <row r="184" spans="1:8" x14ac:dyDescent="0.2">
      <c r="A184" t="s">
        <v>1394</v>
      </c>
      <c r="B184" s="44">
        <v>38007</v>
      </c>
      <c r="C184" t="s">
        <v>4</v>
      </c>
      <c r="D184" t="s">
        <v>3158</v>
      </c>
      <c r="H184">
        <v>1</v>
      </c>
    </row>
    <row r="185" spans="1:8" x14ac:dyDescent="0.2">
      <c r="A185" t="s">
        <v>322</v>
      </c>
      <c r="B185" s="44">
        <v>38021</v>
      </c>
      <c r="C185" t="s">
        <v>4</v>
      </c>
      <c r="D185" t="s">
        <v>3156</v>
      </c>
      <c r="H185">
        <v>1</v>
      </c>
    </row>
    <row r="186" spans="1:8" x14ac:dyDescent="0.2">
      <c r="A186" t="s">
        <v>328</v>
      </c>
      <c r="B186" s="44">
        <v>38022</v>
      </c>
      <c r="C186" t="s">
        <v>4</v>
      </c>
      <c r="D186" t="s">
        <v>3157</v>
      </c>
      <c r="E186" t="s">
        <v>23</v>
      </c>
      <c r="F186" s="4">
        <v>0.04</v>
      </c>
      <c r="G186" s="4">
        <v>0.04</v>
      </c>
      <c r="H186">
        <v>1</v>
      </c>
    </row>
    <row r="187" spans="1:8" x14ac:dyDescent="0.2">
      <c r="A187" t="s">
        <v>1530</v>
      </c>
      <c r="B187" s="44">
        <v>38035</v>
      </c>
      <c r="C187" t="s">
        <v>4</v>
      </c>
      <c r="D187" t="s">
        <v>3158</v>
      </c>
      <c r="H187">
        <v>1</v>
      </c>
    </row>
    <row r="188" spans="1:8" x14ac:dyDescent="0.2">
      <c r="A188" t="s">
        <v>319</v>
      </c>
      <c r="B188" s="44">
        <v>38049</v>
      </c>
      <c r="C188" t="s">
        <v>4</v>
      </c>
      <c r="D188" t="s">
        <v>3156</v>
      </c>
      <c r="H188">
        <v>1</v>
      </c>
    </row>
    <row r="189" spans="1:8" x14ac:dyDescent="0.2">
      <c r="A189" t="s">
        <v>323</v>
      </c>
      <c r="B189" s="44">
        <v>38050</v>
      </c>
      <c r="C189" t="s">
        <v>4</v>
      </c>
      <c r="D189" t="s">
        <v>3157</v>
      </c>
      <c r="E189" t="s">
        <v>324</v>
      </c>
      <c r="F189" s="4">
        <v>0.04</v>
      </c>
      <c r="G189" s="4">
        <v>0.04</v>
      </c>
      <c r="H189">
        <v>1</v>
      </c>
    </row>
    <row r="190" spans="1:8" x14ac:dyDescent="0.2">
      <c r="A190" t="s">
        <v>1690</v>
      </c>
      <c r="B190" s="44">
        <v>38063</v>
      </c>
      <c r="C190" t="s">
        <v>4</v>
      </c>
      <c r="D190" t="s">
        <v>3158</v>
      </c>
      <c r="H190">
        <v>1</v>
      </c>
    </row>
    <row r="191" spans="1:8" x14ac:dyDescent="0.2">
      <c r="A191" t="s">
        <v>339</v>
      </c>
      <c r="B191" s="44">
        <v>38084</v>
      </c>
      <c r="C191" t="s">
        <v>4</v>
      </c>
      <c r="D191" t="s">
        <v>3156</v>
      </c>
      <c r="H191">
        <v>1</v>
      </c>
    </row>
    <row r="192" spans="1:8" x14ac:dyDescent="0.2">
      <c r="A192" t="s">
        <v>347</v>
      </c>
      <c r="B192" s="44">
        <v>38085</v>
      </c>
      <c r="C192" t="s">
        <v>4</v>
      </c>
      <c r="D192" t="s">
        <v>3157</v>
      </c>
      <c r="E192" t="s">
        <v>93</v>
      </c>
      <c r="F192" s="4">
        <v>0.04</v>
      </c>
      <c r="G192" s="4">
        <v>0.04</v>
      </c>
      <c r="H192">
        <v>1</v>
      </c>
    </row>
    <row r="193" spans="1:8" x14ac:dyDescent="0.2">
      <c r="A193" t="s">
        <v>1860</v>
      </c>
      <c r="B193" s="44">
        <v>38098</v>
      </c>
      <c r="C193" t="s">
        <v>4</v>
      </c>
      <c r="D193" t="s">
        <v>3158</v>
      </c>
      <c r="H193">
        <v>1</v>
      </c>
    </row>
    <row r="194" spans="1:8" x14ac:dyDescent="0.2">
      <c r="A194" t="s">
        <v>329</v>
      </c>
      <c r="B194" s="44">
        <v>38112</v>
      </c>
      <c r="C194" t="s">
        <v>4</v>
      </c>
      <c r="D194" t="s">
        <v>3156</v>
      </c>
      <c r="H194">
        <v>1</v>
      </c>
    </row>
    <row r="195" spans="1:8" x14ac:dyDescent="0.2">
      <c r="A195" t="s">
        <v>332</v>
      </c>
      <c r="B195" s="44">
        <v>38113</v>
      </c>
      <c r="C195" t="s">
        <v>4</v>
      </c>
      <c r="D195" t="s">
        <v>3157</v>
      </c>
      <c r="E195" t="s">
        <v>82</v>
      </c>
      <c r="F195" s="4">
        <v>4.2500000000000003E-2</v>
      </c>
      <c r="G195" s="4">
        <v>4.2500000000000003E-2</v>
      </c>
      <c r="H195">
        <v>1</v>
      </c>
    </row>
    <row r="196" spans="1:8" x14ac:dyDescent="0.2">
      <c r="A196" t="s">
        <v>1974</v>
      </c>
      <c r="B196" s="44">
        <v>38126</v>
      </c>
      <c r="C196" t="s">
        <v>4</v>
      </c>
      <c r="D196" t="s">
        <v>3158</v>
      </c>
      <c r="H196">
        <v>1</v>
      </c>
    </row>
    <row r="197" spans="1:8" x14ac:dyDescent="0.2">
      <c r="A197" t="s">
        <v>351</v>
      </c>
      <c r="B197" s="44">
        <v>38147</v>
      </c>
      <c r="C197" t="s">
        <v>4</v>
      </c>
      <c r="D197" t="s">
        <v>3156</v>
      </c>
      <c r="H197">
        <v>1</v>
      </c>
    </row>
    <row r="198" spans="1:8" x14ac:dyDescent="0.2">
      <c r="A198" t="s">
        <v>356</v>
      </c>
      <c r="B198" s="44">
        <v>38148</v>
      </c>
      <c r="C198" t="s">
        <v>4</v>
      </c>
      <c r="D198" t="s">
        <v>3157</v>
      </c>
      <c r="E198" t="s">
        <v>103</v>
      </c>
      <c r="F198" s="4">
        <v>4.4999999999999901E-2</v>
      </c>
      <c r="G198" s="4">
        <v>4.4999999999999998E-2</v>
      </c>
      <c r="H198">
        <v>1</v>
      </c>
    </row>
    <row r="199" spans="1:8" x14ac:dyDescent="0.2">
      <c r="A199" t="s">
        <v>2224</v>
      </c>
      <c r="B199" s="44">
        <v>38161</v>
      </c>
      <c r="C199" t="s">
        <v>4</v>
      </c>
      <c r="D199" t="s">
        <v>3158</v>
      </c>
      <c r="H199">
        <v>1</v>
      </c>
    </row>
    <row r="200" spans="1:8" x14ac:dyDescent="0.2">
      <c r="A200" t="s">
        <v>344</v>
      </c>
      <c r="B200" s="44">
        <v>38175</v>
      </c>
      <c r="C200" t="s">
        <v>4</v>
      </c>
      <c r="D200" t="s">
        <v>3156</v>
      </c>
      <c r="H200">
        <v>1</v>
      </c>
    </row>
    <row r="201" spans="1:8" x14ac:dyDescent="0.2">
      <c r="A201" t="s">
        <v>348</v>
      </c>
      <c r="B201" s="44">
        <v>38176</v>
      </c>
      <c r="C201" t="s">
        <v>4</v>
      </c>
      <c r="D201" t="s">
        <v>3157</v>
      </c>
      <c r="E201" t="s">
        <v>95</v>
      </c>
      <c r="F201" s="4">
        <v>4.4999999999999901E-2</v>
      </c>
      <c r="G201" s="4">
        <v>4.4999999999999998E-2</v>
      </c>
      <c r="H201">
        <v>1</v>
      </c>
    </row>
    <row r="202" spans="1:8" x14ac:dyDescent="0.2">
      <c r="A202" t="s">
        <v>2374</v>
      </c>
      <c r="B202" s="44">
        <v>38189</v>
      </c>
      <c r="C202" t="s">
        <v>4</v>
      </c>
      <c r="D202" t="s">
        <v>3158</v>
      </c>
      <c r="H202">
        <v>1</v>
      </c>
    </row>
    <row r="203" spans="1:8" x14ac:dyDescent="0.2">
      <c r="A203" t="s">
        <v>326</v>
      </c>
      <c r="B203" s="44">
        <v>38203</v>
      </c>
      <c r="C203" t="s">
        <v>4</v>
      </c>
      <c r="D203" t="s">
        <v>3156</v>
      </c>
      <c r="H203">
        <v>1</v>
      </c>
    </row>
    <row r="204" spans="1:8" x14ac:dyDescent="0.2">
      <c r="A204" t="s">
        <v>331</v>
      </c>
      <c r="B204" s="44">
        <v>38204</v>
      </c>
      <c r="C204" t="s">
        <v>4</v>
      </c>
      <c r="D204" t="s">
        <v>3157</v>
      </c>
      <c r="E204" t="s">
        <v>80</v>
      </c>
      <c r="F204" s="4">
        <v>4.7500000000000001E-2</v>
      </c>
      <c r="G204" s="4">
        <v>4.7500000000000001E-2</v>
      </c>
      <c r="H204">
        <v>1</v>
      </c>
    </row>
    <row r="205" spans="1:8" x14ac:dyDescent="0.2">
      <c r="A205" t="s">
        <v>2430</v>
      </c>
      <c r="B205" s="44">
        <v>38217</v>
      </c>
      <c r="C205" t="s">
        <v>4</v>
      </c>
      <c r="D205" t="s">
        <v>3158</v>
      </c>
      <c r="H205">
        <v>1</v>
      </c>
    </row>
    <row r="206" spans="1:8" x14ac:dyDescent="0.2">
      <c r="A206" t="s">
        <v>349</v>
      </c>
      <c r="B206" s="44">
        <v>38238</v>
      </c>
      <c r="C206" t="s">
        <v>4</v>
      </c>
      <c r="D206" t="s">
        <v>3156</v>
      </c>
      <c r="H206">
        <v>1</v>
      </c>
    </row>
    <row r="207" spans="1:8" x14ac:dyDescent="0.2">
      <c r="A207" t="s">
        <v>353</v>
      </c>
      <c r="B207" s="44">
        <v>38239</v>
      </c>
      <c r="C207" t="s">
        <v>4</v>
      </c>
      <c r="D207" t="s">
        <v>3157</v>
      </c>
      <c r="E207" t="s">
        <v>354</v>
      </c>
      <c r="F207" s="4">
        <v>4.7500000000000001E-2</v>
      </c>
      <c r="G207" s="4">
        <v>4.7500000000000001E-2</v>
      </c>
      <c r="H207">
        <v>1</v>
      </c>
    </row>
    <row r="208" spans="1:8" x14ac:dyDescent="0.2">
      <c r="A208" t="s">
        <v>2559</v>
      </c>
      <c r="B208" s="44">
        <v>38252</v>
      </c>
      <c r="C208" t="s">
        <v>4</v>
      </c>
      <c r="D208" t="s">
        <v>3158</v>
      </c>
      <c r="H208">
        <v>1</v>
      </c>
    </row>
    <row r="209" spans="1:8" x14ac:dyDescent="0.2">
      <c r="A209" t="s">
        <v>337</v>
      </c>
      <c r="B209" s="44">
        <v>38266</v>
      </c>
      <c r="C209" t="s">
        <v>4</v>
      </c>
      <c r="D209" t="s">
        <v>3156</v>
      </c>
      <c r="H209">
        <v>1</v>
      </c>
    </row>
    <row r="210" spans="1:8" x14ac:dyDescent="0.2">
      <c r="A210" t="s">
        <v>345</v>
      </c>
      <c r="B210" s="44">
        <v>38267</v>
      </c>
      <c r="C210" t="s">
        <v>4</v>
      </c>
      <c r="D210" t="s">
        <v>3157</v>
      </c>
      <c r="E210" t="s">
        <v>90</v>
      </c>
      <c r="F210" s="4">
        <v>4.7500000000000001E-2</v>
      </c>
      <c r="G210" s="4">
        <v>4.7500000000000001E-2</v>
      </c>
      <c r="H210">
        <v>1</v>
      </c>
    </row>
    <row r="211" spans="1:8" x14ac:dyDescent="0.2">
      <c r="A211" t="s">
        <v>2721</v>
      </c>
      <c r="B211" s="44">
        <v>38280</v>
      </c>
      <c r="C211" t="s">
        <v>4</v>
      </c>
      <c r="D211" t="s">
        <v>3158</v>
      </c>
      <c r="H211">
        <v>1</v>
      </c>
    </row>
    <row r="212" spans="1:8" x14ac:dyDescent="0.2">
      <c r="A212" t="s">
        <v>321</v>
      </c>
      <c r="B212" s="44">
        <v>38294</v>
      </c>
      <c r="C212" t="s">
        <v>4</v>
      </c>
      <c r="D212" t="s">
        <v>3156</v>
      </c>
      <c r="H212">
        <v>1</v>
      </c>
    </row>
    <row r="213" spans="1:8" x14ac:dyDescent="0.2">
      <c r="A213" t="s">
        <v>327</v>
      </c>
      <c r="B213" s="44">
        <v>38295</v>
      </c>
      <c r="C213" t="s">
        <v>4</v>
      </c>
      <c r="D213" t="s">
        <v>3157</v>
      </c>
      <c r="E213" t="s">
        <v>77</v>
      </c>
      <c r="F213" s="4">
        <v>4.7500000000000001E-2</v>
      </c>
      <c r="G213" s="4">
        <v>4.7500000000000001E-2</v>
      </c>
      <c r="H213">
        <v>1</v>
      </c>
    </row>
    <row r="214" spans="1:8" x14ac:dyDescent="0.2">
      <c r="A214" t="s">
        <v>2888</v>
      </c>
      <c r="B214" s="44">
        <v>38308</v>
      </c>
      <c r="C214" t="s">
        <v>4</v>
      </c>
      <c r="D214" t="s">
        <v>3158</v>
      </c>
      <c r="H214">
        <v>1</v>
      </c>
    </row>
    <row r="215" spans="1:8" x14ac:dyDescent="0.2">
      <c r="A215" t="s">
        <v>350</v>
      </c>
      <c r="B215" s="44">
        <v>38329</v>
      </c>
      <c r="C215" t="s">
        <v>4</v>
      </c>
      <c r="D215" t="s">
        <v>3156</v>
      </c>
      <c r="H215">
        <v>1</v>
      </c>
    </row>
    <row r="216" spans="1:8" x14ac:dyDescent="0.2">
      <c r="A216" t="s">
        <v>355</v>
      </c>
      <c r="B216" s="44">
        <v>38330</v>
      </c>
      <c r="C216" t="s">
        <v>4</v>
      </c>
      <c r="D216" t="s">
        <v>3157</v>
      </c>
      <c r="E216" t="s">
        <v>101</v>
      </c>
      <c r="F216" s="4">
        <v>4.7500000000000001E-2</v>
      </c>
      <c r="G216" s="4">
        <v>4.7500000000000001E-2</v>
      </c>
      <c r="H216">
        <v>1</v>
      </c>
    </row>
    <row r="217" spans="1:8" x14ac:dyDescent="0.2">
      <c r="A217" t="s">
        <v>3096</v>
      </c>
      <c r="B217" s="44">
        <v>38343</v>
      </c>
      <c r="C217" t="s">
        <v>4</v>
      </c>
      <c r="D217" t="s">
        <v>3158</v>
      </c>
      <c r="H217">
        <v>1</v>
      </c>
    </row>
    <row r="218" spans="1:8" x14ac:dyDescent="0.2">
      <c r="A218" t="s">
        <v>416</v>
      </c>
      <c r="B218" s="44">
        <v>38364</v>
      </c>
      <c r="C218" t="s">
        <v>4</v>
      </c>
      <c r="D218" t="s">
        <v>3156</v>
      </c>
      <c r="H218">
        <v>1</v>
      </c>
    </row>
    <row r="219" spans="1:8" x14ac:dyDescent="0.2">
      <c r="A219" t="s">
        <v>1342</v>
      </c>
      <c r="B219" s="44">
        <v>38365</v>
      </c>
      <c r="C219" t="s">
        <v>4</v>
      </c>
      <c r="D219" t="s">
        <v>3157</v>
      </c>
      <c r="E219" t="s">
        <v>1341</v>
      </c>
      <c r="F219" s="4">
        <v>4.7500000000000001E-2</v>
      </c>
      <c r="G219" s="4">
        <v>4.7500000000000001E-2</v>
      </c>
      <c r="H219">
        <v>1</v>
      </c>
    </row>
    <row r="220" spans="1:8" x14ac:dyDescent="0.2">
      <c r="A220" t="s">
        <v>1458</v>
      </c>
      <c r="B220" s="44">
        <v>38378</v>
      </c>
      <c r="C220" t="s">
        <v>4</v>
      </c>
      <c r="D220" t="s">
        <v>3158</v>
      </c>
      <c r="H220">
        <v>1</v>
      </c>
    </row>
    <row r="221" spans="1:8" x14ac:dyDescent="0.2">
      <c r="A221" t="s">
        <v>396</v>
      </c>
      <c r="B221" s="44">
        <v>38392</v>
      </c>
      <c r="C221" t="s">
        <v>4</v>
      </c>
      <c r="D221" t="s">
        <v>3156</v>
      </c>
      <c r="H221">
        <v>1</v>
      </c>
    </row>
    <row r="222" spans="1:8" x14ac:dyDescent="0.2">
      <c r="A222" t="s">
        <v>406</v>
      </c>
      <c r="B222" s="44">
        <v>38393</v>
      </c>
      <c r="C222" t="s">
        <v>4</v>
      </c>
      <c r="D222" t="s">
        <v>3157</v>
      </c>
      <c r="E222" t="s">
        <v>157</v>
      </c>
      <c r="F222" s="4">
        <v>4.7500000000000001E-2</v>
      </c>
      <c r="G222" s="4">
        <v>4.7500000000000001E-2</v>
      </c>
      <c r="H222">
        <v>1</v>
      </c>
    </row>
    <row r="223" spans="1:8" x14ac:dyDescent="0.2">
      <c r="A223" t="s">
        <v>1584</v>
      </c>
      <c r="B223" s="44">
        <v>38406</v>
      </c>
      <c r="C223" t="s">
        <v>4</v>
      </c>
      <c r="D223" t="s">
        <v>3158</v>
      </c>
      <c r="H223">
        <v>1</v>
      </c>
    </row>
    <row r="224" spans="1:8" x14ac:dyDescent="0.2">
      <c r="A224" t="s">
        <v>398</v>
      </c>
      <c r="B224" s="44">
        <v>38420</v>
      </c>
      <c r="C224" t="s">
        <v>4</v>
      </c>
      <c r="D224" t="s">
        <v>3156</v>
      </c>
      <c r="H224">
        <v>1</v>
      </c>
    </row>
    <row r="225" spans="1:8" x14ac:dyDescent="0.2">
      <c r="A225" t="s">
        <v>407</v>
      </c>
      <c r="B225" s="44">
        <v>38421</v>
      </c>
      <c r="C225" t="s">
        <v>4</v>
      </c>
      <c r="D225" t="s">
        <v>3157</v>
      </c>
      <c r="E225" t="s">
        <v>408</v>
      </c>
      <c r="F225" s="4">
        <v>4.7500000000000001E-2</v>
      </c>
      <c r="G225" s="4">
        <v>4.7500000000000001E-2</v>
      </c>
      <c r="H225">
        <v>1</v>
      </c>
    </row>
    <row r="226" spans="1:8" x14ac:dyDescent="0.2">
      <c r="A226" t="s">
        <v>1746</v>
      </c>
      <c r="B226" s="44">
        <v>38434</v>
      </c>
      <c r="C226" t="s">
        <v>4</v>
      </c>
      <c r="D226" t="s">
        <v>3158</v>
      </c>
      <c r="H226">
        <v>1</v>
      </c>
    </row>
    <row r="227" spans="1:8" x14ac:dyDescent="0.2">
      <c r="A227" t="s">
        <v>375</v>
      </c>
      <c r="B227" s="44">
        <v>38448</v>
      </c>
      <c r="C227" t="s">
        <v>4</v>
      </c>
      <c r="D227" t="s">
        <v>3156</v>
      </c>
      <c r="H227">
        <v>1</v>
      </c>
    </row>
    <row r="228" spans="1:8" x14ac:dyDescent="0.2">
      <c r="A228" t="s">
        <v>382</v>
      </c>
      <c r="B228" s="44">
        <v>38449</v>
      </c>
      <c r="C228" t="s">
        <v>4</v>
      </c>
      <c r="D228" t="s">
        <v>3157</v>
      </c>
      <c r="E228" t="s">
        <v>383</v>
      </c>
      <c r="F228" s="4">
        <v>4.7500000000000001E-2</v>
      </c>
      <c r="G228" s="4">
        <v>4.7500000000000001E-2</v>
      </c>
      <c r="H228">
        <v>1</v>
      </c>
    </row>
    <row r="229" spans="1:8" x14ac:dyDescent="0.2">
      <c r="A229" t="s">
        <v>1852</v>
      </c>
      <c r="B229" s="44">
        <v>38462</v>
      </c>
      <c r="C229" t="s">
        <v>4</v>
      </c>
      <c r="D229" t="s">
        <v>3158</v>
      </c>
      <c r="H229">
        <v>1</v>
      </c>
    </row>
    <row r="230" spans="1:8" x14ac:dyDescent="0.2">
      <c r="A230" t="s">
        <v>376</v>
      </c>
      <c r="B230" s="44">
        <v>38478</v>
      </c>
      <c r="C230" t="s">
        <v>4</v>
      </c>
      <c r="D230" t="s">
        <v>3156</v>
      </c>
      <c r="H230">
        <v>1</v>
      </c>
    </row>
    <row r="231" spans="1:8" x14ac:dyDescent="0.2">
      <c r="A231" t="s">
        <v>399</v>
      </c>
      <c r="B231" s="44">
        <v>38481</v>
      </c>
      <c r="C231" t="s">
        <v>4</v>
      </c>
      <c r="D231" t="s">
        <v>3157</v>
      </c>
      <c r="E231" t="s">
        <v>257</v>
      </c>
      <c r="F231" s="4">
        <v>4.7500000000000001E-2</v>
      </c>
      <c r="G231" s="4">
        <v>4.7500000000000001E-2</v>
      </c>
      <c r="H231">
        <v>1</v>
      </c>
    </row>
    <row r="232" spans="1:8" x14ac:dyDescent="0.2">
      <c r="A232" t="s">
        <v>1963</v>
      </c>
      <c r="B232" s="44">
        <v>38490</v>
      </c>
      <c r="C232" t="s">
        <v>4</v>
      </c>
      <c r="D232" t="s">
        <v>3158</v>
      </c>
      <c r="H232">
        <v>1</v>
      </c>
    </row>
    <row r="233" spans="1:8" x14ac:dyDescent="0.2">
      <c r="A233" t="s">
        <v>388</v>
      </c>
      <c r="B233" s="44">
        <v>38511</v>
      </c>
      <c r="C233" t="s">
        <v>4</v>
      </c>
      <c r="D233" t="s">
        <v>3156</v>
      </c>
      <c r="H233">
        <v>1</v>
      </c>
    </row>
    <row r="234" spans="1:8" x14ac:dyDescent="0.2">
      <c r="A234" t="s">
        <v>400</v>
      </c>
      <c r="B234" s="44">
        <v>38512</v>
      </c>
      <c r="C234" t="s">
        <v>4</v>
      </c>
      <c r="D234" t="s">
        <v>3157</v>
      </c>
      <c r="E234" t="s">
        <v>401</v>
      </c>
      <c r="F234" s="4">
        <v>4.7500000000000001E-2</v>
      </c>
      <c r="G234" s="4">
        <v>4.7500000000000001E-2</v>
      </c>
      <c r="H234">
        <v>1</v>
      </c>
    </row>
    <row r="235" spans="1:8" x14ac:dyDescent="0.2">
      <c r="A235" t="s">
        <v>2212</v>
      </c>
      <c r="B235" s="44">
        <v>38525</v>
      </c>
      <c r="C235" t="s">
        <v>4</v>
      </c>
      <c r="D235" t="s">
        <v>3158</v>
      </c>
      <c r="H235">
        <v>1</v>
      </c>
    </row>
    <row r="236" spans="1:8" x14ac:dyDescent="0.2">
      <c r="A236" t="s">
        <v>377</v>
      </c>
      <c r="B236" s="44">
        <v>38539</v>
      </c>
      <c r="C236" t="s">
        <v>4</v>
      </c>
      <c r="D236" t="s">
        <v>3156</v>
      </c>
      <c r="H236">
        <v>1</v>
      </c>
    </row>
    <row r="237" spans="1:8" x14ac:dyDescent="0.2">
      <c r="A237" t="s">
        <v>384</v>
      </c>
      <c r="B237" s="44">
        <v>38540</v>
      </c>
      <c r="C237" t="s">
        <v>4</v>
      </c>
      <c r="D237" t="s">
        <v>3157</v>
      </c>
      <c r="E237" t="s">
        <v>385</v>
      </c>
      <c r="F237" s="4">
        <v>4.7500000000000001E-2</v>
      </c>
      <c r="G237" s="4">
        <v>4.7500000000000001E-2</v>
      </c>
      <c r="H237">
        <v>1</v>
      </c>
    </row>
    <row r="238" spans="1:8" x14ac:dyDescent="0.2">
      <c r="A238" t="s">
        <v>2365</v>
      </c>
      <c r="B238" s="44">
        <v>38553</v>
      </c>
      <c r="C238" t="s">
        <v>4</v>
      </c>
      <c r="D238" t="s">
        <v>3158</v>
      </c>
      <c r="H238">
        <v>1</v>
      </c>
    </row>
    <row r="239" spans="1:8" x14ac:dyDescent="0.2">
      <c r="A239" t="s">
        <v>367</v>
      </c>
      <c r="B239" s="44">
        <v>38567</v>
      </c>
      <c r="C239" t="s">
        <v>4</v>
      </c>
      <c r="D239" t="s">
        <v>3156</v>
      </c>
      <c r="H239">
        <v>1</v>
      </c>
    </row>
    <row r="240" spans="1:8" x14ac:dyDescent="0.2">
      <c r="A240" t="s">
        <v>372</v>
      </c>
      <c r="B240" s="44">
        <v>38568</v>
      </c>
      <c r="C240" t="s">
        <v>4</v>
      </c>
      <c r="D240" t="s">
        <v>3157</v>
      </c>
      <c r="E240" t="s">
        <v>373</v>
      </c>
      <c r="F240" s="4">
        <v>4.4999999999999901E-2</v>
      </c>
      <c r="G240" s="4">
        <v>4.4999999999999998E-2</v>
      </c>
      <c r="H240">
        <v>1</v>
      </c>
    </row>
    <row r="241" spans="1:8" x14ac:dyDescent="0.2">
      <c r="A241" t="s">
        <v>2427</v>
      </c>
      <c r="B241" s="44">
        <v>38581</v>
      </c>
      <c r="C241" t="s">
        <v>4</v>
      </c>
      <c r="D241" t="s">
        <v>3158</v>
      </c>
      <c r="H241">
        <v>1</v>
      </c>
    </row>
    <row r="242" spans="1:8" x14ac:dyDescent="0.2">
      <c r="A242" t="s">
        <v>386</v>
      </c>
      <c r="B242" s="44">
        <v>38602</v>
      </c>
      <c r="C242" t="s">
        <v>4</v>
      </c>
      <c r="D242" t="s">
        <v>3156</v>
      </c>
      <c r="H242">
        <v>1</v>
      </c>
    </row>
    <row r="243" spans="1:8" x14ac:dyDescent="0.2">
      <c r="A243" t="s">
        <v>391</v>
      </c>
      <c r="B243" s="44">
        <v>38603</v>
      </c>
      <c r="C243" t="s">
        <v>4</v>
      </c>
      <c r="D243" t="s">
        <v>3157</v>
      </c>
      <c r="E243" t="s">
        <v>97</v>
      </c>
      <c r="F243" s="4">
        <v>4.4999999999999901E-2</v>
      </c>
      <c r="G243" s="4">
        <v>4.4999999999999998E-2</v>
      </c>
      <c r="H243">
        <v>1</v>
      </c>
    </row>
    <row r="244" spans="1:8" x14ac:dyDescent="0.2">
      <c r="A244" t="s">
        <v>2547</v>
      </c>
      <c r="B244" s="44">
        <v>38616</v>
      </c>
      <c r="C244" t="s">
        <v>4</v>
      </c>
      <c r="D244" t="s">
        <v>3158</v>
      </c>
      <c r="H244">
        <v>1</v>
      </c>
    </row>
    <row r="245" spans="1:8" x14ac:dyDescent="0.2">
      <c r="A245" t="s">
        <v>374</v>
      </c>
      <c r="B245" s="44">
        <v>38630</v>
      </c>
      <c r="C245" t="s">
        <v>4</v>
      </c>
      <c r="D245" t="s">
        <v>3156</v>
      </c>
      <c r="H245">
        <v>1</v>
      </c>
    </row>
    <row r="246" spans="1:8" x14ac:dyDescent="0.2">
      <c r="A246" t="s">
        <v>380</v>
      </c>
      <c r="B246" s="44">
        <v>38631</v>
      </c>
      <c r="C246" t="s">
        <v>4</v>
      </c>
      <c r="D246" t="s">
        <v>3157</v>
      </c>
      <c r="E246" t="s">
        <v>381</v>
      </c>
      <c r="F246" s="4">
        <v>4.4999999999999901E-2</v>
      </c>
      <c r="G246" s="4">
        <v>4.4999999999999998E-2</v>
      </c>
      <c r="H246">
        <v>1</v>
      </c>
    </row>
    <row r="247" spans="1:8" x14ac:dyDescent="0.2">
      <c r="A247" t="s">
        <v>2704</v>
      </c>
      <c r="B247" s="44">
        <v>38644</v>
      </c>
      <c r="C247" t="s">
        <v>4</v>
      </c>
      <c r="D247" t="s">
        <v>3158</v>
      </c>
      <c r="H247">
        <v>1</v>
      </c>
    </row>
    <row r="248" spans="1:8" x14ac:dyDescent="0.2">
      <c r="A248" t="s">
        <v>405</v>
      </c>
      <c r="B248" s="44">
        <v>38665</v>
      </c>
      <c r="C248" t="s">
        <v>4</v>
      </c>
      <c r="D248" t="s">
        <v>3156</v>
      </c>
      <c r="H248">
        <v>1</v>
      </c>
    </row>
    <row r="249" spans="1:8" x14ac:dyDescent="0.2">
      <c r="A249" t="s">
        <v>412</v>
      </c>
      <c r="B249" s="44">
        <v>38666</v>
      </c>
      <c r="C249" t="s">
        <v>4</v>
      </c>
      <c r="D249" t="s">
        <v>3157</v>
      </c>
      <c r="E249" t="s">
        <v>413</v>
      </c>
      <c r="F249" s="4">
        <v>4.4999999999999901E-2</v>
      </c>
      <c r="G249" s="4">
        <v>4.4999999999999998E-2</v>
      </c>
      <c r="H249">
        <v>1</v>
      </c>
    </row>
    <row r="250" spans="1:8" x14ac:dyDescent="0.2">
      <c r="A250" t="s">
        <v>2961</v>
      </c>
      <c r="B250" s="44">
        <v>38679</v>
      </c>
      <c r="C250" t="s">
        <v>4</v>
      </c>
      <c r="D250" t="s">
        <v>3158</v>
      </c>
      <c r="H250">
        <v>1</v>
      </c>
    </row>
    <row r="251" spans="1:8" x14ac:dyDescent="0.2">
      <c r="A251" t="s">
        <v>387</v>
      </c>
      <c r="B251" s="44">
        <v>38693</v>
      </c>
      <c r="C251" t="s">
        <v>4</v>
      </c>
      <c r="D251" t="s">
        <v>3156</v>
      </c>
      <c r="H251">
        <v>1</v>
      </c>
    </row>
    <row r="252" spans="1:8" x14ac:dyDescent="0.2">
      <c r="A252" t="s">
        <v>394</v>
      </c>
      <c r="B252" s="44">
        <v>38694</v>
      </c>
      <c r="C252" t="s">
        <v>4</v>
      </c>
      <c r="D252" t="s">
        <v>3157</v>
      </c>
      <c r="E252" t="s">
        <v>395</v>
      </c>
      <c r="F252" s="4">
        <v>4.4999999999999901E-2</v>
      </c>
      <c r="G252" s="4">
        <v>4.4999999999999998E-2</v>
      </c>
      <c r="H252">
        <v>1</v>
      </c>
    </row>
    <row r="253" spans="1:8" x14ac:dyDescent="0.2">
      <c r="A253" t="s">
        <v>3091</v>
      </c>
      <c r="B253" s="44">
        <v>38707</v>
      </c>
      <c r="C253" t="s">
        <v>4</v>
      </c>
      <c r="D253" t="s">
        <v>3158</v>
      </c>
      <c r="H253">
        <v>1</v>
      </c>
    </row>
    <row r="254" spans="1:8" x14ac:dyDescent="0.2">
      <c r="A254" t="s">
        <v>487</v>
      </c>
      <c r="B254" s="44">
        <v>38728</v>
      </c>
      <c r="C254" t="s">
        <v>4</v>
      </c>
      <c r="D254" t="s">
        <v>3156</v>
      </c>
      <c r="H254">
        <v>1</v>
      </c>
    </row>
    <row r="255" spans="1:8" x14ac:dyDescent="0.2">
      <c r="A255" t="s">
        <v>494</v>
      </c>
      <c r="B255" s="44">
        <v>38729</v>
      </c>
      <c r="C255" t="s">
        <v>4</v>
      </c>
      <c r="D255" t="s">
        <v>3157</v>
      </c>
      <c r="E255" t="s">
        <v>495</v>
      </c>
      <c r="F255" s="4">
        <v>4.4999999999999901E-2</v>
      </c>
      <c r="G255" s="4">
        <v>4.4999999999999998E-2</v>
      </c>
      <c r="H255">
        <v>1</v>
      </c>
    </row>
    <row r="256" spans="1:8" x14ac:dyDescent="0.2">
      <c r="A256" t="s">
        <v>1448</v>
      </c>
      <c r="B256" s="44">
        <v>38742</v>
      </c>
      <c r="C256" t="s">
        <v>4</v>
      </c>
      <c r="D256" t="s">
        <v>3158</v>
      </c>
      <c r="H256">
        <v>1</v>
      </c>
    </row>
    <row r="257" spans="1:8" x14ac:dyDescent="0.2">
      <c r="A257" t="s">
        <v>463</v>
      </c>
      <c r="B257" s="44">
        <v>38756</v>
      </c>
      <c r="C257" t="s">
        <v>4</v>
      </c>
      <c r="D257" t="s">
        <v>3156</v>
      </c>
      <c r="H257">
        <v>1</v>
      </c>
    </row>
    <row r="258" spans="1:8" x14ac:dyDescent="0.2">
      <c r="A258" t="s">
        <v>475</v>
      </c>
      <c r="B258" s="44">
        <v>38757</v>
      </c>
      <c r="C258" t="s">
        <v>4</v>
      </c>
      <c r="D258" t="s">
        <v>3157</v>
      </c>
      <c r="E258" t="s">
        <v>476</v>
      </c>
      <c r="F258" s="4">
        <v>4.4999999999999901E-2</v>
      </c>
      <c r="G258" s="4">
        <v>4.4999999999999998E-2</v>
      </c>
      <c r="H258">
        <v>1</v>
      </c>
    </row>
    <row r="259" spans="1:8" x14ac:dyDescent="0.2">
      <c r="A259" t="s">
        <v>1574</v>
      </c>
      <c r="B259" s="44">
        <v>38770</v>
      </c>
      <c r="C259" t="s">
        <v>4</v>
      </c>
      <c r="D259" t="s">
        <v>3158</v>
      </c>
      <c r="H259">
        <v>1</v>
      </c>
    </row>
    <row r="260" spans="1:8" x14ac:dyDescent="0.2">
      <c r="A260" t="s">
        <v>464</v>
      </c>
      <c r="B260" s="44">
        <v>38784</v>
      </c>
      <c r="C260" t="s">
        <v>4</v>
      </c>
      <c r="D260" t="s">
        <v>3156</v>
      </c>
      <c r="H260">
        <v>1</v>
      </c>
    </row>
    <row r="261" spans="1:8" x14ac:dyDescent="0.2">
      <c r="A261" t="s">
        <v>477</v>
      </c>
      <c r="B261" s="44">
        <v>38785</v>
      </c>
      <c r="C261" t="s">
        <v>4</v>
      </c>
      <c r="D261" t="s">
        <v>3157</v>
      </c>
      <c r="E261" t="s">
        <v>150</v>
      </c>
      <c r="F261" s="4">
        <v>4.4999999999999901E-2</v>
      </c>
      <c r="G261" s="4">
        <v>4.4999999999999998E-2</v>
      </c>
      <c r="H261">
        <v>1</v>
      </c>
    </row>
    <row r="262" spans="1:8" x14ac:dyDescent="0.2">
      <c r="A262" t="s">
        <v>1738</v>
      </c>
      <c r="B262" s="44">
        <v>38798</v>
      </c>
      <c r="C262" t="s">
        <v>4</v>
      </c>
      <c r="D262" t="s">
        <v>3158</v>
      </c>
      <c r="H262">
        <v>1</v>
      </c>
    </row>
    <row r="263" spans="1:8" x14ac:dyDescent="0.2">
      <c r="A263" t="s">
        <v>443</v>
      </c>
      <c r="B263" s="44">
        <v>38812</v>
      </c>
      <c r="C263" t="s">
        <v>4</v>
      </c>
      <c r="D263" t="s">
        <v>3156</v>
      </c>
      <c r="H263">
        <v>1</v>
      </c>
    </row>
    <row r="264" spans="1:8" x14ac:dyDescent="0.2">
      <c r="A264" t="s">
        <v>454</v>
      </c>
      <c r="B264" s="44">
        <v>38813</v>
      </c>
      <c r="C264" t="s">
        <v>4</v>
      </c>
      <c r="D264" t="s">
        <v>3157</v>
      </c>
      <c r="E264" t="s">
        <v>131</v>
      </c>
      <c r="F264" s="4">
        <v>4.4999999999999901E-2</v>
      </c>
      <c r="G264" s="4">
        <v>4.4999999999999998E-2</v>
      </c>
      <c r="H264">
        <v>1</v>
      </c>
    </row>
    <row r="265" spans="1:8" x14ac:dyDescent="0.2">
      <c r="A265" t="s">
        <v>1842</v>
      </c>
      <c r="B265" s="44">
        <v>38826</v>
      </c>
      <c r="C265" t="s">
        <v>4</v>
      </c>
      <c r="D265" t="s">
        <v>3158</v>
      </c>
      <c r="H265">
        <v>1</v>
      </c>
    </row>
    <row r="266" spans="1:8" x14ac:dyDescent="0.2">
      <c r="A266" t="s">
        <v>423</v>
      </c>
      <c r="B266" s="44">
        <v>38840</v>
      </c>
      <c r="C266" t="s">
        <v>4</v>
      </c>
      <c r="D266" t="s">
        <v>3156</v>
      </c>
      <c r="H266">
        <v>1</v>
      </c>
    </row>
    <row r="267" spans="1:8" x14ac:dyDescent="0.2">
      <c r="A267" t="s">
        <v>433</v>
      </c>
      <c r="B267" s="44">
        <v>38841</v>
      </c>
      <c r="C267" t="s">
        <v>4</v>
      </c>
      <c r="D267" t="s">
        <v>3157</v>
      </c>
      <c r="E267" t="s">
        <v>115</v>
      </c>
      <c r="F267" s="4">
        <v>4.4999999999999901E-2</v>
      </c>
      <c r="G267" s="4">
        <v>4.4999999999999998E-2</v>
      </c>
      <c r="H267">
        <v>1</v>
      </c>
    </row>
    <row r="268" spans="1:8" x14ac:dyDescent="0.2">
      <c r="A268" t="s">
        <v>1954</v>
      </c>
      <c r="B268" s="44">
        <v>38854</v>
      </c>
      <c r="C268" t="s">
        <v>4</v>
      </c>
      <c r="D268" t="s">
        <v>3158</v>
      </c>
      <c r="H268">
        <v>1</v>
      </c>
    </row>
    <row r="269" spans="1:8" x14ac:dyDescent="0.2">
      <c r="A269" t="s">
        <v>458</v>
      </c>
      <c r="B269" s="44">
        <v>38875</v>
      </c>
      <c r="C269" t="s">
        <v>4</v>
      </c>
      <c r="D269" t="s">
        <v>3156</v>
      </c>
      <c r="H269">
        <v>1</v>
      </c>
    </row>
    <row r="270" spans="1:8" x14ac:dyDescent="0.2">
      <c r="A270" t="s">
        <v>466</v>
      </c>
      <c r="B270" s="44">
        <v>38876</v>
      </c>
      <c r="C270" t="s">
        <v>4</v>
      </c>
      <c r="D270" t="s">
        <v>3157</v>
      </c>
      <c r="E270" t="s">
        <v>467</v>
      </c>
      <c r="F270" s="4">
        <v>4.4999999999999901E-2</v>
      </c>
      <c r="G270" s="4">
        <v>4.4999999999999998E-2</v>
      </c>
      <c r="H270">
        <v>1</v>
      </c>
    </row>
    <row r="271" spans="1:8" x14ac:dyDescent="0.2">
      <c r="A271" t="s">
        <v>2196</v>
      </c>
      <c r="B271" s="44">
        <v>38889</v>
      </c>
      <c r="C271" t="s">
        <v>4</v>
      </c>
      <c r="D271" t="s">
        <v>3158</v>
      </c>
      <c r="H271">
        <v>1</v>
      </c>
    </row>
    <row r="272" spans="1:8" x14ac:dyDescent="0.2">
      <c r="A272" t="s">
        <v>444</v>
      </c>
      <c r="B272" s="44">
        <v>38903</v>
      </c>
      <c r="C272" t="s">
        <v>4</v>
      </c>
      <c r="D272" t="s">
        <v>3156</v>
      </c>
      <c r="H272">
        <v>1</v>
      </c>
    </row>
    <row r="273" spans="1:8" x14ac:dyDescent="0.2">
      <c r="A273" t="s">
        <v>455</v>
      </c>
      <c r="B273" s="44">
        <v>38904</v>
      </c>
      <c r="C273" t="s">
        <v>4</v>
      </c>
      <c r="D273" t="s">
        <v>3157</v>
      </c>
      <c r="E273" t="s">
        <v>134</v>
      </c>
      <c r="F273" s="4">
        <v>4.4999999999999901E-2</v>
      </c>
      <c r="G273" s="4">
        <v>4.4999999999999998E-2</v>
      </c>
      <c r="H273">
        <v>1</v>
      </c>
    </row>
    <row r="274" spans="1:8" x14ac:dyDescent="0.2">
      <c r="A274" t="s">
        <v>2360</v>
      </c>
      <c r="B274" s="44">
        <v>38917</v>
      </c>
      <c r="C274" t="s">
        <v>4</v>
      </c>
      <c r="D274" t="s">
        <v>3158</v>
      </c>
      <c r="H274">
        <v>1</v>
      </c>
    </row>
    <row r="275" spans="1:8" x14ac:dyDescent="0.2">
      <c r="A275" t="s">
        <v>422</v>
      </c>
      <c r="B275" s="44">
        <v>38931</v>
      </c>
      <c r="C275" t="s">
        <v>4</v>
      </c>
      <c r="D275" t="s">
        <v>3156</v>
      </c>
      <c r="H275">
        <v>1</v>
      </c>
    </row>
    <row r="276" spans="1:8" x14ac:dyDescent="0.2">
      <c r="A276" t="s">
        <v>427</v>
      </c>
      <c r="B276" s="44">
        <v>38932</v>
      </c>
      <c r="C276" t="s">
        <v>4</v>
      </c>
      <c r="D276" t="s">
        <v>3157</v>
      </c>
      <c r="E276" t="s">
        <v>111</v>
      </c>
      <c r="F276" s="4">
        <v>4.4999999999999901E-2</v>
      </c>
      <c r="G276" s="4">
        <v>4.7500000000000001E-2</v>
      </c>
      <c r="H276">
        <v>1</v>
      </c>
    </row>
    <row r="277" spans="1:8" x14ac:dyDescent="0.2">
      <c r="A277" t="s">
        <v>2425</v>
      </c>
      <c r="B277" s="44">
        <v>38945</v>
      </c>
      <c r="C277" t="s">
        <v>4</v>
      </c>
      <c r="D277" t="s">
        <v>3158</v>
      </c>
      <c r="H277">
        <v>1</v>
      </c>
    </row>
    <row r="278" spans="1:8" x14ac:dyDescent="0.2">
      <c r="A278" t="s">
        <v>456</v>
      </c>
      <c r="B278" s="44">
        <v>38966</v>
      </c>
      <c r="C278" t="s">
        <v>4</v>
      </c>
      <c r="D278" t="s">
        <v>3156</v>
      </c>
      <c r="H278">
        <v>1</v>
      </c>
    </row>
    <row r="279" spans="1:8" x14ac:dyDescent="0.2">
      <c r="A279" t="s">
        <v>461</v>
      </c>
      <c r="B279" s="44">
        <v>38967</v>
      </c>
      <c r="C279" t="s">
        <v>4</v>
      </c>
      <c r="D279" t="s">
        <v>3157</v>
      </c>
      <c r="E279" t="s">
        <v>143</v>
      </c>
      <c r="F279" s="4">
        <v>4.7500000000000001E-2</v>
      </c>
      <c r="G279" s="4">
        <v>4.7500000000000001E-2</v>
      </c>
      <c r="H279">
        <v>1</v>
      </c>
    </row>
    <row r="280" spans="1:8" x14ac:dyDescent="0.2">
      <c r="A280" t="s">
        <v>2537</v>
      </c>
      <c r="B280" s="44">
        <v>38980</v>
      </c>
      <c r="C280" t="s">
        <v>4</v>
      </c>
      <c r="D280" t="s">
        <v>3158</v>
      </c>
      <c r="H280">
        <v>1</v>
      </c>
    </row>
    <row r="281" spans="1:8" x14ac:dyDescent="0.2">
      <c r="A281" t="s">
        <v>442</v>
      </c>
      <c r="B281" s="44">
        <v>38994</v>
      </c>
      <c r="C281" t="s">
        <v>4</v>
      </c>
      <c r="D281" t="s">
        <v>3156</v>
      </c>
      <c r="H281">
        <v>1</v>
      </c>
    </row>
    <row r="282" spans="1:8" x14ac:dyDescent="0.2">
      <c r="A282" t="s">
        <v>447</v>
      </c>
      <c r="B282" s="44">
        <v>38995</v>
      </c>
      <c r="C282" t="s">
        <v>4</v>
      </c>
      <c r="D282" t="s">
        <v>3157</v>
      </c>
      <c r="E282" t="s">
        <v>129</v>
      </c>
      <c r="F282" s="4">
        <v>4.7500000000000001E-2</v>
      </c>
      <c r="G282" s="4">
        <v>4.7500000000000001E-2</v>
      </c>
      <c r="H282">
        <v>1</v>
      </c>
    </row>
    <row r="283" spans="1:8" x14ac:dyDescent="0.2">
      <c r="A283" t="s">
        <v>2693</v>
      </c>
      <c r="B283" s="44">
        <v>39008</v>
      </c>
      <c r="C283" t="s">
        <v>4</v>
      </c>
      <c r="D283" t="s">
        <v>3158</v>
      </c>
      <c r="H283">
        <v>1</v>
      </c>
    </row>
    <row r="284" spans="1:8" x14ac:dyDescent="0.2">
      <c r="A284" t="s">
        <v>474</v>
      </c>
      <c r="B284" s="44">
        <v>39029</v>
      </c>
      <c r="C284" t="s">
        <v>4</v>
      </c>
      <c r="D284" t="s">
        <v>3156</v>
      </c>
      <c r="H284">
        <v>1</v>
      </c>
    </row>
    <row r="285" spans="1:8" x14ac:dyDescent="0.2">
      <c r="A285" t="s">
        <v>482</v>
      </c>
      <c r="B285" s="44">
        <v>39030</v>
      </c>
      <c r="C285" t="s">
        <v>4</v>
      </c>
      <c r="D285" t="s">
        <v>3157</v>
      </c>
      <c r="E285" t="s">
        <v>155</v>
      </c>
      <c r="F285" s="4">
        <v>0.05</v>
      </c>
      <c r="G285" s="4">
        <v>0.05</v>
      </c>
      <c r="H285">
        <v>1</v>
      </c>
    </row>
    <row r="286" spans="1:8" x14ac:dyDescent="0.2">
      <c r="A286" t="s">
        <v>2949</v>
      </c>
      <c r="B286" s="44">
        <v>39043</v>
      </c>
      <c r="C286" t="s">
        <v>4</v>
      </c>
      <c r="D286" t="s">
        <v>3158</v>
      </c>
      <c r="H286">
        <v>1</v>
      </c>
    </row>
    <row r="287" spans="1:8" x14ac:dyDescent="0.2">
      <c r="A287" t="s">
        <v>457</v>
      </c>
      <c r="B287" s="44">
        <v>39057</v>
      </c>
      <c r="C287" t="s">
        <v>4</v>
      </c>
      <c r="D287" t="s">
        <v>3156</v>
      </c>
      <c r="H287">
        <v>1</v>
      </c>
    </row>
    <row r="288" spans="1:8" x14ac:dyDescent="0.2">
      <c r="A288" t="s">
        <v>462</v>
      </c>
      <c r="B288" s="44">
        <v>39058</v>
      </c>
      <c r="C288" t="s">
        <v>4</v>
      </c>
      <c r="D288" t="s">
        <v>3157</v>
      </c>
      <c r="E288" t="s">
        <v>145</v>
      </c>
      <c r="F288" s="4">
        <v>0.05</v>
      </c>
      <c r="G288" s="4">
        <v>0.05</v>
      </c>
      <c r="H288">
        <v>1</v>
      </c>
    </row>
    <row r="289" spans="1:9" x14ac:dyDescent="0.2">
      <c r="A289" t="s">
        <v>3084</v>
      </c>
      <c r="B289" s="44">
        <v>39071</v>
      </c>
      <c r="C289" t="s">
        <v>4</v>
      </c>
      <c r="D289" t="s">
        <v>3158</v>
      </c>
      <c r="H289">
        <v>1</v>
      </c>
    </row>
    <row r="290" spans="1:9" x14ac:dyDescent="0.2">
      <c r="A290" t="s">
        <v>573</v>
      </c>
      <c r="B290" s="44">
        <v>39092</v>
      </c>
      <c r="C290" t="s">
        <v>4</v>
      </c>
      <c r="D290" t="s">
        <v>3156</v>
      </c>
      <c r="H290">
        <v>1</v>
      </c>
    </row>
    <row r="291" spans="1:9" x14ac:dyDescent="0.2">
      <c r="A291" t="s">
        <v>580</v>
      </c>
      <c r="B291" s="44">
        <v>39093</v>
      </c>
      <c r="C291" t="s">
        <v>4</v>
      </c>
      <c r="D291" t="s">
        <v>3157</v>
      </c>
      <c r="E291" t="s">
        <v>220</v>
      </c>
      <c r="F291" s="4">
        <v>0.05</v>
      </c>
      <c r="G291" s="4">
        <v>5.2499999999999998E-2</v>
      </c>
      <c r="H291">
        <v>1</v>
      </c>
    </row>
    <row r="292" spans="1:9" x14ac:dyDescent="0.2">
      <c r="A292" t="s">
        <v>1437</v>
      </c>
      <c r="B292" s="44">
        <v>39106</v>
      </c>
      <c r="C292" t="s">
        <v>4</v>
      </c>
      <c r="D292" t="s">
        <v>3158</v>
      </c>
      <c r="H292">
        <v>1</v>
      </c>
    </row>
    <row r="293" spans="1:9" x14ac:dyDescent="0.2">
      <c r="A293" t="s">
        <v>552</v>
      </c>
      <c r="B293" s="44">
        <v>39120</v>
      </c>
      <c r="C293" t="s">
        <v>4</v>
      </c>
      <c r="D293" t="s">
        <v>3156</v>
      </c>
      <c r="H293">
        <v>1</v>
      </c>
    </row>
    <row r="294" spans="1:9" x14ac:dyDescent="0.2">
      <c r="A294" t="s">
        <v>560</v>
      </c>
      <c r="B294" s="44">
        <v>39121</v>
      </c>
      <c r="C294" t="s">
        <v>4</v>
      </c>
      <c r="D294" t="s">
        <v>3157</v>
      </c>
      <c r="E294" t="s">
        <v>205</v>
      </c>
      <c r="F294" s="4">
        <v>5.2499999999999901E-2</v>
      </c>
      <c r="G294" s="4">
        <v>5.2499999999999998E-2</v>
      </c>
      <c r="H294">
        <v>1</v>
      </c>
    </row>
    <row r="295" spans="1:9" x14ac:dyDescent="0.2">
      <c r="A295" t="s">
        <v>1563</v>
      </c>
      <c r="B295" s="44">
        <v>39134</v>
      </c>
      <c r="C295" t="s">
        <v>4</v>
      </c>
      <c r="D295" t="s">
        <v>3158</v>
      </c>
      <c r="H295">
        <v>1</v>
      </c>
    </row>
    <row r="296" spans="1:9" x14ac:dyDescent="0.2">
      <c r="A296" t="s">
        <v>554</v>
      </c>
      <c r="B296" s="44">
        <v>39148</v>
      </c>
      <c r="C296" t="s">
        <v>4</v>
      </c>
      <c r="D296" t="s">
        <v>3156</v>
      </c>
      <c r="H296">
        <v>1</v>
      </c>
    </row>
    <row r="297" spans="1:9" x14ac:dyDescent="0.2">
      <c r="A297" t="s">
        <v>562</v>
      </c>
      <c r="B297" s="44">
        <v>39149</v>
      </c>
      <c r="C297" t="s">
        <v>4</v>
      </c>
      <c r="D297" t="s">
        <v>3157</v>
      </c>
      <c r="E297" t="s">
        <v>207</v>
      </c>
      <c r="F297" s="4">
        <v>5.2499999999999901E-2</v>
      </c>
      <c r="G297" s="4">
        <v>5.2499999999999998E-2</v>
      </c>
      <c r="H297">
        <v>1</v>
      </c>
    </row>
    <row r="298" spans="1:9" x14ac:dyDescent="0.2">
      <c r="A298" t="s">
        <v>1727</v>
      </c>
      <c r="B298" s="44">
        <v>39162</v>
      </c>
      <c r="C298" t="s">
        <v>4</v>
      </c>
      <c r="D298" t="s">
        <v>3158</v>
      </c>
      <c r="H298">
        <v>1</v>
      </c>
    </row>
    <row r="299" spans="1:9" x14ac:dyDescent="0.2">
      <c r="A299" t="s">
        <v>514</v>
      </c>
      <c r="B299" s="44">
        <v>39176</v>
      </c>
      <c r="C299" t="s">
        <v>4</v>
      </c>
      <c r="D299" t="s">
        <v>3156</v>
      </c>
      <c r="H299">
        <v>1</v>
      </c>
    </row>
    <row r="300" spans="1:9" x14ac:dyDescent="0.2">
      <c r="A300" t="s">
        <v>522</v>
      </c>
      <c r="B300" s="44">
        <v>39177</v>
      </c>
      <c r="C300" t="s">
        <v>4</v>
      </c>
      <c r="D300" t="s">
        <v>3157</v>
      </c>
      <c r="E300" t="s">
        <v>189</v>
      </c>
      <c r="F300" s="4">
        <v>5.2499999999999901E-2</v>
      </c>
      <c r="G300" s="4">
        <v>5.2499999999999998E-2</v>
      </c>
      <c r="H300">
        <v>1</v>
      </c>
    </row>
    <row r="301" spans="1:9" s="5" customFormat="1" x14ac:dyDescent="0.2">
      <c r="A301" t="s">
        <v>1835</v>
      </c>
      <c r="B301" s="44">
        <v>39190</v>
      </c>
      <c r="C301" t="s">
        <v>4</v>
      </c>
      <c r="D301" t="s">
        <v>3158</v>
      </c>
      <c r="E301"/>
      <c r="F301" s="4"/>
      <c r="G301" s="4"/>
      <c r="H301">
        <v>1</v>
      </c>
      <c r="I301"/>
    </row>
    <row r="302" spans="1:9" x14ac:dyDescent="0.2">
      <c r="A302" t="s">
        <v>568</v>
      </c>
      <c r="B302" s="44">
        <v>39211</v>
      </c>
      <c r="C302" t="s">
        <v>4</v>
      </c>
      <c r="D302" t="s">
        <v>3156</v>
      </c>
      <c r="H302">
        <v>1</v>
      </c>
    </row>
    <row r="303" spans="1:9" x14ac:dyDescent="0.2">
      <c r="A303" t="s">
        <v>578</v>
      </c>
      <c r="B303" s="44">
        <v>39212</v>
      </c>
      <c r="C303" t="s">
        <v>4</v>
      </c>
      <c r="D303" t="s">
        <v>3157</v>
      </c>
      <c r="E303" t="s">
        <v>217</v>
      </c>
      <c r="F303" s="4">
        <v>5.5E-2</v>
      </c>
      <c r="G303" s="4">
        <v>5.5E-2</v>
      </c>
      <c r="H303">
        <v>1</v>
      </c>
    </row>
    <row r="304" spans="1:9" x14ac:dyDescent="0.2">
      <c r="A304" t="s">
        <v>2031</v>
      </c>
      <c r="B304" s="44">
        <v>39225</v>
      </c>
      <c r="C304" t="s">
        <v>4</v>
      </c>
      <c r="D304" t="s">
        <v>3158</v>
      </c>
      <c r="H304">
        <v>1</v>
      </c>
    </row>
    <row r="305" spans="1:8" x14ac:dyDescent="0.2">
      <c r="A305" t="s">
        <v>532</v>
      </c>
      <c r="B305" s="44">
        <v>39239</v>
      </c>
      <c r="C305" t="s">
        <v>4</v>
      </c>
      <c r="D305" t="s">
        <v>3156</v>
      </c>
      <c r="H305">
        <v>1</v>
      </c>
    </row>
    <row r="306" spans="1:8" x14ac:dyDescent="0.2">
      <c r="A306" t="s">
        <v>557</v>
      </c>
      <c r="B306" s="44">
        <v>39240</v>
      </c>
      <c r="C306" t="s">
        <v>4</v>
      </c>
      <c r="D306" t="s">
        <v>3157</v>
      </c>
      <c r="E306" t="s">
        <v>139</v>
      </c>
      <c r="F306" s="4">
        <v>5.5E-2</v>
      </c>
      <c r="G306" s="4">
        <v>5.5E-2</v>
      </c>
      <c r="H306">
        <v>1</v>
      </c>
    </row>
    <row r="307" spans="1:8" x14ac:dyDescent="0.2">
      <c r="A307" t="s">
        <v>2182</v>
      </c>
      <c r="B307" s="44">
        <v>39253</v>
      </c>
      <c r="C307" t="s">
        <v>4</v>
      </c>
      <c r="D307" t="s">
        <v>3158</v>
      </c>
      <c r="H307">
        <v>1</v>
      </c>
    </row>
    <row r="308" spans="1:8" x14ac:dyDescent="0.2">
      <c r="A308" t="s">
        <v>515</v>
      </c>
      <c r="B308" s="44">
        <v>39267</v>
      </c>
      <c r="C308" t="s">
        <v>4</v>
      </c>
      <c r="D308" t="s">
        <v>3156</v>
      </c>
      <c r="H308">
        <v>1</v>
      </c>
    </row>
    <row r="309" spans="1:8" x14ac:dyDescent="0.2">
      <c r="A309" t="s">
        <v>524</v>
      </c>
      <c r="B309" s="44">
        <v>39268</v>
      </c>
      <c r="C309" t="s">
        <v>4</v>
      </c>
      <c r="D309" t="s">
        <v>3157</v>
      </c>
      <c r="E309" t="s">
        <v>192</v>
      </c>
      <c r="F309" s="4">
        <v>5.7500000000000002E-2</v>
      </c>
      <c r="G309" s="4">
        <v>5.7500000000000002E-2</v>
      </c>
      <c r="H309">
        <v>1</v>
      </c>
    </row>
    <row r="310" spans="1:8" x14ac:dyDescent="0.2">
      <c r="A310" t="s">
        <v>2352</v>
      </c>
      <c r="B310" s="44">
        <v>39281</v>
      </c>
      <c r="C310" t="s">
        <v>4</v>
      </c>
      <c r="D310" t="s">
        <v>3158</v>
      </c>
      <c r="H310">
        <v>1</v>
      </c>
    </row>
    <row r="311" spans="1:8" x14ac:dyDescent="0.2">
      <c r="A311" t="s">
        <v>501</v>
      </c>
      <c r="B311" s="44">
        <v>39295</v>
      </c>
      <c r="C311" t="s">
        <v>4</v>
      </c>
      <c r="D311" t="s">
        <v>3156</v>
      </c>
      <c r="H311">
        <v>1</v>
      </c>
    </row>
    <row r="312" spans="1:8" x14ac:dyDescent="0.2">
      <c r="A312" t="s">
        <v>505</v>
      </c>
      <c r="B312" s="44">
        <v>39296</v>
      </c>
      <c r="C312" t="s">
        <v>4</v>
      </c>
      <c r="D312" t="s">
        <v>3157</v>
      </c>
      <c r="E312" t="s">
        <v>175</v>
      </c>
      <c r="F312" s="4">
        <v>5.7500000000000002E-2</v>
      </c>
      <c r="G312" s="4">
        <v>5.7500000000000002E-2</v>
      </c>
      <c r="H312">
        <v>1</v>
      </c>
    </row>
    <row r="313" spans="1:8" x14ac:dyDescent="0.2">
      <c r="A313" t="s">
        <v>2421</v>
      </c>
      <c r="B313" s="44">
        <v>39309</v>
      </c>
      <c r="C313" t="s">
        <v>4</v>
      </c>
      <c r="D313" t="s">
        <v>3158</v>
      </c>
      <c r="H313">
        <v>1</v>
      </c>
    </row>
    <row r="314" spans="1:8" x14ac:dyDescent="0.2">
      <c r="A314" t="s">
        <v>525</v>
      </c>
      <c r="B314" s="44">
        <v>39330</v>
      </c>
      <c r="C314" t="s">
        <v>4</v>
      </c>
      <c r="D314" t="s">
        <v>3156</v>
      </c>
      <c r="H314">
        <v>1</v>
      </c>
    </row>
    <row r="315" spans="1:8" x14ac:dyDescent="0.2">
      <c r="A315" t="s">
        <v>543</v>
      </c>
      <c r="B315" s="44">
        <v>39331</v>
      </c>
      <c r="C315" t="s">
        <v>4</v>
      </c>
      <c r="D315" t="s">
        <v>3157</v>
      </c>
      <c r="E315" t="s">
        <v>198</v>
      </c>
      <c r="F315" s="4">
        <v>5.7500000000000002E-2</v>
      </c>
      <c r="G315" s="4">
        <v>5.7500000000000002E-2</v>
      </c>
      <c r="H315">
        <v>1</v>
      </c>
    </row>
    <row r="316" spans="1:8" x14ac:dyDescent="0.2">
      <c r="A316" t="s">
        <v>2526</v>
      </c>
      <c r="B316" s="44">
        <v>39344</v>
      </c>
      <c r="C316" t="s">
        <v>4</v>
      </c>
      <c r="D316" t="s">
        <v>3158</v>
      </c>
      <c r="H316">
        <v>1</v>
      </c>
    </row>
    <row r="317" spans="1:8" x14ac:dyDescent="0.2">
      <c r="A317" t="s">
        <v>512</v>
      </c>
      <c r="B317" s="44">
        <v>39358</v>
      </c>
      <c r="C317" t="s">
        <v>4</v>
      </c>
      <c r="D317" t="s">
        <v>3156</v>
      </c>
      <c r="H317">
        <v>1</v>
      </c>
    </row>
    <row r="318" spans="1:8" x14ac:dyDescent="0.2">
      <c r="A318" t="s">
        <v>519</v>
      </c>
      <c r="B318" s="44">
        <v>39359</v>
      </c>
      <c r="C318" t="s">
        <v>4</v>
      </c>
      <c r="D318" t="s">
        <v>3157</v>
      </c>
      <c r="E318" t="s">
        <v>184</v>
      </c>
      <c r="F318" s="4">
        <v>5.7500000000000002E-2</v>
      </c>
      <c r="G318" s="4">
        <v>5.7500000000000002E-2</v>
      </c>
      <c r="H318">
        <v>1</v>
      </c>
    </row>
    <row r="319" spans="1:8" x14ac:dyDescent="0.2">
      <c r="A319" t="s">
        <v>2677</v>
      </c>
      <c r="B319" s="44">
        <v>39372</v>
      </c>
      <c r="C319" t="s">
        <v>4</v>
      </c>
      <c r="D319" t="s">
        <v>3158</v>
      </c>
      <c r="H319">
        <v>1</v>
      </c>
    </row>
    <row r="320" spans="1:8" x14ac:dyDescent="0.2">
      <c r="A320" t="s">
        <v>558</v>
      </c>
      <c r="B320" s="44">
        <v>39393</v>
      </c>
      <c r="C320" t="s">
        <v>4</v>
      </c>
      <c r="D320" t="s">
        <v>3156</v>
      </c>
      <c r="H320">
        <v>1</v>
      </c>
    </row>
    <row r="321" spans="1:8" x14ac:dyDescent="0.2">
      <c r="A321" t="s">
        <v>567</v>
      </c>
      <c r="B321" s="44">
        <v>39394</v>
      </c>
      <c r="C321" t="s">
        <v>4</v>
      </c>
      <c r="D321" t="s">
        <v>3157</v>
      </c>
      <c r="E321" t="s">
        <v>210</v>
      </c>
      <c r="F321" s="4">
        <v>5.7500000000000002E-2</v>
      </c>
      <c r="G321" s="4">
        <v>5.7500000000000002E-2</v>
      </c>
      <c r="H321">
        <v>1</v>
      </c>
    </row>
    <row r="322" spans="1:8" x14ac:dyDescent="0.2">
      <c r="A322" t="s">
        <v>2938</v>
      </c>
      <c r="B322" s="44">
        <v>39407</v>
      </c>
      <c r="C322" t="s">
        <v>4</v>
      </c>
      <c r="D322" t="s">
        <v>3158</v>
      </c>
      <c r="H322">
        <v>1</v>
      </c>
    </row>
    <row r="323" spans="1:8" x14ac:dyDescent="0.2">
      <c r="A323" t="s">
        <v>530</v>
      </c>
      <c r="B323" s="44">
        <v>39421</v>
      </c>
      <c r="C323" t="s">
        <v>4</v>
      </c>
      <c r="D323" t="s">
        <v>3156</v>
      </c>
      <c r="H323">
        <v>1</v>
      </c>
    </row>
    <row r="324" spans="1:8" x14ac:dyDescent="0.2">
      <c r="A324" t="s">
        <v>550</v>
      </c>
      <c r="B324" s="44">
        <v>39422</v>
      </c>
      <c r="C324" t="s">
        <v>4</v>
      </c>
      <c r="D324" t="s">
        <v>3157</v>
      </c>
      <c r="E324" t="s">
        <v>551</v>
      </c>
      <c r="F324" s="4">
        <v>5.7500000000000002E-2</v>
      </c>
      <c r="G324" s="4">
        <v>5.5E-2</v>
      </c>
      <c r="H324">
        <v>1</v>
      </c>
    </row>
    <row r="325" spans="1:8" x14ac:dyDescent="0.2">
      <c r="A325" t="s">
        <v>3077</v>
      </c>
      <c r="B325" s="44">
        <v>39435</v>
      </c>
      <c r="C325" t="s">
        <v>4</v>
      </c>
      <c r="D325" t="s">
        <v>3158</v>
      </c>
      <c r="H325">
        <v>1</v>
      </c>
    </row>
    <row r="326" spans="1:8" x14ac:dyDescent="0.2">
      <c r="A326" t="s">
        <v>634</v>
      </c>
      <c r="B326" s="44">
        <v>39457</v>
      </c>
      <c r="C326" t="s">
        <v>4</v>
      </c>
      <c r="D326" t="s">
        <v>3157</v>
      </c>
      <c r="E326" t="s">
        <v>260</v>
      </c>
      <c r="F326" s="4">
        <v>5.5E-2</v>
      </c>
      <c r="G326" s="4">
        <v>5.5E-2</v>
      </c>
      <c r="H326">
        <v>1</v>
      </c>
    </row>
    <row r="327" spans="1:8" x14ac:dyDescent="0.2">
      <c r="A327" t="s">
        <v>619</v>
      </c>
      <c r="B327" s="44">
        <v>39485</v>
      </c>
      <c r="C327" t="s">
        <v>4</v>
      </c>
      <c r="D327" t="s">
        <v>3157</v>
      </c>
      <c r="E327" t="s">
        <v>249</v>
      </c>
      <c r="F327" s="4">
        <v>5.2499999999999901E-2</v>
      </c>
      <c r="G327" s="4">
        <v>5.2499999999999998E-2</v>
      </c>
      <c r="H327">
        <v>1</v>
      </c>
    </row>
    <row r="328" spans="1:8" x14ac:dyDescent="0.2">
      <c r="A328" t="s">
        <v>1551</v>
      </c>
      <c r="B328" s="44">
        <v>39498</v>
      </c>
      <c r="C328" t="s">
        <v>4</v>
      </c>
      <c r="D328" t="s">
        <v>3158</v>
      </c>
      <c r="H328">
        <v>1</v>
      </c>
    </row>
    <row r="329" spans="1:8" x14ac:dyDescent="0.2">
      <c r="A329" t="s">
        <v>615</v>
      </c>
      <c r="B329" s="44">
        <v>39513</v>
      </c>
      <c r="C329" t="s">
        <v>4</v>
      </c>
      <c r="D329" t="s">
        <v>3157</v>
      </c>
      <c r="E329" t="s">
        <v>286</v>
      </c>
      <c r="F329" s="4">
        <v>5.2499999999999901E-2</v>
      </c>
      <c r="G329" s="4">
        <v>5.2499999999999998E-2</v>
      </c>
      <c r="H329">
        <v>1</v>
      </c>
    </row>
    <row r="330" spans="1:8" x14ac:dyDescent="0.2">
      <c r="A330" t="s">
        <v>1705</v>
      </c>
      <c r="B330" s="44">
        <v>39526</v>
      </c>
      <c r="C330" t="s">
        <v>4</v>
      </c>
      <c r="D330" t="s">
        <v>3158</v>
      </c>
      <c r="H330">
        <v>1</v>
      </c>
    </row>
    <row r="331" spans="1:8" x14ac:dyDescent="0.2">
      <c r="A331" t="s">
        <v>635</v>
      </c>
      <c r="B331" s="44">
        <v>39548</v>
      </c>
      <c r="C331" t="s">
        <v>4</v>
      </c>
      <c r="D331" t="s">
        <v>3157</v>
      </c>
      <c r="E331" t="s">
        <v>305</v>
      </c>
      <c r="F331" s="4">
        <v>0.05</v>
      </c>
      <c r="G331" s="4">
        <v>0.05</v>
      </c>
      <c r="H331">
        <v>1</v>
      </c>
    </row>
    <row r="332" spans="1:8" x14ac:dyDescent="0.2">
      <c r="A332" t="s">
        <v>1880</v>
      </c>
      <c r="B332" s="44">
        <v>39561</v>
      </c>
      <c r="C332" t="s">
        <v>4</v>
      </c>
      <c r="D332" t="s">
        <v>3158</v>
      </c>
      <c r="H332">
        <v>1</v>
      </c>
    </row>
    <row r="333" spans="1:8" x14ac:dyDescent="0.2">
      <c r="A333" t="s">
        <v>626</v>
      </c>
      <c r="B333" s="44">
        <v>39576</v>
      </c>
      <c r="C333" t="s">
        <v>4</v>
      </c>
      <c r="D333" t="s">
        <v>3157</v>
      </c>
      <c r="E333" t="s">
        <v>294</v>
      </c>
      <c r="F333" s="4">
        <v>0.05</v>
      </c>
      <c r="G333" s="4">
        <v>0.05</v>
      </c>
      <c r="H333">
        <v>1</v>
      </c>
    </row>
    <row r="334" spans="1:8" x14ac:dyDescent="0.2">
      <c r="A334" t="s">
        <v>2004</v>
      </c>
      <c r="B334" s="44">
        <v>39589</v>
      </c>
      <c r="C334" t="s">
        <v>4</v>
      </c>
      <c r="D334" t="s">
        <v>3158</v>
      </c>
      <c r="H334">
        <v>1</v>
      </c>
    </row>
    <row r="335" spans="1:8" x14ac:dyDescent="0.2">
      <c r="A335" t="s">
        <v>614</v>
      </c>
      <c r="B335" s="44">
        <v>39604</v>
      </c>
      <c r="C335" t="s">
        <v>4</v>
      </c>
      <c r="D335" t="s">
        <v>3157</v>
      </c>
      <c r="E335" t="s">
        <v>281</v>
      </c>
      <c r="F335" s="4">
        <v>0.05</v>
      </c>
      <c r="G335" s="4">
        <v>0.05</v>
      </c>
      <c r="H335">
        <v>1</v>
      </c>
    </row>
    <row r="336" spans="1:8" x14ac:dyDescent="0.2">
      <c r="A336" t="s">
        <v>2154</v>
      </c>
      <c r="B336" s="44">
        <v>39617</v>
      </c>
      <c r="C336" t="s">
        <v>4</v>
      </c>
      <c r="D336" t="s">
        <v>3158</v>
      </c>
      <c r="H336">
        <v>1</v>
      </c>
    </row>
    <row r="337" spans="1:8" x14ac:dyDescent="0.2">
      <c r="A337" t="s">
        <v>639</v>
      </c>
      <c r="B337" s="44">
        <v>39639</v>
      </c>
      <c r="C337" t="s">
        <v>4</v>
      </c>
      <c r="D337" t="s">
        <v>3157</v>
      </c>
      <c r="E337" t="s">
        <v>307</v>
      </c>
      <c r="F337" s="4">
        <v>0.05</v>
      </c>
      <c r="G337" s="4">
        <v>0.05</v>
      </c>
      <c r="H337">
        <v>1</v>
      </c>
    </row>
    <row r="338" spans="1:8" x14ac:dyDescent="0.2">
      <c r="A338" t="s">
        <v>2381</v>
      </c>
      <c r="B338" s="44">
        <v>39652</v>
      </c>
      <c r="C338" t="s">
        <v>4</v>
      </c>
      <c r="D338" t="s">
        <v>3158</v>
      </c>
      <c r="H338">
        <v>1</v>
      </c>
    </row>
    <row r="339" spans="1:8" x14ac:dyDescent="0.2">
      <c r="A339" t="s">
        <v>624</v>
      </c>
      <c r="B339" s="44">
        <v>39667</v>
      </c>
      <c r="C339" t="s">
        <v>4</v>
      </c>
      <c r="D339" t="s">
        <v>3157</v>
      </c>
      <c r="E339" t="s">
        <v>291</v>
      </c>
      <c r="F339" s="4">
        <v>0.05</v>
      </c>
      <c r="G339" s="4">
        <v>0.05</v>
      </c>
      <c r="H339">
        <v>1</v>
      </c>
    </row>
    <row r="340" spans="1:8" x14ac:dyDescent="0.2">
      <c r="A340" t="s">
        <v>2434</v>
      </c>
      <c r="B340" s="44">
        <v>39680</v>
      </c>
      <c r="C340" t="s">
        <v>4</v>
      </c>
      <c r="D340" t="s">
        <v>3158</v>
      </c>
      <c r="H340">
        <v>1</v>
      </c>
    </row>
    <row r="341" spans="1:8" x14ac:dyDescent="0.2">
      <c r="A341" t="s">
        <v>609</v>
      </c>
      <c r="B341" s="44">
        <v>39695</v>
      </c>
      <c r="C341" t="s">
        <v>4</v>
      </c>
      <c r="D341" t="s">
        <v>3157</v>
      </c>
      <c r="E341" t="s">
        <v>273</v>
      </c>
      <c r="F341" s="4">
        <v>0.05</v>
      </c>
      <c r="G341" s="4">
        <v>0.05</v>
      </c>
      <c r="H341">
        <v>1</v>
      </c>
    </row>
    <row r="342" spans="1:8" x14ac:dyDescent="0.2">
      <c r="A342" t="s">
        <v>2502</v>
      </c>
      <c r="B342" s="44">
        <v>39708</v>
      </c>
      <c r="C342" t="s">
        <v>4</v>
      </c>
      <c r="D342" t="s">
        <v>3158</v>
      </c>
      <c r="H342">
        <v>1</v>
      </c>
    </row>
    <row r="343" spans="1:8" x14ac:dyDescent="0.2">
      <c r="A343" t="s">
        <v>628</v>
      </c>
      <c r="B343" s="44">
        <v>39729</v>
      </c>
      <c r="C343" t="s">
        <v>4</v>
      </c>
      <c r="D343" t="s">
        <v>3157</v>
      </c>
      <c r="E343" t="s">
        <v>45</v>
      </c>
      <c r="G343" s="4">
        <v>4.4999999999999998E-2</v>
      </c>
      <c r="H343">
        <v>1</v>
      </c>
    </row>
    <row r="344" spans="1:8" x14ac:dyDescent="0.2">
      <c r="A344" t="s">
        <v>2739</v>
      </c>
      <c r="B344" s="44">
        <v>39743</v>
      </c>
      <c r="C344" t="s">
        <v>4</v>
      </c>
      <c r="D344" t="s">
        <v>3158</v>
      </c>
      <c r="H344">
        <v>1</v>
      </c>
    </row>
    <row r="345" spans="1:8" x14ac:dyDescent="0.2">
      <c r="A345" t="s">
        <v>617</v>
      </c>
      <c r="B345" s="44">
        <v>39758</v>
      </c>
      <c r="C345" t="s">
        <v>4</v>
      </c>
      <c r="D345" t="s">
        <v>3157</v>
      </c>
      <c r="E345" t="s">
        <v>288</v>
      </c>
      <c r="F345" s="4">
        <v>0.04</v>
      </c>
      <c r="G345" s="4">
        <v>0.03</v>
      </c>
      <c r="H345">
        <v>1</v>
      </c>
    </row>
    <row r="346" spans="1:8" x14ac:dyDescent="0.2">
      <c r="A346" t="s">
        <v>2910</v>
      </c>
      <c r="B346" s="44">
        <v>39771</v>
      </c>
      <c r="C346" t="s">
        <v>4</v>
      </c>
      <c r="D346" t="s">
        <v>3158</v>
      </c>
      <c r="H346">
        <v>1</v>
      </c>
    </row>
    <row r="347" spans="1:8" x14ac:dyDescent="0.2">
      <c r="A347" t="s">
        <v>610</v>
      </c>
      <c r="B347" s="44">
        <v>39786</v>
      </c>
      <c r="C347" t="s">
        <v>4</v>
      </c>
      <c r="D347" t="s">
        <v>3157</v>
      </c>
      <c r="E347" t="s">
        <v>275</v>
      </c>
      <c r="F347" s="4">
        <v>0.02</v>
      </c>
      <c r="G347" s="4">
        <v>0.02</v>
      </c>
      <c r="H347">
        <v>1</v>
      </c>
    </row>
    <row r="348" spans="1:8" x14ac:dyDescent="0.2">
      <c r="A348" t="s">
        <v>3056</v>
      </c>
      <c r="B348" s="44">
        <v>39799</v>
      </c>
      <c r="C348" t="s">
        <v>4</v>
      </c>
      <c r="D348" t="s">
        <v>3158</v>
      </c>
      <c r="H348">
        <v>1</v>
      </c>
    </row>
    <row r="349" spans="1:8" x14ac:dyDescent="0.2">
      <c r="A349" t="s">
        <v>680</v>
      </c>
      <c r="B349" s="44">
        <v>39821</v>
      </c>
      <c r="C349" t="s">
        <v>4</v>
      </c>
      <c r="D349" t="s">
        <v>3157</v>
      </c>
      <c r="E349" t="s">
        <v>42</v>
      </c>
      <c r="F349" s="4">
        <v>1.4999999999999901E-2</v>
      </c>
      <c r="G349" s="4">
        <v>1.4999999999999999E-2</v>
      </c>
      <c r="H349">
        <v>1</v>
      </c>
    </row>
    <row r="350" spans="1:8" x14ac:dyDescent="0.2">
      <c r="A350" t="s">
        <v>1395</v>
      </c>
      <c r="B350" s="44">
        <v>39834</v>
      </c>
      <c r="C350" t="s">
        <v>4</v>
      </c>
      <c r="D350" t="s">
        <v>3158</v>
      </c>
      <c r="H350">
        <v>1</v>
      </c>
    </row>
    <row r="351" spans="1:8" x14ac:dyDescent="0.2">
      <c r="A351" t="s">
        <v>666</v>
      </c>
      <c r="B351" s="44">
        <v>39849</v>
      </c>
      <c r="C351" t="s">
        <v>4</v>
      </c>
      <c r="D351" t="s">
        <v>3157</v>
      </c>
      <c r="E351" t="s">
        <v>23</v>
      </c>
      <c r="F351" s="4">
        <v>0.01</v>
      </c>
      <c r="G351" s="4">
        <v>0.01</v>
      </c>
      <c r="H351">
        <v>1</v>
      </c>
    </row>
    <row r="352" spans="1:8" x14ac:dyDescent="0.2">
      <c r="A352" t="s">
        <v>1532</v>
      </c>
      <c r="B352" s="44">
        <v>39862</v>
      </c>
      <c r="C352" t="s">
        <v>4</v>
      </c>
      <c r="D352" t="s">
        <v>3158</v>
      </c>
      <c r="H352">
        <v>1</v>
      </c>
    </row>
    <row r="353" spans="1:9" x14ac:dyDescent="0.2">
      <c r="A353" t="s">
        <v>667</v>
      </c>
      <c r="B353" s="44">
        <v>39877</v>
      </c>
      <c r="C353" t="s">
        <v>4</v>
      </c>
      <c r="D353" t="s">
        <v>4519</v>
      </c>
      <c r="E353" t="s">
        <v>27</v>
      </c>
      <c r="F353" s="4">
        <v>5.0000000000000001E-3</v>
      </c>
      <c r="G353" s="4">
        <v>5.0000000000000001E-3</v>
      </c>
      <c r="H353">
        <v>1</v>
      </c>
      <c r="I353" t="s">
        <v>4491</v>
      </c>
    </row>
    <row r="354" spans="1:9" x14ac:dyDescent="0.2">
      <c r="A354" t="s">
        <v>1700</v>
      </c>
      <c r="B354" s="44">
        <v>39890</v>
      </c>
      <c r="C354" t="s">
        <v>4</v>
      </c>
      <c r="D354" t="s">
        <v>3158</v>
      </c>
      <c r="H354">
        <v>1</v>
      </c>
    </row>
    <row r="355" spans="1:9" x14ac:dyDescent="0.2">
      <c r="A355" t="s">
        <v>687</v>
      </c>
      <c r="B355" s="44">
        <v>39912</v>
      </c>
      <c r="C355" t="s">
        <v>4</v>
      </c>
      <c r="D355" t="s">
        <v>3157</v>
      </c>
      <c r="E355" t="s">
        <v>47</v>
      </c>
      <c r="F355" s="4">
        <v>5.0000000000000001E-3</v>
      </c>
      <c r="G355" s="4">
        <v>5.0000000000000001E-3</v>
      </c>
      <c r="H355">
        <v>1</v>
      </c>
    </row>
    <row r="356" spans="1:9" x14ac:dyDescent="0.2">
      <c r="A356" t="s">
        <v>1868</v>
      </c>
      <c r="B356" s="44">
        <v>39925</v>
      </c>
      <c r="C356" t="s">
        <v>4</v>
      </c>
      <c r="D356" t="s">
        <v>3158</v>
      </c>
      <c r="H356">
        <v>1</v>
      </c>
    </row>
    <row r="357" spans="1:9" x14ac:dyDescent="0.2">
      <c r="A357" t="s">
        <v>678</v>
      </c>
      <c r="B357" s="44">
        <v>39940</v>
      </c>
      <c r="C357" t="s">
        <v>4</v>
      </c>
      <c r="D357" t="s">
        <v>3157</v>
      </c>
      <c r="E357" t="s">
        <v>39</v>
      </c>
      <c r="F357" s="4">
        <v>5.0000000000000001E-3</v>
      </c>
      <c r="G357" s="4">
        <v>5.0000000000000001E-3</v>
      </c>
      <c r="H357">
        <v>1</v>
      </c>
    </row>
    <row r="358" spans="1:9" x14ac:dyDescent="0.2">
      <c r="A358" t="s">
        <v>1989</v>
      </c>
      <c r="B358" s="44">
        <v>39953</v>
      </c>
      <c r="C358" t="s">
        <v>4</v>
      </c>
      <c r="D358" t="s">
        <v>3158</v>
      </c>
      <c r="H358">
        <v>1</v>
      </c>
    </row>
    <row r="359" spans="1:9" x14ac:dyDescent="0.2">
      <c r="A359" t="s">
        <v>665</v>
      </c>
      <c r="B359" s="44">
        <v>39968</v>
      </c>
      <c r="C359" t="s">
        <v>4</v>
      </c>
      <c r="D359" t="s">
        <v>3157</v>
      </c>
      <c r="E359" t="s">
        <v>20</v>
      </c>
      <c r="F359" s="4">
        <v>5.0000000000000001E-3</v>
      </c>
      <c r="G359" s="4">
        <v>5.0000000000000001E-3</v>
      </c>
      <c r="H359">
        <v>1</v>
      </c>
    </row>
    <row r="360" spans="1:9" x14ac:dyDescent="0.2">
      <c r="A360" t="s">
        <v>2133</v>
      </c>
      <c r="B360" s="44">
        <v>39981</v>
      </c>
      <c r="C360" t="s">
        <v>4</v>
      </c>
      <c r="D360" t="s">
        <v>3158</v>
      </c>
      <c r="H360">
        <v>1</v>
      </c>
    </row>
    <row r="361" spans="1:9" x14ac:dyDescent="0.2">
      <c r="A361" t="s">
        <v>689</v>
      </c>
      <c r="B361" s="44">
        <v>40003</v>
      </c>
      <c r="C361" t="s">
        <v>4</v>
      </c>
      <c r="D361" t="s">
        <v>3157</v>
      </c>
      <c r="E361" t="s">
        <v>49</v>
      </c>
      <c r="F361" s="4">
        <v>5.0000000000000001E-3</v>
      </c>
      <c r="G361" s="4">
        <v>5.0000000000000001E-3</v>
      </c>
      <c r="H361">
        <v>1</v>
      </c>
    </row>
    <row r="362" spans="1:9" x14ac:dyDescent="0.2">
      <c r="A362" t="s">
        <v>2378</v>
      </c>
      <c r="B362" s="44">
        <v>40016</v>
      </c>
      <c r="C362" t="s">
        <v>4</v>
      </c>
      <c r="D362" t="s">
        <v>3158</v>
      </c>
      <c r="H362">
        <v>1</v>
      </c>
    </row>
    <row r="363" spans="1:9" x14ac:dyDescent="0.2">
      <c r="A363" t="s">
        <v>671</v>
      </c>
      <c r="B363" s="44">
        <v>40031</v>
      </c>
      <c r="C363" t="s">
        <v>4</v>
      </c>
      <c r="D363" t="s">
        <v>3157</v>
      </c>
      <c r="E363" t="s">
        <v>36</v>
      </c>
      <c r="F363" s="4">
        <v>5.0000000000000001E-3</v>
      </c>
      <c r="G363" s="4">
        <v>5.0000000000000001E-3</v>
      </c>
      <c r="H363">
        <v>1</v>
      </c>
    </row>
    <row r="364" spans="1:9" x14ac:dyDescent="0.2">
      <c r="A364" t="s">
        <v>2432</v>
      </c>
      <c r="B364" s="44">
        <v>40044</v>
      </c>
      <c r="C364" t="s">
        <v>4</v>
      </c>
      <c r="D364" t="s">
        <v>3158</v>
      </c>
      <c r="H364">
        <v>1</v>
      </c>
    </row>
    <row r="365" spans="1:9" x14ac:dyDescent="0.2">
      <c r="A365" t="s">
        <v>691</v>
      </c>
      <c r="B365" s="44">
        <v>40066</v>
      </c>
      <c r="C365" t="s">
        <v>4</v>
      </c>
      <c r="D365" t="s">
        <v>3157</v>
      </c>
      <c r="E365" t="s">
        <v>54</v>
      </c>
      <c r="F365" s="4">
        <v>5.0000000000000001E-3</v>
      </c>
      <c r="G365" s="4">
        <v>5.0000000000000001E-3</v>
      </c>
      <c r="H365">
        <v>1</v>
      </c>
    </row>
    <row r="366" spans="1:9" x14ac:dyDescent="0.2">
      <c r="A366" t="s">
        <v>2568</v>
      </c>
      <c r="B366" s="44">
        <v>40079</v>
      </c>
      <c r="C366" t="s">
        <v>4</v>
      </c>
      <c r="D366" t="s">
        <v>3158</v>
      </c>
      <c r="H366">
        <v>1</v>
      </c>
    </row>
    <row r="367" spans="1:9" x14ac:dyDescent="0.2">
      <c r="A367" t="s">
        <v>686</v>
      </c>
      <c r="B367" s="44">
        <v>40094</v>
      </c>
      <c r="C367" t="s">
        <v>4</v>
      </c>
      <c r="D367" t="s">
        <v>3157</v>
      </c>
      <c r="E367" t="s">
        <v>45</v>
      </c>
      <c r="F367" s="4">
        <v>5.0000000000000001E-3</v>
      </c>
      <c r="G367" s="4">
        <v>5.0000000000000001E-3</v>
      </c>
      <c r="H367">
        <v>1</v>
      </c>
    </row>
    <row r="368" spans="1:9" x14ac:dyDescent="0.2">
      <c r="A368" t="s">
        <v>2732</v>
      </c>
      <c r="B368" s="44">
        <v>40107</v>
      </c>
      <c r="C368" t="s">
        <v>4</v>
      </c>
      <c r="D368" t="s">
        <v>3158</v>
      </c>
      <c r="H368">
        <v>1</v>
      </c>
    </row>
    <row r="369" spans="1:8" x14ac:dyDescent="0.2">
      <c r="A369" t="s">
        <v>669</v>
      </c>
      <c r="B369" s="44">
        <v>40122</v>
      </c>
      <c r="C369" t="s">
        <v>4</v>
      </c>
      <c r="D369" t="s">
        <v>3157</v>
      </c>
      <c r="E369" t="s">
        <v>31</v>
      </c>
      <c r="F369" s="4">
        <v>5.0000000000000001E-3</v>
      </c>
      <c r="G369" s="4">
        <v>5.0000000000000001E-3</v>
      </c>
      <c r="H369">
        <v>1</v>
      </c>
    </row>
    <row r="370" spans="1:8" x14ac:dyDescent="0.2">
      <c r="A370" t="s">
        <v>2898</v>
      </c>
      <c r="B370" s="44">
        <v>40135</v>
      </c>
      <c r="C370" t="s">
        <v>4</v>
      </c>
      <c r="D370" t="s">
        <v>3158</v>
      </c>
      <c r="H370">
        <v>1</v>
      </c>
    </row>
    <row r="371" spans="1:8" x14ac:dyDescent="0.2">
      <c r="A371" t="s">
        <v>693</v>
      </c>
      <c r="B371" s="44">
        <v>40157</v>
      </c>
      <c r="C371" t="s">
        <v>4</v>
      </c>
      <c r="D371" t="s">
        <v>3157</v>
      </c>
      <c r="E371" t="s">
        <v>56</v>
      </c>
      <c r="F371" s="4">
        <v>5.0000000000000001E-3</v>
      </c>
      <c r="G371" s="4">
        <v>5.0000000000000001E-3</v>
      </c>
      <c r="H371">
        <v>1</v>
      </c>
    </row>
    <row r="372" spans="1:8" x14ac:dyDescent="0.2">
      <c r="A372" t="s">
        <v>3099</v>
      </c>
      <c r="B372" s="44">
        <v>40170</v>
      </c>
      <c r="C372" t="s">
        <v>4</v>
      </c>
      <c r="D372" t="s">
        <v>3158</v>
      </c>
      <c r="H372">
        <v>1</v>
      </c>
    </row>
    <row r="373" spans="1:8" x14ac:dyDescent="0.2">
      <c r="A373" t="s">
        <v>717</v>
      </c>
      <c r="B373" s="44">
        <v>40185</v>
      </c>
      <c r="C373" t="s">
        <v>4</v>
      </c>
      <c r="D373" t="s">
        <v>3157</v>
      </c>
      <c r="E373" t="s">
        <v>85</v>
      </c>
      <c r="F373" s="4">
        <v>5.0000000000000001E-3</v>
      </c>
      <c r="G373" s="4">
        <v>5.0000000000000001E-3</v>
      </c>
      <c r="H373">
        <v>1</v>
      </c>
    </row>
    <row r="374" spans="1:8" x14ac:dyDescent="0.2">
      <c r="A374" t="s">
        <v>1388</v>
      </c>
      <c r="B374" s="44">
        <v>40198</v>
      </c>
      <c r="C374" t="s">
        <v>4</v>
      </c>
      <c r="D374" t="s">
        <v>3158</v>
      </c>
      <c r="H374">
        <v>1</v>
      </c>
    </row>
    <row r="375" spans="1:8" x14ac:dyDescent="0.2">
      <c r="A375" t="s">
        <v>711</v>
      </c>
      <c r="B375" s="44">
        <v>40213</v>
      </c>
      <c r="C375" t="s">
        <v>4</v>
      </c>
      <c r="D375" t="s">
        <v>3157</v>
      </c>
      <c r="E375" t="s">
        <v>74</v>
      </c>
      <c r="F375" s="4">
        <v>5.0000000000000001E-3</v>
      </c>
      <c r="G375" s="4">
        <v>5.0000000000000001E-3</v>
      </c>
      <c r="H375">
        <v>1</v>
      </c>
    </row>
    <row r="376" spans="1:8" x14ac:dyDescent="0.2">
      <c r="A376" t="s">
        <v>1523</v>
      </c>
      <c r="B376" s="44">
        <v>40226</v>
      </c>
      <c r="C376" t="s">
        <v>4</v>
      </c>
      <c r="D376" t="s">
        <v>3158</v>
      </c>
      <c r="H376">
        <v>1</v>
      </c>
    </row>
    <row r="377" spans="1:8" x14ac:dyDescent="0.2">
      <c r="A377" t="s">
        <v>712</v>
      </c>
      <c r="B377" s="44">
        <v>40241</v>
      </c>
      <c r="C377" t="s">
        <v>4</v>
      </c>
      <c r="D377" t="s">
        <v>3157</v>
      </c>
      <c r="E377" t="s">
        <v>324</v>
      </c>
      <c r="F377" s="4">
        <v>5.0000000000000001E-3</v>
      </c>
      <c r="G377" s="4">
        <v>5.0000000000000001E-3</v>
      </c>
      <c r="H377">
        <v>1</v>
      </c>
    </row>
    <row r="378" spans="1:8" x14ac:dyDescent="0.2">
      <c r="A378" t="s">
        <v>1692</v>
      </c>
      <c r="B378" s="44">
        <v>40254</v>
      </c>
      <c r="C378" t="s">
        <v>4</v>
      </c>
      <c r="D378" t="s">
        <v>3158</v>
      </c>
      <c r="H378">
        <v>1</v>
      </c>
    </row>
    <row r="379" spans="1:8" x14ac:dyDescent="0.2">
      <c r="A379" t="s">
        <v>721</v>
      </c>
      <c r="B379" s="44">
        <v>40276</v>
      </c>
      <c r="C379" t="s">
        <v>4</v>
      </c>
      <c r="D379" t="s">
        <v>3157</v>
      </c>
      <c r="E379" t="s">
        <v>93</v>
      </c>
      <c r="F379" s="4">
        <v>5.0000000000000001E-3</v>
      </c>
      <c r="G379" s="4">
        <v>5.0000000000000001E-3</v>
      </c>
      <c r="H379">
        <v>1</v>
      </c>
    </row>
    <row r="380" spans="1:8" x14ac:dyDescent="0.2">
      <c r="A380" t="s">
        <v>1864</v>
      </c>
      <c r="B380" s="44">
        <v>40289</v>
      </c>
      <c r="C380" t="s">
        <v>4</v>
      </c>
      <c r="D380" t="s">
        <v>3158</v>
      </c>
      <c r="H380">
        <v>1</v>
      </c>
    </row>
    <row r="381" spans="1:8" x14ac:dyDescent="0.2">
      <c r="A381" t="s">
        <v>731</v>
      </c>
      <c r="B381" s="44">
        <v>40308</v>
      </c>
      <c r="C381" t="s">
        <v>4</v>
      </c>
      <c r="D381" t="s">
        <v>3157</v>
      </c>
      <c r="E381" t="s">
        <v>217</v>
      </c>
      <c r="F381" s="4">
        <v>5.0000000000000001E-3</v>
      </c>
      <c r="G381" s="4">
        <v>5.0000000000000001E-3</v>
      </c>
      <c r="H381">
        <v>1</v>
      </c>
    </row>
    <row r="382" spans="1:8" x14ac:dyDescent="0.2">
      <c r="A382" t="s">
        <v>1980</v>
      </c>
      <c r="B382" s="44">
        <v>40317</v>
      </c>
      <c r="C382" t="s">
        <v>4</v>
      </c>
      <c r="D382" t="s">
        <v>3158</v>
      </c>
      <c r="H382">
        <v>1</v>
      </c>
    </row>
    <row r="383" spans="1:8" x14ac:dyDescent="0.2">
      <c r="A383" t="s">
        <v>732</v>
      </c>
      <c r="B383" s="44">
        <v>40339</v>
      </c>
      <c r="C383" t="s">
        <v>4</v>
      </c>
      <c r="D383" t="s">
        <v>3157</v>
      </c>
      <c r="E383" t="s">
        <v>103</v>
      </c>
      <c r="F383" s="4">
        <v>5.0000000000000001E-3</v>
      </c>
      <c r="G383" s="4">
        <v>5.0000000000000001E-3</v>
      </c>
      <c r="H383">
        <v>1</v>
      </c>
    </row>
    <row r="384" spans="1:8" x14ac:dyDescent="0.2">
      <c r="A384" t="s">
        <v>2230</v>
      </c>
      <c r="B384" s="44">
        <v>40352</v>
      </c>
      <c r="C384" t="s">
        <v>4</v>
      </c>
      <c r="D384" t="s">
        <v>3158</v>
      </c>
      <c r="H384">
        <v>1</v>
      </c>
    </row>
    <row r="385" spans="1:8" x14ac:dyDescent="0.2">
      <c r="A385" t="s">
        <v>724</v>
      </c>
      <c r="B385" s="44">
        <v>40367</v>
      </c>
      <c r="C385" t="s">
        <v>4</v>
      </c>
      <c r="D385" t="s">
        <v>3157</v>
      </c>
      <c r="E385" t="s">
        <v>95</v>
      </c>
      <c r="F385" s="4">
        <v>5.0000000000000001E-3</v>
      </c>
      <c r="G385" s="4">
        <v>5.0000000000000001E-3</v>
      </c>
      <c r="H385">
        <v>1</v>
      </c>
    </row>
    <row r="386" spans="1:8" x14ac:dyDescent="0.2">
      <c r="A386" t="s">
        <v>2375</v>
      </c>
      <c r="B386" s="44">
        <v>40380</v>
      </c>
      <c r="C386" t="s">
        <v>4</v>
      </c>
      <c r="D386" t="s">
        <v>3158</v>
      </c>
      <c r="H386">
        <v>1</v>
      </c>
    </row>
    <row r="387" spans="1:8" x14ac:dyDescent="0.2">
      <c r="A387" t="s">
        <v>716</v>
      </c>
      <c r="B387" s="44">
        <v>40395</v>
      </c>
      <c r="C387" t="s">
        <v>4</v>
      </c>
      <c r="D387" t="s">
        <v>3157</v>
      </c>
      <c r="E387" t="s">
        <v>80</v>
      </c>
      <c r="F387" s="4">
        <v>5.0000000000000001E-3</v>
      </c>
      <c r="G387" s="4">
        <v>5.0000000000000001E-3</v>
      </c>
      <c r="H387">
        <v>1</v>
      </c>
    </row>
    <row r="388" spans="1:8" x14ac:dyDescent="0.2">
      <c r="A388" t="s">
        <v>2431</v>
      </c>
      <c r="B388" s="44">
        <v>40408</v>
      </c>
      <c r="C388" t="s">
        <v>4</v>
      </c>
      <c r="D388" t="s">
        <v>3158</v>
      </c>
      <c r="H388">
        <v>1</v>
      </c>
    </row>
    <row r="389" spans="1:8" x14ac:dyDescent="0.2">
      <c r="A389" t="s">
        <v>726</v>
      </c>
      <c r="B389" s="44">
        <v>40430</v>
      </c>
      <c r="C389" t="s">
        <v>4</v>
      </c>
      <c r="D389" t="s">
        <v>3157</v>
      </c>
      <c r="E389" t="s">
        <v>354</v>
      </c>
      <c r="F389" s="4">
        <v>5.0000000000000001E-3</v>
      </c>
      <c r="G389" s="4">
        <v>5.0000000000000001E-3</v>
      </c>
      <c r="H389">
        <v>1</v>
      </c>
    </row>
    <row r="390" spans="1:8" x14ac:dyDescent="0.2">
      <c r="A390" t="s">
        <v>2561</v>
      </c>
      <c r="B390" s="44">
        <v>40443</v>
      </c>
      <c r="C390" t="s">
        <v>4</v>
      </c>
      <c r="D390" t="s">
        <v>3158</v>
      </c>
      <c r="H390">
        <v>1</v>
      </c>
    </row>
    <row r="391" spans="1:8" x14ac:dyDescent="0.2">
      <c r="A391" t="s">
        <v>718</v>
      </c>
      <c r="B391" s="44">
        <v>40458</v>
      </c>
      <c r="C391" t="s">
        <v>4</v>
      </c>
      <c r="D391" t="s">
        <v>3157</v>
      </c>
      <c r="E391" t="s">
        <v>90</v>
      </c>
      <c r="F391" s="4">
        <v>5.0000000000000001E-3</v>
      </c>
      <c r="G391" s="4">
        <v>5.0000000000000001E-3</v>
      </c>
      <c r="H391">
        <v>1</v>
      </c>
    </row>
    <row r="392" spans="1:8" x14ac:dyDescent="0.2">
      <c r="A392" t="s">
        <v>2723</v>
      </c>
      <c r="B392" s="44">
        <v>40471</v>
      </c>
      <c r="C392" t="s">
        <v>4</v>
      </c>
      <c r="D392" t="s">
        <v>3158</v>
      </c>
      <c r="H392">
        <v>1</v>
      </c>
    </row>
    <row r="393" spans="1:8" x14ac:dyDescent="0.2">
      <c r="A393" t="s">
        <v>714</v>
      </c>
      <c r="B393" s="44">
        <v>40486</v>
      </c>
      <c r="C393" t="s">
        <v>4</v>
      </c>
      <c r="D393" t="s">
        <v>3157</v>
      </c>
      <c r="E393" t="s">
        <v>77</v>
      </c>
      <c r="F393" s="4">
        <v>5.0000000000000001E-3</v>
      </c>
      <c r="G393" s="4">
        <v>5.0000000000000001E-3</v>
      </c>
      <c r="H393">
        <v>1</v>
      </c>
    </row>
    <row r="394" spans="1:8" x14ac:dyDescent="0.2">
      <c r="A394" t="s">
        <v>2890</v>
      </c>
      <c r="B394" s="44">
        <v>40499</v>
      </c>
      <c r="C394" t="s">
        <v>4</v>
      </c>
      <c r="D394" t="s">
        <v>3158</v>
      </c>
      <c r="H394">
        <v>1</v>
      </c>
    </row>
    <row r="395" spans="1:8" x14ac:dyDescent="0.2">
      <c r="A395" t="s">
        <v>728</v>
      </c>
      <c r="B395" s="44">
        <v>40521</v>
      </c>
      <c r="C395" t="s">
        <v>4</v>
      </c>
      <c r="D395" t="s">
        <v>3157</v>
      </c>
      <c r="E395" t="s">
        <v>101</v>
      </c>
      <c r="F395" s="4">
        <v>5.0000000000000001E-3</v>
      </c>
      <c r="G395" s="4">
        <v>5.0000000000000001E-3</v>
      </c>
      <c r="H395">
        <v>1</v>
      </c>
    </row>
    <row r="396" spans="1:8" x14ac:dyDescent="0.2">
      <c r="A396" t="s">
        <v>3097</v>
      </c>
      <c r="B396" s="44">
        <v>40534</v>
      </c>
      <c r="C396" t="s">
        <v>4</v>
      </c>
      <c r="D396" t="s">
        <v>3158</v>
      </c>
      <c r="H396">
        <v>1</v>
      </c>
    </row>
    <row r="397" spans="1:8" x14ac:dyDescent="0.2">
      <c r="A397" t="s">
        <v>1343</v>
      </c>
      <c r="B397" s="44">
        <v>40556</v>
      </c>
      <c r="C397" t="s">
        <v>4</v>
      </c>
      <c r="D397" t="s">
        <v>3157</v>
      </c>
      <c r="E397" t="s">
        <v>1341</v>
      </c>
      <c r="F397" s="4">
        <v>5.0000000000000001E-3</v>
      </c>
      <c r="G397" s="4">
        <v>5.0000000000000001E-3</v>
      </c>
      <c r="H397">
        <v>1</v>
      </c>
    </row>
    <row r="398" spans="1:8" x14ac:dyDescent="0.2">
      <c r="A398" t="s">
        <v>1460</v>
      </c>
      <c r="B398" s="44">
        <v>40569</v>
      </c>
      <c r="C398" t="s">
        <v>4</v>
      </c>
      <c r="D398" t="s">
        <v>3158</v>
      </c>
      <c r="H398">
        <v>1</v>
      </c>
    </row>
    <row r="399" spans="1:8" x14ac:dyDescent="0.2">
      <c r="A399" t="s">
        <v>784</v>
      </c>
      <c r="B399" s="44">
        <v>40584</v>
      </c>
      <c r="C399" t="s">
        <v>4</v>
      </c>
      <c r="D399" t="s">
        <v>3157</v>
      </c>
      <c r="E399" t="s">
        <v>157</v>
      </c>
      <c r="F399" s="4">
        <v>5.0000000000000001E-3</v>
      </c>
      <c r="G399" s="4">
        <v>5.0000000000000001E-3</v>
      </c>
      <c r="H399">
        <v>1</v>
      </c>
    </row>
    <row r="400" spans="1:8" x14ac:dyDescent="0.2">
      <c r="A400" t="s">
        <v>1588</v>
      </c>
      <c r="B400" s="44">
        <v>40597</v>
      </c>
      <c r="C400" t="s">
        <v>4</v>
      </c>
      <c r="D400" t="s">
        <v>3158</v>
      </c>
      <c r="H400">
        <v>1</v>
      </c>
    </row>
    <row r="401" spans="1:9" x14ac:dyDescent="0.2">
      <c r="A401" t="s">
        <v>785</v>
      </c>
      <c r="B401" s="44">
        <v>40612</v>
      </c>
      <c r="C401" t="s">
        <v>4</v>
      </c>
      <c r="D401" t="s">
        <v>3157</v>
      </c>
      <c r="E401" t="s">
        <v>408</v>
      </c>
      <c r="F401" s="4">
        <v>5.0000000000000001E-3</v>
      </c>
      <c r="G401" s="4">
        <v>5.0000000000000001E-3</v>
      </c>
      <c r="H401">
        <v>1</v>
      </c>
    </row>
    <row r="402" spans="1:9" x14ac:dyDescent="0.2">
      <c r="A402" t="s">
        <v>1748</v>
      </c>
      <c r="B402" s="44">
        <v>40625</v>
      </c>
      <c r="C402" t="s">
        <v>4</v>
      </c>
      <c r="D402" t="s">
        <v>3158</v>
      </c>
      <c r="H402">
        <v>1</v>
      </c>
    </row>
    <row r="403" spans="1:9" x14ac:dyDescent="0.2">
      <c r="A403" t="s">
        <v>766</v>
      </c>
      <c r="B403" s="44">
        <v>40640</v>
      </c>
      <c r="C403" t="s">
        <v>4</v>
      </c>
      <c r="D403" t="s">
        <v>3157</v>
      </c>
      <c r="E403" t="s">
        <v>383</v>
      </c>
      <c r="F403" s="4">
        <v>5.0000000000000001E-3</v>
      </c>
      <c r="G403" s="4">
        <v>5.0000000000000001E-3</v>
      </c>
      <c r="H403">
        <v>1</v>
      </c>
    </row>
    <row r="404" spans="1:9" x14ac:dyDescent="0.2">
      <c r="A404" t="s">
        <v>1853</v>
      </c>
      <c r="B404" s="44">
        <v>40653</v>
      </c>
      <c r="C404" t="s">
        <v>4</v>
      </c>
      <c r="D404" t="s">
        <v>3158</v>
      </c>
      <c r="H404">
        <v>1</v>
      </c>
    </row>
    <row r="405" spans="1:9" x14ac:dyDescent="0.2">
      <c r="A405" t="s">
        <v>757</v>
      </c>
      <c r="B405" s="44">
        <v>40668</v>
      </c>
      <c r="C405" t="s">
        <v>4</v>
      </c>
      <c r="D405" t="s">
        <v>3157</v>
      </c>
      <c r="E405" t="s">
        <v>758</v>
      </c>
      <c r="F405" s="4">
        <v>5.0000000000000001E-3</v>
      </c>
      <c r="G405" s="4">
        <v>5.0000000000000001E-3</v>
      </c>
      <c r="H405">
        <v>1</v>
      </c>
    </row>
    <row r="406" spans="1:9" x14ac:dyDescent="0.2">
      <c r="A406" t="s">
        <v>1965</v>
      </c>
      <c r="B406" s="44">
        <v>40681</v>
      </c>
      <c r="C406" t="s">
        <v>4</v>
      </c>
      <c r="D406" t="s">
        <v>3158</v>
      </c>
      <c r="H406">
        <v>1</v>
      </c>
    </row>
    <row r="407" spans="1:9" x14ac:dyDescent="0.2">
      <c r="A407" t="s">
        <v>783</v>
      </c>
      <c r="B407" s="44">
        <v>40703</v>
      </c>
      <c r="C407" t="s">
        <v>4</v>
      </c>
      <c r="D407" t="s">
        <v>3157</v>
      </c>
      <c r="E407" t="s">
        <v>401</v>
      </c>
      <c r="F407" s="4">
        <v>5.0000000000000001E-3</v>
      </c>
      <c r="G407" s="4">
        <v>5.0000000000000001E-3</v>
      </c>
      <c r="H407">
        <v>1</v>
      </c>
    </row>
    <row r="408" spans="1:9" x14ac:dyDescent="0.2">
      <c r="A408" t="s">
        <v>2217</v>
      </c>
      <c r="B408" s="44">
        <v>40716</v>
      </c>
      <c r="C408" t="s">
        <v>4</v>
      </c>
      <c r="D408" t="s">
        <v>3158</v>
      </c>
      <c r="H408">
        <v>1</v>
      </c>
    </row>
    <row r="409" spans="1:9" x14ac:dyDescent="0.2">
      <c r="A409" t="s">
        <v>769</v>
      </c>
      <c r="B409" s="44">
        <v>40731</v>
      </c>
      <c r="C409" t="s">
        <v>4</v>
      </c>
      <c r="D409" t="s">
        <v>3157</v>
      </c>
      <c r="E409" t="s">
        <v>385</v>
      </c>
      <c r="F409" s="4">
        <v>5.0000000000000001E-3</v>
      </c>
      <c r="G409" s="4">
        <v>5.0000000000000001E-3</v>
      </c>
      <c r="H409">
        <v>1</v>
      </c>
    </row>
    <row r="410" spans="1:9" x14ac:dyDescent="0.2">
      <c r="A410" t="s">
        <v>2371</v>
      </c>
      <c r="B410" s="44">
        <v>40744</v>
      </c>
      <c r="C410" t="s">
        <v>4</v>
      </c>
      <c r="D410" t="s">
        <v>3158</v>
      </c>
      <c r="H410">
        <v>1</v>
      </c>
    </row>
    <row r="411" spans="1:9" x14ac:dyDescent="0.2">
      <c r="A411" t="s">
        <v>755</v>
      </c>
      <c r="B411" s="44">
        <v>40759</v>
      </c>
      <c r="C411" t="s">
        <v>4</v>
      </c>
      <c r="D411" t="s">
        <v>3157</v>
      </c>
      <c r="E411" t="s">
        <v>373</v>
      </c>
      <c r="F411" s="4">
        <v>5.0000000000000001E-3</v>
      </c>
      <c r="G411" s="4">
        <v>5.0000000000000001E-3</v>
      </c>
      <c r="H411">
        <v>1</v>
      </c>
    </row>
    <row r="412" spans="1:9" x14ac:dyDescent="0.2">
      <c r="A412" t="s">
        <v>2428</v>
      </c>
      <c r="B412" s="44">
        <v>40772</v>
      </c>
      <c r="C412" t="s">
        <v>4</v>
      </c>
      <c r="D412" t="s">
        <v>3158</v>
      </c>
      <c r="H412">
        <v>1</v>
      </c>
    </row>
    <row r="413" spans="1:9" x14ac:dyDescent="0.2">
      <c r="A413" t="s">
        <v>775</v>
      </c>
      <c r="B413" s="44">
        <v>40794</v>
      </c>
      <c r="C413" t="s">
        <v>4</v>
      </c>
      <c r="D413" t="s">
        <v>3157</v>
      </c>
      <c r="E413" t="s">
        <v>97</v>
      </c>
      <c r="F413" s="4">
        <v>5.0000000000000001E-3</v>
      </c>
      <c r="G413" s="4">
        <v>5.0000000000000001E-3</v>
      </c>
      <c r="H413">
        <v>1</v>
      </c>
    </row>
    <row r="414" spans="1:9" x14ac:dyDescent="0.2">
      <c r="A414" t="s">
        <v>2553</v>
      </c>
      <c r="B414" s="44">
        <v>40807</v>
      </c>
      <c r="C414" t="s">
        <v>4</v>
      </c>
      <c r="D414" t="s">
        <v>3158</v>
      </c>
      <c r="H414">
        <v>1</v>
      </c>
    </row>
    <row r="415" spans="1:9" x14ac:dyDescent="0.2">
      <c r="A415" t="s">
        <v>764</v>
      </c>
      <c r="B415" s="44">
        <v>40822</v>
      </c>
      <c r="C415" t="s">
        <v>4</v>
      </c>
      <c r="D415" t="s">
        <v>4518</v>
      </c>
      <c r="E415" t="s">
        <v>381</v>
      </c>
      <c r="F415" s="4">
        <v>5.0000000000000001E-3</v>
      </c>
      <c r="G415" s="4">
        <v>5.0000000000000001E-3</v>
      </c>
      <c r="H415">
        <v>1</v>
      </c>
      <c r="I415" t="s">
        <v>4491</v>
      </c>
    </row>
    <row r="416" spans="1:9" x14ac:dyDescent="0.2">
      <c r="A416" t="s">
        <v>2708</v>
      </c>
      <c r="B416" s="44">
        <v>40835</v>
      </c>
      <c r="C416" t="s">
        <v>4</v>
      </c>
      <c r="D416" t="s">
        <v>3158</v>
      </c>
      <c r="H416">
        <v>1</v>
      </c>
    </row>
    <row r="417" spans="1:8" x14ac:dyDescent="0.2">
      <c r="A417" t="s">
        <v>789</v>
      </c>
      <c r="B417" s="44">
        <v>40857</v>
      </c>
      <c r="C417" t="s">
        <v>4</v>
      </c>
      <c r="D417" t="s">
        <v>3157</v>
      </c>
      <c r="E417" t="s">
        <v>413</v>
      </c>
      <c r="F417" s="4">
        <v>5.0000000000000001E-3</v>
      </c>
      <c r="G417" s="4">
        <v>5.0000000000000001E-3</v>
      </c>
      <c r="H417">
        <v>1</v>
      </c>
    </row>
    <row r="418" spans="1:8" x14ac:dyDescent="0.2">
      <c r="A418" t="s">
        <v>2964</v>
      </c>
      <c r="B418" s="44">
        <v>40870</v>
      </c>
      <c r="C418" t="s">
        <v>4</v>
      </c>
      <c r="D418" t="s">
        <v>3158</v>
      </c>
      <c r="H418">
        <v>1</v>
      </c>
    </row>
    <row r="419" spans="1:8" x14ac:dyDescent="0.2">
      <c r="A419" t="s">
        <v>780</v>
      </c>
      <c r="B419" s="44">
        <v>40885</v>
      </c>
      <c r="C419" t="s">
        <v>4</v>
      </c>
      <c r="D419" t="s">
        <v>3157</v>
      </c>
      <c r="E419" t="s">
        <v>395</v>
      </c>
      <c r="F419" s="4">
        <v>5.0000000000000001E-3</v>
      </c>
      <c r="G419" s="4">
        <v>5.0000000000000001E-3</v>
      </c>
      <c r="H419">
        <v>1</v>
      </c>
    </row>
    <row r="420" spans="1:8" x14ac:dyDescent="0.2">
      <c r="A420" t="s">
        <v>3094</v>
      </c>
      <c r="B420" s="44">
        <v>40898</v>
      </c>
      <c r="C420" t="s">
        <v>4</v>
      </c>
      <c r="D420" t="s">
        <v>3158</v>
      </c>
      <c r="H420">
        <v>1</v>
      </c>
    </row>
    <row r="421" spans="1:8" x14ac:dyDescent="0.2">
      <c r="A421" t="s">
        <v>843</v>
      </c>
      <c r="B421" s="44">
        <v>40920</v>
      </c>
      <c r="C421" t="s">
        <v>4</v>
      </c>
      <c r="D421" t="s">
        <v>3157</v>
      </c>
      <c r="E421" t="s">
        <v>495</v>
      </c>
      <c r="F421" s="4">
        <v>5.0000000000000001E-3</v>
      </c>
      <c r="G421" s="4">
        <v>5.0000000000000001E-3</v>
      </c>
      <c r="H421">
        <v>1</v>
      </c>
    </row>
    <row r="422" spans="1:8" x14ac:dyDescent="0.2">
      <c r="A422" t="s">
        <v>1454</v>
      </c>
      <c r="B422" s="44">
        <v>40933</v>
      </c>
      <c r="C422" t="s">
        <v>4</v>
      </c>
      <c r="D422" t="s">
        <v>3158</v>
      </c>
      <c r="H422">
        <v>1</v>
      </c>
    </row>
    <row r="423" spans="1:8" x14ac:dyDescent="0.2">
      <c r="A423" t="s">
        <v>824</v>
      </c>
      <c r="B423" s="44">
        <v>40948</v>
      </c>
      <c r="C423" t="s">
        <v>4</v>
      </c>
      <c r="D423" t="s">
        <v>3157</v>
      </c>
      <c r="E423" t="s">
        <v>476</v>
      </c>
      <c r="F423" s="4">
        <v>5.0000000000000001E-3</v>
      </c>
      <c r="G423" s="4">
        <v>5.0000000000000001E-3</v>
      </c>
      <c r="H423">
        <v>1</v>
      </c>
    </row>
    <row r="424" spans="1:8" x14ac:dyDescent="0.2">
      <c r="A424" t="s">
        <v>1578</v>
      </c>
      <c r="B424" s="44">
        <v>40961</v>
      </c>
      <c r="C424" t="s">
        <v>4</v>
      </c>
      <c r="D424" t="s">
        <v>3158</v>
      </c>
      <c r="H424">
        <v>1</v>
      </c>
    </row>
    <row r="425" spans="1:8" x14ac:dyDescent="0.2">
      <c r="A425" t="s">
        <v>816</v>
      </c>
      <c r="B425" s="44">
        <v>40976</v>
      </c>
      <c r="C425" t="s">
        <v>4</v>
      </c>
      <c r="D425" t="s">
        <v>3157</v>
      </c>
      <c r="E425" t="s">
        <v>207</v>
      </c>
      <c r="F425" s="4">
        <v>5.0000000000000001E-3</v>
      </c>
      <c r="G425" s="4">
        <v>5.0000000000000001E-3</v>
      </c>
      <c r="H425">
        <v>1</v>
      </c>
    </row>
    <row r="426" spans="1:8" x14ac:dyDescent="0.2">
      <c r="A426" t="s">
        <v>1728</v>
      </c>
      <c r="B426" s="44">
        <v>40989</v>
      </c>
      <c r="C426" t="s">
        <v>4</v>
      </c>
      <c r="D426" t="s">
        <v>3158</v>
      </c>
      <c r="H426">
        <v>1</v>
      </c>
    </row>
    <row r="427" spans="1:8" x14ac:dyDescent="0.2">
      <c r="A427" t="s">
        <v>808</v>
      </c>
      <c r="B427" s="44">
        <v>41004</v>
      </c>
      <c r="C427" t="s">
        <v>4</v>
      </c>
      <c r="D427" t="s">
        <v>3157</v>
      </c>
      <c r="E427" t="s">
        <v>189</v>
      </c>
      <c r="F427" s="4">
        <v>5.0000000000000001E-3</v>
      </c>
      <c r="G427" s="4">
        <v>5.0000000000000001E-3</v>
      </c>
      <c r="H427">
        <v>1</v>
      </c>
    </row>
    <row r="428" spans="1:8" x14ac:dyDescent="0.2">
      <c r="A428" t="s">
        <v>1837</v>
      </c>
      <c r="B428" s="44">
        <v>41017</v>
      </c>
      <c r="C428" t="s">
        <v>4</v>
      </c>
      <c r="D428" t="s">
        <v>3158</v>
      </c>
      <c r="H428">
        <v>1</v>
      </c>
    </row>
    <row r="429" spans="1:8" x14ac:dyDescent="0.2">
      <c r="A429" t="s">
        <v>832</v>
      </c>
      <c r="B429" s="44">
        <v>41039</v>
      </c>
      <c r="C429" t="s">
        <v>4</v>
      </c>
      <c r="D429" t="s">
        <v>3157</v>
      </c>
      <c r="E429" t="s">
        <v>217</v>
      </c>
      <c r="F429" s="4">
        <v>5.0000000000000001E-3</v>
      </c>
      <c r="G429" s="4">
        <v>5.0000000000000001E-3</v>
      </c>
      <c r="H429">
        <v>1</v>
      </c>
    </row>
    <row r="430" spans="1:8" x14ac:dyDescent="0.2">
      <c r="A430" t="s">
        <v>2035</v>
      </c>
      <c r="B430" s="44">
        <v>41052</v>
      </c>
      <c r="C430" t="s">
        <v>4</v>
      </c>
      <c r="D430" t="s">
        <v>3158</v>
      </c>
      <c r="H430">
        <v>1</v>
      </c>
    </row>
    <row r="431" spans="1:8" x14ac:dyDescent="0.2">
      <c r="A431" t="s">
        <v>814</v>
      </c>
      <c r="B431" s="44">
        <v>41067</v>
      </c>
      <c r="C431" t="s">
        <v>4</v>
      </c>
      <c r="D431" t="s">
        <v>3157</v>
      </c>
      <c r="E431" t="s">
        <v>139</v>
      </c>
      <c r="F431" s="4">
        <v>5.0000000000000001E-3</v>
      </c>
      <c r="G431" s="4">
        <v>5.0000000000000001E-3</v>
      </c>
      <c r="H431">
        <v>1</v>
      </c>
    </row>
    <row r="432" spans="1:8" x14ac:dyDescent="0.2">
      <c r="A432" t="s">
        <v>2189</v>
      </c>
      <c r="B432" s="44">
        <v>41080</v>
      </c>
      <c r="C432" t="s">
        <v>4</v>
      </c>
      <c r="D432" t="s">
        <v>3158</v>
      </c>
      <c r="H432">
        <v>1</v>
      </c>
    </row>
    <row r="433" spans="1:9" x14ac:dyDescent="0.2">
      <c r="A433" t="s">
        <v>809</v>
      </c>
      <c r="B433" s="44">
        <v>41095</v>
      </c>
      <c r="C433" t="s">
        <v>4</v>
      </c>
      <c r="D433" t="s">
        <v>4521</v>
      </c>
      <c r="E433" t="s">
        <v>192</v>
      </c>
      <c r="F433" s="4">
        <v>5.0000000000000001E-3</v>
      </c>
      <c r="G433" s="4">
        <v>5.0000000000000001E-3</v>
      </c>
      <c r="H433">
        <v>1</v>
      </c>
      <c r="I433" t="s">
        <v>4491</v>
      </c>
    </row>
    <row r="434" spans="1:9" x14ac:dyDescent="0.2">
      <c r="A434" s="6">
        <v>41103</v>
      </c>
      <c r="B434" s="44">
        <v>41103</v>
      </c>
      <c r="C434" t="s">
        <v>4</v>
      </c>
      <c r="D434" t="s">
        <v>4520</v>
      </c>
      <c r="H434">
        <v>1</v>
      </c>
      <c r="I434" t="s">
        <v>4491</v>
      </c>
    </row>
    <row r="435" spans="1:9" x14ac:dyDescent="0.2">
      <c r="A435" t="s">
        <v>2354</v>
      </c>
      <c r="B435" s="44">
        <v>41108</v>
      </c>
      <c r="C435" t="s">
        <v>4</v>
      </c>
      <c r="D435" t="s">
        <v>3158</v>
      </c>
      <c r="H435">
        <v>1</v>
      </c>
    </row>
    <row r="436" spans="1:9" x14ac:dyDescent="0.2">
      <c r="A436" t="s">
        <v>803</v>
      </c>
      <c r="B436" s="44">
        <v>41123</v>
      </c>
      <c r="C436" t="s">
        <v>4</v>
      </c>
      <c r="D436" t="s">
        <v>3157</v>
      </c>
      <c r="E436" t="s">
        <v>175</v>
      </c>
      <c r="F436" s="4">
        <v>5.0000000000000001E-3</v>
      </c>
      <c r="G436" s="4">
        <v>5.0000000000000001E-3</v>
      </c>
      <c r="H436">
        <v>1</v>
      </c>
    </row>
    <row r="437" spans="1:9" x14ac:dyDescent="0.2">
      <c r="A437" t="s">
        <v>2422</v>
      </c>
      <c r="B437" s="44">
        <v>41136</v>
      </c>
      <c r="C437" t="s">
        <v>4</v>
      </c>
      <c r="D437" t="s">
        <v>3158</v>
      </c>
      <c r="H437">
        <v>1</v>
      </c>
    </row>
    <row r="438" spans="1:9" x14ac:dyDescent="0.2">
      <c r="A438" t="s">
        <v>811</v>
      </c>
      <c r="B438" s="44">
        <v>41158</v>
      </c>
      <c r="C438" t="s">
        <v>4</v>
      </c>
      <c r="D438" t="s">
        <v>3157</v>
      </c>
      <c r="E438" t="s">
        <v>198</v>
      </c>
      <c r="F438" s="4">
        <v>5.0000000000000001E-3</v>
      </c>
      <c r="G438" s="4">
        <v>5.0000000000000001E-3</v>
      </c>
      <c r="H438">
        <v>1</v>
      </c>
    </row>
    <row r="439" spans="1:9" x14ac:dyDescent="0.2">
      <c r="A439" t="s">
        <v>2528</v>
      </c>
      <c r="B439" s="44">
        <v>41171</v>
      </c>
      <c r="C439" t="s">
        <v>4</v>
      </c>
      <c r="D439" t="s">
        <v>3158</v>
      </c>
      <c r="H439">
        <v>1</v>
      </c>
    </row>
    <row r="440" spans="1:9" x14ac:dyDescent="0.2">
      <c r="A440" t="s">
        <v>807</v>
      </c>
      <c r="B440" s="44">
        <v>41186</v>
      </c>
      <c r="C440" t="s">
        <v>4</v>
      </c>
      <c r="D440" t="s">
        <v>3157</v>
      </c>
      <c r="E440" t="s">
        <v>184</v>
      </c>
      <c r="F440" s="4">
        <v>5.0000000000000001E-3</v>
      </c>
      <c r="G440" s="4">
        <v>5.0000000000000001E-3</v>
      </c>
      <c r="H440">
        <v>1</v>
      </c>
    </row>
    <row r="441" spans="1:9" x14ac:dyDescent="0.2">
      <c r="A441" t="s">
        <v>2678</v>
      </c>
      <c r="B441" s="44">
        <v>41199</v>
      </c>
      <c r="C441" t="s">
        <v>4</v>
      </c>
      <c r="D441" t="s">
        <v>3158</v>
      </c>
      <c r="H441">
        <v>1</v>
      </c>
    </row>
    <row r="442" spans="1:9" x14ac:dyDescent="0.2">
      <c r="A442" s="6">
        <v>41220</v>
      </c>
      <c r="B442" s="44">
        <v>41220</v>
      </c>
      <c r="C442" t="s">
        <v>4</v>
      </c>
      <c r="D442" t="s">
        <v>3156</v>
      </c>
      <c r="H442">
        <v>1</v>
      </c>
    </row>
    <row r="443" spans="1:9" x14ac:dyDescent="0.2">
      <c r="A443" t="s">
        <v>823</v>
      </c>
      <c r="B443" s="44">
        <v>41221</v>
      </c>
      <c r="C443" t="s">
        <v>4</v>
      </c>
      <c r="D443" t="s">
        <v>3157</v>
      </c>
      <c r="E443" t="s">
        <v>210</v>
      </c>
      <c r="F443" s="4">
        <v>5.0000000000000001E-3</v>
      </c>
      <c r="G443" s="4">
        <v>5.0000000000000001E-3</v>
      </c>
      <c r="H443">
        <v>1</v>
      </c>
    </row>
    <row r="444" spans="1:9" x14ac:dyDescent="0.2">
      <c r="A444" t="s">
        <v>2940</v>
      </c>
      <c r="B444" s="44">
        <v>41234</v>
      </c>
      <c r="C444" t="s">
        <v>4</v>
      </c>
      <c r="D444" t="s">
        <v>3158</v>
      </c>
      <c r="H444">
        <v>1</v>
      </c>
    </row>
    <row r="445" spans="1:9" x14ac:dyDescent="0.2">
      <c r="A445" t="s">
        <v>812</v>
      </c>
      <c r="B445" s="44">
        <v>41249</v>
      </c>
      <c r="C445" t="s">
        <v>4</v>
      </c>
      <c r="D445" t="s">
        <v>3157</v>
      </c>
      <c r="E445" t="s">
        <v>551</v>
      </c>
      <c r="F445" s="4">
        <v>5.0000000000000001E-3</v>
      </c>
      <c r="G445" s="4">
        <v>5.0000000000000001E-3</v>
      </c>
      <c r="H445">
        <v>1</v>
      </c>
    </row>
    <row r="446" spans="1:9" x14ac:dyDescent="0.2">
      <c r="A446" t="s">
        <v>3078</v>
      </c>
      <c r="B446" s="44">
        <v>41262</v>
      </c>
      <c r="C446" t="s">
        <v>4</v>
      </c>
      <c r="D446" t="s">
        <v>3158</v>
      </c>
      <c r="H446">
        <v>1</v>
      </c>
    </row>
    <row r="447" spans="1:9" x14ac:dyDescent="0.2">
      <c r="A447" t="s">
        <v>913</v>
      </c>
      <c r="B447" s="44">
        <v>41284</v>
      </c>
      <c r="C447" t="s">
        <v>4</v>
      </c>
      <c r="D447" t="s">
        <v>3157</v>
      </c>
      <c r="E447" t="s">
        <v>260</v>
      </c>
      <c r="F447" s="4">
        <v>5.0000000000000001E-3</v>
      </c>
      <c r="G447" s="4">
        <v>5.0000000000000001E-3</v>
      </c>
      <c r="H447">
        <v>1</v>
      </c>
    </row>
    <row r="448" spans="1:9" x14ac:dyDescent="0.2">
      <c r="A448" t="s">
        <v>1425</v>
      </c>
      <c r="B448" s="44">
        <v>41297</v>
      </c>
      <c r="C448" t="s">
        <v>4</v>
      </c>
      <c r="D448" t="s">
        <v>3158</v>
      </c>
      <c r="H448">
        <v>1</v>
      </c>
    </row>
    <row r="449" spans="1:9" x14ac:dyDescent="0.2">
      <c r="A449" t="s">
        <v>899</v>
      </c>
      <c r="B449" s="44">
        <v>41312</v>
      </c>
      <c r="C449" t="s">
        <v>4</v>
      </c>
      <c r="D449" t="s">
        <v>3157</v>
      </c>
      <c r="E449" t="s">
        <v>249</v>
      </c>
      <c r="F449" s="4">
        <v>5.0000000000000001E-3</v>
      </c>
      <c r="G449" s="4">
        <v>5.0000000000000001E-3</v>
      </c>
      <c r="H449">
        <v>1</v>
      </c>
    </row>
    <row r="450" spans="1:9" x14ac:dyDescent="0.2">
      <c r="A450" t="s">
        <v>1554</v>
      </c>
      <c r="B450" s="44">
        <v>41325</v>
      </c>
      <c r="C450" t="s">
        <v>4</v>
      </c>
      <c r="D450" t="s">
        <v>3158</v>
      </c>
      <c r="H450">
        <v>1</v>
      </c>
    </row>
    <row r="451" spans="1:9" x14ac:dyDescent="0.2">
      <c r="A451" t="s">
        <v>901</v>
      </c>
      <c r="B451" s="44">
        <v>41340</v>
      </c>
      <c r="C451" t="s">
        <v>4</v>
      </c>
      <c r="D451" t="s">
        <v>3157</v>
      </c>
      <c r="E451" t="s">
        <v>251</v>
      </c>
      <c r="F451" s="4">
        <v>5.0000000000000001E-3</v>
      </c>
      <c r="G451" s="4">
        <v>5.0000000000000001E-3</v>
      </c>
      <c r="H451">
        <v>1</v>
      </c>
    </row>
    <row r="452" spans="1:9" x14ac:dyDescent="0.2">
      <c r="A452" t="s">
        <v>1719</v>
      </c>
      <c r="B452" s="44">
        <v>41353</v>
      </c>
      <c r="C452" t="s">
        <v>4</v>
      </c>
      <c r="D452" t="s">
        <v>3158</v>
      </c>
      <c r="H452">
        <v>1</v>
      </c>
    </row>
    <row r="453" spans="1:9" x14ac:dyDescent="0.2">
      <c r="A453" t="s">
        <v>883</v>
      </c>
      <c r="B453" s="44">
        <v>41368</v>
      </c>
      <c r="C453" t="s">
        <v>4</v>
      </c>
      <c r="D453" t="s">
        <v>3157</v>
      </c>
      <c r="E453" t="s">
        <v>232</v>
      </c>
      <c r="F453" s="4">
        <v>5.0000000000000001E-3</v>
      </c>
      <c r="G453" s="4">
        <v>5.0000000000000001E-3</v>
      </c>
      <c r="H453">
        <v>1</v>
      </c>
    </row>
    <row r="454" spans="1:9" x14ac:dyDescent="0.2">
      <c r="A454" t="s">
        <v>1829</v>
      </c>
      <c r="B454" s="44">
        <v>41381</v>
      </c>
      <c r="C454" t="s">
        <v>4</v>
      </c>
      <c r="D454" t="s">
        <v>3158</v>
      </c>
      <c r="H454">
        <v>1</v>
      </c>
    </row>
    <row r="455" spans="1:9" x14ac:dyDescent="0.2">
      <c r="A455" t="s">
        <v>907</v>
      </c>
      <c r="B455" s="44">
        <v>41403</v>
      </c>
      <c r="C455" t="s">
        <v>4</v>
      </c>
      <c r="D455" t="s">
        <v>3157</v>
      </c>
      <c r="E455" t="s">
        <v>257</v>
      </c>
      <c r="F455" s="4">
        <v>5.0000000000000001E-3</v>
      </c>
      <c r="G455" s="4">
        <v>5.0000000000000001E-3</v>
      </c>
      <c r="H455">
        <v>1</v>
      </c>
    </row>
    <row r="456" spans="1:9" x14ac:dyDescent="0.2">
      <c r="A456" t="s">
        <v>2018</v>
      </c>
      <c r="B456" s="44">
        <v>41416</v>
      </c>
      <c r="C456" t="s">
        <v>4</v>
      </c>
      <c r="D456" t="s">
        <v>3158</v>
      </c>
      <c r="H456">
        <v>1</v>
      </c>
    </row>
    <row r="457" spans="1:9" x14ac:dyDescent="0.2">
      <c r="A457" t="s">
        <v>895</v>
      </c>
      <c r="B457" s="44">
        <v>41431</v>
      </c>
      <c r="C457" t="s">
        <v>4</v>
      </c>
      <c r="D457" t="s">
        <v>3157</v>
      </c>
      <c r="E457" t="s">
        <v>245</v>
      </c>
      <c r="F457" s="4">
        <v>5.0000000000000001E-3</v>
      </c>
      <c r="G457" s="4">
        <v>5.0000000000000001E-3</v>
      </c>
      <c r="H457">
        <v>1</v>
      </c>
    </row>
    <row r="458" spans="1:9" x14ac:dyDescent="0.2">
      <c r="A458" t="s">
        <v>2168</v>
      </c>
      <c r="B458" s="44">
        <v>41444</v>
      </c>
      <c r="C458" t="s">
        <v>4</v>
      </c>
      <c r="D458" t="s">
        <v>3158</v>
      </c>
      <c r="H458">
        <v>1</v>
      </c>
    </row>
    <row r="459" spans="1:9" x14ac:dyDescent="0.2">
      <c r="A459" t="s">
        <v>885</v>
      </c>
      <c r="B459" s="44">
        <v>41459</v>
      </c>
      <c r="C459" t="s">
        <v>4</v>
      </c>
      <c r="D459" t="s">
        <v>3157</v>
      </c>
      <c r="E459" t="s">
        <v>234</v>
      </c>
      <c r="F459" s="4">
        <v>5.0000000000000001E-3</v>
      </c>
      <c r="G459" s="4">
        <v>5.0000000000000001E-3</v>
      </c>
      <c r="H459">
        <v>1</v>
      </c>
    </row>
    <row r="460" spans="1:9" x14ac:dyDescent="0.2">
      <c r="A460" t="s">
        <v>2335</v>
      </c>
      <c r="B460" s="44">
        <v>41472</v>
      </c>
      <c r="C460" t="s">
        <v>4</v>
      </c>
      <c r="D460" t="s">
        <v>3158</v>
      </c>
      <c r="H460">
        <v>1</v>
      </c>
    </row>
    <row r="461" spans="1:9" x14ac:dyDescent="0.2">
      <c r="A461" t="s">
        <v>859</v>
      </c>
      <c r="B461" s="44">
        <v>41487</v>
      </c>
      <c r="C461" t="s">
        <v>4</v>
      </c>
      <c r="D461" t="s">
        <v>4525</v>
      </c>
      <c r="E461" t="s">
        <v>222</v>
      </c>
      <c r="F461" s="4">
        <v>5.0000000000000001E-3</v>
      </c>
      <c r="G461" s="4">
        <v>5.0000000000000001E-3</v>
      </c>
      <c r="H461">
        <v>1</v>
      </c>
      <c r="I461" t="s">
        <v>4491</v>
      </c>
    </row>
    <row r="462" spans="1:9" x14ac:dyDescent="0.2">
      <c r="A462" t="s">
        <v>2419</v>
      </c>
      <c r="B462" s="44">
        <v>41500</v>
      </c>
      <c r="C462" t="s">
        <v>4</v>
      </c>
      <c r="D462" t="s">
        <v>3158</v>
      </c>
      <c r="H462">
        <v>1</v>
      </c>
    </row>
    <row r="463" spans="1:9" x14ac:dyDescent="0.2">
      <c r="A463" t="s">
        <v>891</v>
      </c>
      <c r="B463" s="44">
        <v>41522</v>
      </c>
      <c r="C463" t="s">
        <v>4</v>
      </c>
      <c r="D463" t="s">
        <v>3157</v>
      </c>
      <c r="E463" t="s">
        <v>240</v>
      </c>
      <c r="F463" s="4">
        <v>5.0000000000000001E-3</v>
      </c>
      <c r="G463" s="4">
        <v>5.0000000000000001E-3</v>
      </c>
      <c r="H463">
        <v>1</v>
      </c>
    </row>
    <row r="464" spans="1:9" x14ac:dyDescent="0.2">
      <c r="A464" t="s">
        <v>2519</v>
      </c>
      <c r="B464" s="44">
        <v>41535</v>
      </c>
      <c r="C464" t="s">
        <v>4</v>
      </c>
      <c r="D464" t="s">
        <v>3158</v>
      </c>
      <c r="H464">
        <v>1</v>
      </c>
    </row>
    <row r="465" spans="1:8" x14ac:dyDescent="0.2">
      <c r="A465" t="s">
        <v>915</v>
      </c>
      <c r="B465" s="44">
        <v>41557</v>
      </c>
      <c r="C465" t="s">
        <v>4</v>
      </c>
      <c r="D465" t="s">
        <v>3157</v>
      </c>
      <c r="E465" t="s">
        <v>262</v>
      </c>
      <c r="F465" s="4">
        <v>5.0000000000000001E-3</v>
      </c>
      <c r="G465" s="4">
        <v>5.0000000000000001E-3</v>
      </c>
      <c r="H465">
        <v>1</v>
      </c>
    </row>
    <row r="466" spans="1:8" x14ac:dyDescent="0.2">
      <c r="A466" t="s">
        <v>2758</v>
      </c>
      <c r="B466" s="44">
        <v>41570</v>
      </c>
      <c r="C466" t="s">
        <v>4</v>
      </c>
      <c r="D466" t="s">
        <v>3158</v>
      </c>
      <c r="H466">
        <v>1</v>
      </c>
    </row>
    <row r="467" spans="1:8" x14ac:dyDescent="0.2">
      <c r="A467" t="s">
        <v>903</v>
      </c>
      <c r="B467" s="44">
        <v>41585</v>
      </c>
      <c r="C467" t="s">
        <v>4</v>
      </c>
      <c r="D467" t="s">
        <v>3157</v>
      </c>
      <c r="E467" t="s">
        <v>254</v>
      </c>
      <c r="F467" s="4">
        <v>5.0000000000000001E-3</v>
      </c>
      <c r="G467" s="4">
        <v>5.0000000000000001E-3</v>
      </c>
      <c r="H467">
        <v>1</v>
      </c>
    </row>
    <row r="468" spans="1:8" x14ac:dyDescent="0.2">
      <c r="A468" t="s">
        <v>2929</v>
      </c>
      <c r="B468" s="44">
        <v>41598</v>
      </c>
      <c r="C468" t="s">
        <v>4</v>
      </c>
      <c r="D468" t="s">
        <v>3158</v>
      </c>
      <c r="H468">
        <v>1</v>
      </c>
    </row>
    <row r="469" spans="1:8" x14ac:dyDescent="0.2">
      <c r="A469" t="s">
        <v>892</v>
      </c>
      <c r="B469" s="44">
        <v>41613</v>
      </c>
      <c r="C469" t="s">
        <v>4</v>
      </c>
      <c r="D469" t="s">
        <v>3157</v>
      </c>
      <c r="E469" t="s">
        <v>195</v>
      </c>
      <c r="F469" s="4">
        <v>5.0000000000000001E-3</v>
      </c>
      <c r="G469" s="4">
        <v>5.0000000000000001E-3</v>
      </c>
      <c r="H469">
        <v>1</v>
      </c>
    </row>
    <row r="470" spans="1:8" x14ac:dyDescent="0.2">
      <c r="A470" t="s">
        <v>3071</v>
      </c>
      <c r="B470" s="44">
        <v>41626</v>
      </c>
      <c r="C470" t="s">
        <v>4</v>
      </c>
      <c r="D470" t="s">
        <v>3158</v>
      </c>
      <c r="H470">
        <v>1</v>
      </c>
    </row>
    <row r="471" spans="1:8" x14ac:dyDescent="0.2">
      <c r="A471" t="s">
        <v>976</v>
      </c>
      <c r="B471" s="44">
        <v>41648</v>
      </c>
      <c r="C471" t="s">
        <v>4</v>
      </c>
      <c r="D471" t="s">
        <v>3157</v>
      </c>
      <c r="E471" t="s">
        <v>297</v>
      </c>
      <c r="F471" s="4">
        <v>5.0000000000000001E-3</v>
      </c>
      <c r="G471" s="4">
        <v>5.0000000000000001E-3</v>
      </c>
      <c r="H471">
        <v>1</v>
      </c>
    </row>
    <row r="472" spans="1:8" x14ac:dyDescent="0.2">
      <c r="A472" t="s">
        <v>1413</v>
      </c>
      <c r="B472" s="44">
        <v>41661</v>
      </c>
      <c r="C472" t="s">
        <v>4</v>
      </c>
      <c r="D472" t="s">
        <v>3158</v>
      </c>
      <c r="H472">
        <v>1</v>
      </c>
    </row>
    <row r="473" spans="1:8" x14ac:dyDescent="0.2">
      <c r="A473" s="7">
        <v>41676.541666666664</v>
      </c>
      <c r="B473" s="44">
        <v>41676</v>
      </c>
      <c r="C473" t="s">
        <v>4</v>
      </c>
      <c r="D473" t="s">
        <v>3157</v>
      </c>
      <c r="E473" t="s">
        <v>284</v>
      </c>
      <c r="F473" s="4">
        <v>5.0000000000000001E-3</v>
      </c>
      <c r="G473" s="4">
        <v>5.0000000000000001E-3</v>
      </c>
      <c r="H473">
        <v>1</v>
      </c>
    </row>
    <row r="474" spans="1:8" x14ac:dyDescent="0.2">
      <c r="A474" t="s">
        <v>1544</v>
      </c>
      <c r="B474" s="44">
        <v>41689</v>
      </c>
      <c r="C474" t="s">
        <v>4</v>
      </c>
      <c r="D474" t="s">
        <v>3158</v>
      </c>
      <c r="H474">
        <v>1</v>
      </c>
    </row>
    <row r="475" spans="1:8" x14ac:dyDescent="0.2">
      <c r="A475" t="s">
        <v>962</v>
      </c>
      <c r="B475" s="44">
        <v>41704</v>
      </c>
      <c r="C475" t="s">
        <v>4</v>
      </c>
      <c r="D475" t="s">
        <v>3157</v>
      </c>
      <c r="E475" t="s">
        <v>286</v>
      </c>
      <c r="F475" s="4">
        <v>5.0000000000000001E-3</v>
      </c>
      <c r="G475" s="4">
        <v>5.0000000000000001E-3</v>
      </c>
      <c r="H475">
        <v>1</v>
      </c>
    </row>
    <row r="476" spans="1:8" x14ac:dyDescent="0.2">
      <c r="A476" t="s">
        <v>1709</v>
      </c>
      <c r="B476" s="44">
        <v>41717</v>
      </c>
      <c r="C476" t="s">
        <v>4</v>
      </c>
      <c r="D476" t="s">
        <v>3158</v>
      </c>
      <c r="H476">
        <v>1</v>
      </c>
    </row>
    <row r="477" spans="1:8" x14ac:dyDescent="0.2">
      <c r="A477" t="s">
        <v>983</v>
      </c>
      <c r="B477" s="44">
        <v>41739</v>
      </c>
      <c r="C477" t="s">
        <v>4</v>
      </c>
      <c r="D477" t="s">
        <v>3157</v>
      </c>
      <c r="E477" t="s">
        <v>305</v>
      </c>
      <c r="F477" s="4">
        <v>5.0000000000000001E-3</v>
      </c>
      <c r="G477" s="4">
        <v>5.0000000000000001E-3</v>
      </c>
      <c r="H477">
        <v>1</v>
      </c>
    </row>
    <row r="478" spans="1:8" x14ac:dyDescent="0.2">
      <c r="A478" t="s">
        <v>1884</v>
      </c>
      <c r="B478" s="44">
        <v>41752</v>
      </c>
      <c r="C478" t="s">
        <v>4</v>
      </c>
      <c r="D478" t="s">
        <v>3158</v>
      </c>
      <c r="H478">
        <v>1</v>
      </c>
    </row>
    <row r="479" spans="1:8" x14ac:dyDescent="0.2">
      <c r="A479" t="s">
        <v>973</v>
      </c>
      <c r="B479" s="44">
        <v>41767</v>
      </c>
      <c r="C479" t="s">
        <v>4</v>
      </c>
      <c r="D479" t="s">
        <v>3157</v>
      </c>
      <c r="E479" t="s">
        <v>294</v>
      </c>
      <c r="F479" s="4">
        <v>5.0000000000000001E-3</v>
      </c>
      <c r="G479" s="4">
        <v>5.0000000000000001E-3</v>
      </c>
      <c r="H479">
        <v>1</v>
      </c>
    </row>
    <row r="480" spans="1:8" x14ac:dyDescent="0.2">
      <c r="A480" t="s">
        <v>2010</v>
      </c>
      <c r="B480" s="44">
        <v>41780</v>
      </c>
      <c r="C480" t="s">
        <v>4</v>
      </c>
      <c r="D480" t="s">
        <v>3158</v>
      </c>
      <c r="H480">
        <v>1</v>
      </c>
    </row>
    <row r="481" spans="1:8" x14ac:dyDescent="0.2">
      <c r="A481" t="s">
        <v>961</v>
      </c>
      <c r="B481" s="44">
        <v>41795</v>
      </c>
      <c r="C481" t="s">
        <v>4</v>
      </c>
      <c r="D481" t="s">
        <v>3157</v>
      </c>
      <c r="E481" t="s">
        <v>281</v>
      </c>
      <c r="F481" s="4">
        <v>5.0000000000000001E-3</v>
      </c>
      <c r="G481" s="4">
        <v>5.0000000000000001E-3</v>
      </c>
      <c r="H481">
        <v>1</v>
      </c>
    </row>
    <row r="482" spans="1:8" x14ac:dyDescent="0.2">
      <c r="A482" t="s">
        <v>2158</v>
      </c>
      <c r="B482" s="44">
        <v>41808</v>
      </c>
      <c r="C482" t="s">
        <v>4</v>
      </c>
      <c r="D482" t="s">
        <v>3158</v>
      </c>
      <c r="H482">
        <v>1</v>
      </c>
    </row>
    <row r="483" spans="1:8" x14ac:dyDescent="0.2">
      <c r="A483" t="s">
        <v>940</v>
      </c>
      <c r="B483" s="44">
        <v>41821</v>
      </c>
      <c r="C483" t="s">
        <v>4</v>
      </c>
      <c r="D483" t="s">
        <v>3158</v>
      </c>
      <c r="H483">
        <v>1</v>
      </c>
    </row>
    <row r="484" spans="1:8" x14ac:dyDescent="0.2">
      <c r="A484" t="s">
        <v>985</v>
      </c>
      <c r="B484" s="44">
        <v>41830</v>
      </c>
      <c r="C484" t="s">
        <v>4</v>
      </c>
      <c r="D484" t="s">
        <v>3157</v>
      </c>
      <c r="E484" t="s">
        <v>307</v>
      </c>
      <c r="F484" s="4">
        <v>5.0000000000000001E-3</v>
      </c>
      <c r="G484" s="4">
        <v>5.0000000000000001E-3</v>
      </c>
      <c r="H484">
        <v>1</v>
      </c>
    </row>
    <row r="485" spans="1:8" x14ac:dyDescent="0.2">
      <c r="A485" t="s">
        <v>2386</v>
      </c>
      <c r="B485" s="44">
        <v>41843</v>
      </c>
      <c r="C485" t="s">
        <v>4</v>
      </c>
      <c r="D485" t="s">
        <v>3158</v>
      </c>
      <c r="H485">
        <v>1</v>
      </c>
    </row>
    <row r="486" spans="1:8" x14ac:dyDescent="0.2">
      <c r="A486" t="s">
        <v>970</v>
      </c>
      <c r="B486" s="44">
        <v>41858</v>
      </c>
      <c r="C486" t="s">
        <v>4</v>
      </c>
      <c r="D486" t="s">
        <v>3157</v>
      </c>
      <c r="E486" t="s">
        <v>291</v>
      </c>
      <c r="F486" s="4">
        <v>5.0000000000000001E-3</v>
      </c>
      <c r="G486" s="4">
        <v>5.0000000000000001E-3</v>
      </c>
      <c r="H486">
        <v>1</v>
      </c>
    </row>
    <row r="487" spans="1:8" x14ac:dyDescent="0.2">
      <c r="A487" t="s">
        <v>2436</v>
      </c>
      <c r="B487" s="44">
        <v>41871</v>
      </c>
      <c r="C487" t="s">
        <v>4</v>
      </c>
      <c r="D487" t="s">
        <v>3158</v>
      </c>
      <c r="H487">
        <v>1</v>
      </c>
    </row>
    <row r="488" spans="1:8" x14ac:dyDescent="0.2">
      <c r="A488" t="s">
        <v>956</v>
      </c>
      <c r="B488" s="44">
        <v>41886</v>
      </c>
      <c r="C488" t="s">
        <v>4</v>
      </c>
      <c r="D488" t="s">
        <v>3157</v>
      </c>
      <c r="E488" t="s">
        <v>273</v>
      </c>
      <c r="F488" s="4">
        <v>5.0000000000000001E-3</v>
      </c>
      <c r="G488" s="4">
        <v>5.0000000000000001E-3</v>
      </c>
      <c r="H488">
        <v>1</v>
      </c>
    </row>
    <row r="489" spans="1:8" x14ac:dyDescent="0.2">
      <c r="A489" t="s">
        <v>2510</v>
      </c>
      <c r="B489" s="44">
        <v>41899</v>
      </c>
      <c r="C489" t="s">
        <v>4</v>
      </c>
      <c r="D489" t="s">
        <v>3158</v>
      </c>
      <c r="H489">
        <v>1</v>
      </c>
    </row>
    <row r="490" spans="1:8" x14ac:dyDescent="0.2">
      <c r="A490" t="s">
        <v>981</v>
      </c>
      <c r="B490" s="44">
        <v>41921</v>
      </c>
      <c r="C490" t="s">
        <v>4</v>
      </c>
      <c r="D490" t="s">
        <v>3157</v>
      </c>
      <c r="E490" t="s">
        <v>300</v>
      </c>
      <c r="F490" s="4">
        <v>5.0000000000000001E-3</v>
      </c>
      <c r="G490" s="4">
        <v>5.0000000000000001E-3</v>
      </c>
      <c r="H490">
        <v>1</v>
      </c>
    </row>
    <row r="491" spans="1:8" x14ac:dyDescent="0.2">
      <c r="A491" t="s">
        <v>2747</v>
      </c>
      <c r="B491" s="44">
        <v>41934</v>
      </c>
      <c r="C491" t="s">
        <v>4</v>
      </c>
      <c r="D491" t="s">
        <v>3158</v>
      </c>
      <c r="H491">
        <v>1</v>
      </c>
    </row>
    <row r="492" spans="1:8" x14ac:dyDescent="0.2">
      <c r="A492" t="s">
        <v>966</v>
      </c>
      <c r="B492" s="44">
        <v>41949</v>
      </c>
      <c r="C492" t="s">
        <v>4</v>
      </c>
      <c r="D492" t="s">
        <v>3157</v>
      </c>
      <c r="E492" t="s">
        <v>288</v>
      </c>
      <c r="F492" s="4">
        <v>5.0000000000000001E-3</v>
      </c>
      <c r="G492" s="4">
        <v>5.0000000000000001E-3</v>
      </c>
      <c r="H492">
        <v>1</v>
      </c>
    </row>
    <row r="493" spans="1:8" x14ac:dyDescent="0.2">
      <c r="A493" t="s">
        <v>2921</v>
      </c>
      <c r="B493" s="44">
        <v>41962</v>
      </c>
      <c r="C493" t="s">
        <v>4</v>
      </c>
      <c r="D493" t="s">
        <v>3158</v>
      </c>
      <c r="H493">
        <v>1</v>
      </c>
    </row>
    <row r="494" spans="1:8" x14ac:dyDescent="0.2">
      <c r="A494" t="s">
        <v>958</v>
      </c>
      <c r="B494" s="44">
        <v>41977</v>
      </c>
      <c r="C494" t="s">
        <v>4</v>
      </c>
      <c r="D494" t="s">
        <v>3157</v>
      </c>
      <c r="E494" t="s">
        <v>275</v>
      </c>
      <c r="F494" s="4">
        <v>5.0000000000000001E-3</v>
      </c>
      <c r="G494" s="4">
        <v>5.0000000000000001E-3</v>
      </c>
      <c r="H494">
        <v>1</v>
      </c>
    </row>
    <row r="495" spans="1:8" x14ac:dyDescent="0.2">
      <c r="A495" t="s">
        <v>3060</v>
      </c>
      <c r="B495" s="44">
        <v>41990</v>
      </c>
      <c r="C495" t="s">
        <v>4</v>
      </c>
      <c r="D495" t="s">
        <v>3158</v>
      </c>
      <c r="H495">
        <v>1</v>
      </c>
    </row>
    <row r="496" spans="1:8" x14ac:dyDescent="0.2">
      <c r="A496" t="s">
        <v>1028</v>
      </c>
      <c r="B496" s="44">
        <v>42012</v>
      </c>
      <c r="C496" t="s">
        <v>4</v>
      </c>
      <c r="D496" t="s">
        <v>3157</v>
      </c>
      <c r="E496" t="s">
        <v>42</v>
      </c>
      <c r="F496" s="4">
        <v>5.0000000000000001E-3</v>
      </c>
      <c r="G496" s="4">
        <v>5.0000000000000001E-3</v>
      </c>
      <c r="H496">
        <v>1</v>
      </c>
    </row>
    <row r="497" spans="1:8" x14ac:dyDescent="0.2">
      <c r="A497" t="s">
        <v>1403</v>
      </c>
      <c r="B497" s="44">
        <v>42025</v>
      </c>
      <c r="C497" t="s">
        <v>4</v>
      </c>
      <c r="D497" t="s">
        <v>3158</v>
      </c>
      <c r="H497">
        <v>1</v>
      </c>
    </row>
    <row r="498" spans="1:8" x14ac:dyDescent="0.2">
      <c r="A498" t="s">
        <v>1017</v>
      </c>
      <c r="B498" s="44">
        <v>42040</v>
      </c>
      <c r="C498" t="s">
        <v>4</v>
      </c>
      <c r="D498" t="s">
        <v>3157</v>
      </c>
      <c r="E498" t="s">
        <v>23</v>
      </c>
      <c r="F498" s="4">
        <v>5.0000000000000001E-3</v>
      </c>
      <c r="G498" s="4">
        <v>5.0000000000000001E-3</v>
      </c>
      <c r="H498">
        <v>1</v>
      </c>
    </row>
    <row r="499" spans="1:8" x14ac:dyDescent="0.2">
      <c r="A499" t="s">
        <v>1537</v>
      </c>
      <c r="B499" s="44">
        <v>42053</v>
      </c>
      <c r="C499" t="s">
        <v>4</v>
      </c>
      <c r="D499" t="s">
        <v>3158</v>
      </c>
      <c r="H499">
        <v>1</v>
      </c>
    </row>
    <row r="500" spans="1:8" x14ac:dyDescent="0.2">
      <c r="A500" t="s">
        <v>1018</v>
      </c>
      <c r="B500" s="44">
        <v>42068</v>
      </c>
      <c r="C500" t="s">
        <v>4</v>
      </c>
      <c r="D500" t="s">
        <v>3157</v>
      </c>
      <c r="E500" t="s">
        <v>27</v>
      </c>
      <c r="F500" s="4">
        <v>5.0000000000000001E-3</v>
      </c>
      <c r="G500" s="4">
        <v>5.0000000000000001E-3</v>
      </c>
      <c r="H500">
        <v>1</v>
      </c>
    </row>
    <row r="501" spans="1:8" x14ac:dyDescent="0.2">
      <c r="A501" t="s">
        <v>1703</v>
      </c>
      <c r="B501" s="44">
        <v>42081</v>
      </c>
      <c r="C501" t="s">
        <v>4</v>
      </c>
      <c r="D501" t="s">
        <v>3158</v>
      </c>
      <c r="H501">
        <v>1</v>
      </c>
    </row>
    <row r="502" spans="1:8" x14ac:dyDescent="0.2">
      <c r="A502" t="s">
        <v>1035</v>
      </c>
      <c r="B502" s="44">
        <v>42103</v>
      </c>
      <c r="C502" t="s">
        <v>4</v>
      </c>
      <c r="D502" t="s">
        <v>3157</v>
      </c>
      <c r="E502" t="s">
        <v>47</v>
      </c>
      <c r="F502" s="4">
        <v>5.0000000000000001E-3</v>
      </c>
      <c r="G502" s="4">
        <v>5.0000000000000001E-3</v>
      </c>
      <c r="H502">
        <v>1</v>
      </c>
    </row>
    <row r="503" spans="1:8" x14ac:dyDescent="0.2">
      <c r="A503" t="s">
        <v>1877</v>
      </c>
      <c r="B503" s="44">
        <v>42116</v>
      </c>
      <c r="C503" t="s">
        <v>4</v>
      </c>
      <c r="D503" t="s">
        <v>3158</v>
      </c>
      <c r="H503">
        <v>1</v>
      </c>
    </row>
    <row r="504" spans="1:8" x14ac:dyDescent="0.2">
      <c r="A504" t="s">
        <v>1053</v>
      </c>
      <c r="B504" s="44">
        <v>42135</v>
      </c>
      <c r="C504" t="s">
        <v>4</v>
      </c>
      <c r="D504" t="s">
        <v>3157</v>
      </c>
      <c r="E504" t="s">
        <v>1054</v>
      </c>
      <c r="F504" s="4">
        <v>5.0000000000000001E-3</v>
      </c>
      <c r="G504" s="4">
        <v>5.0000000000000001E-3</v>
      </c>
      <c r="H504">
        <v>1</v>
      </c>
    </row>
    <row r="505" spans="1:8" x14ac:dyDescent="0.2">
      <c r="A505" t="s">
        <v>1995</v>
      </c>
      <c r="B505" s="44">
        <v>42144</v>
      </c>
      <c r="C505" t="s">
        <v>4</v>
      </c>
      <c r="D505" t="s">
        <v>3158</v>
      </c>
      <c r="H505">
        <v>1</v>
      </c>
    </row>
    <row r="506" spans="1:8" x14ac:dyDescent="0.2">
      <c r="A506" t="s">
        <v>1016</v>
      </c>
      <c r="B506" s="44">
        <v>42159</v>
      </c>
      <c r="C506" t="s">
        <v>4</v>
      </c>
      <c r="D506" t="s">
        <v>3157</v>
      </c>
      <c r="E506" t="s">
        <v>20</v>
      </c>
      <c r="F506" s="4">
        <v>5.0000000000000001E-3</v>
      </c>
      <c r="G506" s="4">
        <v>5.0000000000000001E-3</v>
      </c>
      <c r="H506">
        <v>1</v>
      </c>
    </row>
    <row r="507" spans="1:8" x14ac:dyDescent="0.2">
      <c r="A507" t="s">
        <v>2138</v>
      </c>
      <c r="B507" s="44">
        <v>42172</v>
      </c>
      <c r="C507" t="s">
        <v>4</v>
      </c>
      <c r="D507" t="s">
        <v>3158</v>
      </c>
      <c r="H507">
        <v>1</v>
      </c>
    </row>
    <row r="508" spans="1:8" x14ac:dyDescent="0.2">
      <c r="A508" t="s">
        <v>1036</v>
      </c>
      <c r="B508" s="44">
        <v>42194</v>
      </c>
      <c r="C508" t="s">
        <v>4</v>
      </c>
      <c r="D508" t="s">
        <v>3157</v>
      </c>
      <c r="E508" t="s">
        <v>49</v>
      </c>
      <c r="F508" s="4">
        <v>5.0000000000000001E-3</v>
      </c>
      <c r="G508" s="4">
        <v>5.0000000000000001E-3</v>
      </c>
      <c r="H508">
        <v>1</v>
      </c>
    </row>
    <row r="509" spans="1:8" x14ac:dyDescent="0.2">
      <c r="A509" t="s">
        <v>2379</v>
      </c>
      <c r="B509" s="44">
        <v>42207</v>
      </c>
      <c r="C509" t="s">
        <v>4</v>
      </c>
      <c r="D509" t="s">
        <v>3158</v>
      </c>
      <c r="H509">
        <v>1</v>
      </c>
    </row>
    <row r="510" spans="1:8" x14ac:dyDescent="0.2">
      <c r="A510" t="s">
        <v>1021</v>
      </c>
      <c r="B510" s="44">
        <v>42222</v>
      </c>
      <c r="C510" t="s">
        <v>4</v>
      </c>
      <c r="D510" t="s">
        <v>3157</v>
      </c>
      <c r="E510" t="s">
        <v>36</v>
      </c>
      <c r="F510" s="4">
        <v>5.0000000000000001E-3</v>
      </c>
      <c r="G510" s="4">
        <v>5.0000000000000001E-3</v>
      </c>
      <c r="H510">
        <v>1</v>
      </c>
    </row>
    <row r="511" spans="1:8" x14ac:dyDescent="0.2">
      <c r="A511" t="s">
        <v>1045</v>
      </c>
      <c r="B511" s="44">
        <v>42257</v>
      </c>
      <c r="C511" t="s">
        <v>4</v>
      </c>
      <c r="D511" t="s">
        <v>3157</v>
      </c>
      <c r="E511" t="s">
        <v>54</v>
      </c>
      <c r="F511" s="4">
        <v>5.0000000000000001E-3</v>
      </c>
      <c r="G511" s="4">
        <v>5.0000000000000001E-3</v>
      </c>
      <c r="H511">
        <v>1</v>
      </c>
    </row>
    <row r="512" spans="1:8" x14ac:dyDescent="0.2">
      <c r="A512" t="s">
        <v>1030</v>
      </c>
      <c r="B512" s="44">
        <v>42285</v>
      </c>
      <c r="C512" t="s">
        <v>4</v>
      </c>
      <c r="D512" t="s">
        <v>3157</v>
      </c>
      <c r="E512" t="s">
        <v>45</v>
      </c>
      <c r="F512" s="4">
        <v>5.0000000000000001E-3</v>
      </c>
      <c r="G512" s="4">
        <v>5.0000000000000001E-3</v>
      </c>
      <c r="H512">
        <v>1</v>
      </c>
    </row>
    <row r="513" spans="1:9" x14ac:dyDescent="0.2">
      <c r="A513" t="s">
        <v>1019</v>
      </c>
      <c r="B513" s="44">
        <v>42313</v>
      </c>
      <c r="C513" t="s">
        <v>4</v>
      </c>
      <c r="D513" t="s">
        <v>3157</v>
      </c>
      <c r="E513" t="s">
        <v>31</v>
      </c>
      <c r="F513" s="4">
        <v>5.0000000000000001E-3</v>
      </c>
      <c r="G513" s="4">
        <v>5.0000000000000001E-3</v>
      </c>
      <c r="H513">
        <v>1</v>
      </c>
    </row>
    <row r="514" spans="1:9" x14ac:dyDescent="0.2">
      <c r="A514" t="s">
        <v>1048</v>
      </c>
      <c r="B514" s="44">
        <v>42348</v>
      </c>
      <c r="C514" t="s">
        <v>4</v>
      </c>
      <c r="D514" t="s">
        <v>3157</v>
      </c>
      <c r="E514" t="s">
        <v>56</v>
      </c>
      <c r="F514" s="4">
        <v>5.0000000000000001E-3</v>
      </c>
      <c r="G514" s="4">
        <v>5.0000000000000001E-3</v>
      </c>
      <c r="H514">
        <v>1</v>
      </c>
    </row>
    <row r="515" spans="1:9" x14ac:dyDescent="0.2">
      <c r="A515" t="s">
        <v>1350</v>
      </c>
      <c r="B515" s="44">
        <v>42383</v>
      </c>
      <c r="C515" t="s">
        <v>4</v>
      </c>
      <c r="D515" t="s">
        <v>3157</v>
      </c>
      <c r="E515" t="s">
        <v>1351</v>
      </c>
      <c r="F515" s="4">
        <v>5.0000000000000001E-3</v>
      </c>
      <c r="G515" s="4">
        <v>5.0000000000000001E-3</v>
      </c>
      <c r="H515">
        <v>1</v>
      </c>
    </row>
    <row r="516" spans="1:9" x14ac:dyDescent="0.2">
      <c r="A516" t="s">
        <v>1087</v>
      </c>
      <c r="B516" s="44">
        <v>42404</v>
      </c>
      <c r="C516" t="s">
        <v>4</v>
      </c>
      <c r="D516" t="s">
        <v>3157</v>
      </c>
      <c r="E516" t="s">
        <v>74</v>
      </c>
      <c r="F516" s="4">
        <v>5.0000000000000001E-3</v>
      </c>
      <c r="G516" s="4">
        <v>5.0000000000000001E-3</v>
      </c>
      <c r="H516">
        <v>1</v>
      </c>
    </row>
    <row r="517" spans="1:9" x14ac:dyDescent="0.2">
      <c r="A517" t="s">
        <v>1697</v>
      </c>
      <c r="B517" s="44">
        <v>42446</v>
      </c>
      <c r="C517" t="s">
        <v>4</v>
      </c>
      <c r="D517" t="s">
        <v>3157</v>
      </c>
      <c r="E517" t="s">
        <v>1698</v>
      </c>
      <c r="F517" s="4">
        <v>5.0000000000000001E-3</v>
      </c>
      <c r="G517" s="4">
        <v>5.0000000000000001E-3</v>
      </c>
      <c r="H517">
        <v>1</v>
      </c>
    </row>
    <row r="518" spans="1:9" x14ac:dyDescent="0.2">
      <c r="A518" t="s">
        <v>1818</v>
      </c>
      <c r="B518" s="44">
        <v>42474</v>
      </c>
      <c r="C518" t="s">
        <v>4</v>
      </c>
      <c r="D518" t="s">
        <v>3157</v>
      </c>
      <c r="E518" t="s">
        <v>1819</v>
      </c>
      <c r="F518" s="4">
        <v>5.0000000000000001E-3</v>
      </c>
      <c r="G518" s="4">
        <v>5.0000000000000001E-3</v>
      </c>
      <c r="H518">
        <v>1</v>
      </c>
    </row>
    <row r="519" spans="1:9" x14ac:dyDescent="0.2">
      <c r="A519" t="s">
        <v>1136</v>
      </c>
      <c r="B519" s="44">
        <v>42502</v>
      </c>
      <c r="C519" t="s">
        <v>4</v>
      </c>
      <c r="D519" t="s">
        <v>3157</v>
      </c>
      <c r="E519" t="s">
        <v>1137</v>
      </c>
      <c r="F519" s="4">
        <v>5.0000000000000001E-3</v>
      </c>
      <c r="G519" s="4">
        <v>5.0000000000000001E-3</v>
      </c>
      <c r="H519">
        <v>1</v>
      </c>
    </row>
    <row r="520" spans="1:9" x14ac:dyDescent="0.2">
      <c r="A520" t="s">
        <v>2124</v>
      </c>
      <c r="B520" s="44">
        <v>42537</v>
      </c>
      <c r="C520" t="s">
        <v>4</v>
      </c>
      <c r="D520" t="s">
        <v>3157</v>
      </c>
      <c r="E520" t="s">
        <v>2125</v>
      </c>
      <c r="F520" s="4">
        <v>5.0000000000000001E-3</v>
      </c>
      <c r="G520" s="4">
        <v>5.0000000000000001E-3</v>
      </c>
      <c r="H520">
        <v>1</v>
      </c>
    </row>
    <row r="521" spans="1:9" x14ac:dyDescent="0.2">
      <c r="A521" t="s">
        <v>2315</v>
      </c>
      <c r="B521" s="44">
        <v>42565</v>
      </c>
      <c r="C521" t="s">
        <v>4</v>
      </c>
      <c r="D521" t="s">
        <v>3157</v>
      </c>
      <c r="E521" t="s">
        <v>2316</v>
      </c>
      <c r="F521" s="4">
        <v>2.5000000000000001E-3</v>
      </c>
      <c r="G521" s="4">
        <v>5.0000000000000001E-3</v>
      </c>
      <c r="H521">
        <v>1</v>
      </c>
    </row>
    <row r="522" spans="1:9" x14ac:dyDescent="0.2">
      <c r="A522" t="s">
        <v>1091</v>
      </c>
      <c r="B522" s="44">
        <v>42586</v>
      </c>
      <c r="C522" t="s">
        <v>4</v>
      </c>
      <c r="D522" t="s">
        <v>4522</v>
      </c>
      <c r="E522" t="s">
        <v>373</v>
      </c>
      <c r="F522" s="4">
        <v>2.5000000000000001E-3</v>
      </c>
      <c r="G522" s="4">
        <v>2.5000000000000001E-3</v>
      </c>
      <c r="H522">
        <v>1</v>
      </c>
      <c r="I522" t="s">
        <v>4491</v>
      </c>
    </row>
    <row r="523" spans="1:9" x14ac:dyDescent="0.2">
      <c r="A523" t="s">
        <v>2494</v>
      </c>
      <c r="B523" s="44">
        <v>42628</v>
      </c>
      <c r="C523" t="s">
        <v>4</v>
      </c>
      <c r="D523" t="s">
        <v>3157</v>
      </c>
      <c r="E523" t="s">
        <v>2495</v>
      </c>
      <c r="F523" s="4">
        <v>2.5000000000000001E-3</v>
      </c>
      <c r="G523" s="4">
        <v>2.5000000000000001E-3</v>
      </c>
      <c r="H523">
        <v>1</v>
      </c>
    </row>
    <row r="524" spans="1:9" x14ac:dyDescent="0.2">
      <c r="A524" t="s">
        <v>1083</v>
      </c>
      <c r="B524" s="44">
        <v>42677</v>
      </c>
      <c r="C524" t="s">
        <v>4</v>
      </c>
      <c r="D524" t="s">
        <v>3157</v>
      </c>
      <c r="E524" t="s">
        <v>1084</v>
      </c>
      <c r="F524" s="4">
        <v>2.5000000000000001E-3</v>
      </c>
      <c r="G524" s="4">
        <v>2.5000000000000001E-3</v>
      </c>
      <c r="H524">
        <v>1</v>
      </c>
    </row>
    <row r="525" spans="1:9" x14ac:dyDescent="0.2">
      <c r="A525" t="s">
        <v>3040</v>
      </c>
      <c r="B525" s="44">
        <v>42719</v>
      </c>
      <c r="C525" t="s">
        <v>4</v>
      </c>
      <c r="D525" t="s">
        <v>3157</v>
      </c>
      <c r="E525" t="s">
        <v>3041</v>
      </c>
      <c r="F525" s="4">
        <v>2.5000000000000001E-3</v>
      </c>
      <c r="G525" s="4">
        <v>2.5000000000000001E-3</v>
      </c>
      <c r="H525">
        <v>1</v>
      </c>
    </row>
    <row r="526" spans="1:9" x14ac:dyDescent="0.2">
      <c r="A526" t="s">
        <v>1148</v>
      </c>
      <c r="B526" s="44">
        <v>42768</v>
      </c>
      <c r="C526" t="s">
        <v>4</v>
      </c>
      <c r="D526" t="s">
        <v>3157</v>
      </c>
      <c r="E526" t="s">
        <v>1149</v>
      </c>
      <c r="F526" s="4">
        <v>2.5000000000000001E-3</v>
      </c>
      <c r="G526" s="4">
        <v>2.5000000000000001E-3</v>
      </c>
      <c r="H526">
        <v>1</v>
      </c>
    </row>
    <row r="527" spans="1:9" x14ac:dyDescent="0.2">
      <c r="A527" t="s">
        <v>1686</v>
      </c>
      <c r="B527" s="44">
        <v>42810</v>
      </c>
      <c r="C527" t="s">
        <v>4</v>
      </c>
      <c r="D527" t="s">
        <v>3157</v>
      </c>
      <c r="E527" t="s">
        <v>1687</v>
      </c>
      <c r="F527" s="4">
        <v>2.5000000000000001E-3</v>
      </c>
      <c r="G527" s="4">
        <v>2.5000000000000001E-3</v>
      </c>
      <c r="H527">
        <v>1</v>
      </c>
    </row>
    <row r="528" spans="1:9" x14ac:dyDescent="0.2">
      <c r="A528" t="s">
        <v>1195</v>
      </c>
      <c r="B528" s="44">
        <v>42866</v>
      </c>
      <c r="C528" t="s">
        <v>4</v>
      </c>
      <c r="D528" t="s">
        <v>3157</v>
      </c>
      <c r="E528" t="s">
        <v>1054</v>
      </c>
      <c r="F528" s="4">
        <v>2.5000000000000001E-3</v>
      </c>
      <c r="G528" s="4">
        <v>2.5000000000000001E-3</v>
      </c>
      <c r="H528">
        <v>1</v>
      </c>
    </row>
    <row r="529" spans="1:8" x14ac:dyDescent="0.2">
      <c r="A529" t="s">
        <v>2111</v>
      </c>
      <c r="B529" s="44">
        <v>42901</v>
      </c>
      <c r="C529" t="s">
        <v>4</v>
      </c>
      <c r="D529" t="s">
        <v>3157</v>
      </c>
      <c r="E529" t="s">
        <v>2112</v>
      </c>
      <c r="F529" s="4">
        <v>2.5000000000000001E-3</v>
      </c>
      <c r="G529" s="4">
        <v>2.5000000000000001E-3</v>
      </c>
      <c r="H529">
        <v>1</v>
      </c>
    </row>
    <row r="530" spans="1:8" x14ac:dyDescent="0.2">
      <c r="A530" t="s">
        <v>1161</v>
      </c>
      <c r="B530" s="44">
        <v>42950</v>
      </c>
      <c r="C530" t="s">
        <v>4</v>
      </c>
      <c r="D530" t="s">
        <v>3157</v>
      </c>
      <c r="E530" t="s">
        <v>111</v>
      </c>
      <c r="F530" s="4">
        <v>2.5000000000000001E-3</v>
      </c>
      <c r="G530" s="4">
        <v>2.5000000000000001E-3</v>
      </c>
      <c r="H530">
        <v>1</v>
      </c>
    </row>
    <row r="531" spans="1:8" x14ac:dyDescent="0.2">
      <c r="A531" t="s">
        <v>2489</v>
      </c>
      <c r="B531" s="44">
        <v>42992</v>
      </c>
      <c r="C531" t="s">
        <v>4</v>
      </c>
      <c r="D531" t="s">
        <v>3157</v>
      </c>
      <c r="E531" t="s">
        <v>2490</v>
      </c>
      <c r="F531" s="4">
        <v>2.5000000000000001E-3</v>
      </c>
      <c r="G531" s="4">
        <v>2.5000000000000001E-3</v>
      </c>
      <c r="H531">
        <v>1</v>
      </c>
    </row>
    <row r="532" spans="1:8" x14ac:dyDescent="0.2">
      <c r="A532" t="s">
        <v>1155</v>
      </c>
      <c r="B532" s="44">
        <v>43041</v>
      </c>
      <c r="C532" t="s">
        <v>4</v>
      </c>
      <c r="D532" t="s">
        <v>3157</v>
      </c>
      <c r="E532" t="s">
        <v>1156</v>
      </c>
      <c r="F532" s="4">
        <v>5.0000000000000001E-3</v>
      </c>
      <c r="G532" s="4">
        <v>5.0000000000000001E-3</v>
      </c>
      <c r="H532">
        <v>1</v>
      </c>
    </row>
    <row r="533" spans="1:8" x14ac:dyDescent="0.2">
      <c r="A533" t="s">
        <v>3037</v>
      </c>
      <c r="B533" s="44">
        <v>43083</v>
      </c>
      <c r="C533" t="s">
        <v>4</v>
      </c>
      <c r="D533" t="s">
        <v>3157</v>
      </c>
      <c r="E533" t="s">
        <v>3038</v>
      </c>
      <c r="F533" s="4">
        <v>5.0000000000000001E-3</v>
      </c>
      <c r="G533" s="4">
        <v>5.0000000000000001E-3</v>
      </c>
      <c r="H533">
        <v>1</v>
      </c>
    </row>
    <row r="534" spans="1:8" x14ac:dyDescent="0.2">
      <c r="A534" t="s">
        <v>1232</v>
      </c>
      <c r="B534" s="44">
        <v>43139</v>
      </c>
      <c r="C534" t="s">
        <v>4</v>
      </c>
      <c r="D534" t="s">
        <v>3157</v>
      </c>
      <c r="E534" t="s">
        <v>205</v>
      </c>
      <c r="F534" s="4">
        <v>5.0000000000000001E-3</v>
      </c>
      <c r="G534" s="4">
        <v>5.0000000000000001E-3</v>
      </c>
      <c r="H534">
        <v>1</v>
      </c>
    </row>
    <row r="535" spans="1:8" x14ac:dyDescent="0.2">
      <c r="A535" t="s">
        <v>1743</v>
      </c>
      <c r="B535" s="44">
        <v>43181</v>
      </c>
      <c r="C535" t="s">
        <v>4</v>
      </c>
      <c r="D535" t="s">
        <v>3157</v>
      </c>
      <c r="E535" t="s">
        <v>1744</v>
      </c>
      <c r="F535" s="4">
        <v>5.0000000000000001E-3</v>
      </c>
      <c r="G535" s="4">
        <v>5.0000000000000001E-3</v>
      </c>
      <c r="H535">
        <v>1</v>
      </c>
    </row>
    <row r="536" spans="1:8" x14ac:dyDescent="0.2">
      <c r="A536" t="s">
        <v>1239</v>
      </c>
      <c r="B536" s="44">
        <v>43230</v>
      </c>
      <c r="C536" t="s">
        <v>4</v>
      </c>
      <c r="D536" t="s">
        <v>3157</v>
      </c>
      <c r="E536" t="s">
        <v>217</v>
      </c>
      <c r="F536" s="4">
        <v>5.0000000000000001E-3</v>
      </c>
      <c r="G536" s="4">
        <v>5.0000000000000001E-3</v>
      </c>
      <c r="H536">
        <v>1</v>
      </c>
    </row>
    <row r="537" spans="1:8" x14ac:dyDescent="0.2">
      <c r="A537" t="s">
        <v>2205</v>
      </c>
      <c r="B537" s="44">
        <v>43272</v>
      </c>
      <c r="C537" t="s">
        <v>4</v>
      </c>
      <c r="D537" t="s">
        <v>3157</v>
      </c>
      <c r="E537" t="s">
        <v>2206</v>
      </c>
      <c r="F537" s="4">
        <v>5.0000000000000001E-3</v>
      </c>
      <c r="G537" s="4">
        <v>5.0000000000000001E-3</v>
      </c>
      <c r="H537">
        <v>1</v>
      </c>
    </row>
    <row r="538" spans="1:8" x14ac:dyDescent="0.2">
      <c r="A538" t="s">
        <v>1210</v>
      </c>
      <c r="B538" s="44">
        <v>43314</v>
      </c>
      <c r="C538" t="s">
        <v>4</v>
      </c>
      <c r="D538" t="s">
        <v>3157</v>
      </c>
      <c r="E538" t="s">
        <v>175</v>
      </c>
      <c r="F538" s="4">
        <v>7.4999999999999902E-3</v>
      </c>
      <c r="G538" s="4">
        <v>7.4999999999999997E-3</v>
      </c>
      <c r="H538">
        <v>1</v>
      </c>
    </row>
    <row r="539" spans="1:8" x14ac:dyDescent="0.2">
      <c r="A539" t="s">
        <v>2474</v>
      </c>
      <c r="B539" s="44">
        <v>43356</v>
      </c>
      <c r="C539" t="s">
        <v>4</v>
      </c>
      <c r="D539" t="s">
        <v>3157</v>
      </c>
      <c r="E539" t="s">
        <v>2475</v>
      </c>
      <c r="F539" s="4">
        <v>7.4999999999999902E-3</v>
      </c>
      <c r="G539" s="4">
        <v>7.4999999999999997E-3</v>
      </c>
      <c r="H539">
        <v>1</v>
      </c>
    </row>
    <row r="540" spans="1:8" x14ac:dyDescent="0.2">
      <c r="A540" t="s">
        <v>1204</v>
      </c>
      <c r="B540" s="44">
        <v>43405</v>
      </c>
      <c r="C540" t="s">
        <v>4</v>
      </c>
      <c r="D540" t="s">
        <v>3157</v>
      </c>
      <c r="E540" t="s">
        <v>1205</v>
      </c>
      <c r="F540" s="4">
        <v>7.4999999999999902E-3</v>
      </c>
      <c r="G540" s="4">
        <v>7.4999999999999997E-3</v>
      </c>
      <c r="H540">
        <v>1</v>
      </c>
    </row>
    <row r="541" spans="1:8" x14ac:dyDescent="0.2">
      <c r="A541" t="s">
        <v>3088</v>
      </c>
      <c r="B541" s="44">
        <v>43454</v>
      </c>
      <c r="C541" t="s">
        <v>4</v>
      </c>
      <c r="D541" t="s">
        <v>3157</v>
      </c>
      <c r="E541" t="s">
        <v>3089</v>
      </c>
      <c r="F541" s="4">
        <v>7.4999999999999902E-3</v>
      </c>
      <c r="G541" s="4">
        <v>7.4999999999999997E-3</v>
      </c>
      <c r="H541">
        <v>1</v>
      </c>
    </row>
    <row r="542" spans="1:8" x14ac:dyDescent="0.2">
      <c r="A542" t="s">
        <v>1269</v>
      </c>
      <c r="B542" s="44">
        <v>43503</v>
      </c>
      <c r="C542" t="s">
        <v>4</v>
      </c>
      <c r="D542" t="s">
        <v>3157</v>
      </c>
      <c r="E542" t="s">
        <v>249</v>
      </c>
      <c r="F542" s="4">
        <v>7.4999999999999902E-3</v>
      </c>
      <c r="G542" s="4">
        <v>7.4999999999999997E-3</v>
      </c>
      <c r="H542">
        <v>1</v>
      </c>
    </row>
    <row r="543" spans="1:8" x14ac:dyDescent="0.2">
      <c r="A543" t="s">
        <v>1262</v>
      </c>
      <c r="B543" s="44">
        <v>43529</v>
      </c>
      <c r="C543" t="s">
        <v>4</v>
      </c>
      <c r="D543" t="s">
        <v>3158</v>
      </c>
      <c r="H543">
        <v>1</v>
      </c>
    </row>
    <row r="544" spans="1:8" x14ac:dyDescent="0.2">
      <c r="A544" t="s">
        <v>1734</v>
      </c>
      <c r="B544" s="44">
        <v>43545</v>
      </c>
      <c r="C544" t="s">
        <v>4</v>
      </c>
      <c r="D544" t="s">
        <v>3157</v>
      </c>
      <c r="E544" t="s">
        <v>1735</v>
      </c>
      <c r="F544" s="4">
        <v>7.4999999999999902E-3</v>
      </c>
      <c r="G544" s="4">
        <v>7.4999999999999997E-3</v>
      </c>
      <c r="H544">
        <v>1</v>
      </c>
    </row>
    <row r="545" spans="1:9" x14ac:dyDescent="0.2">
      <c r="A545" t="s">
        <v>1254</v>
      </c>
      <c r="B545" s="44">
        <v>43587</v>
      </c>
      <c r="C545" t="s">
        <v>4</v>
      </c>
      <c r="D545" t="s">
        <v>3157</v>
      </c>
      <c r="E545" t="s">
        <v>1255</v>
      </c>
      <c r="F545" s="4">
        <v>7.4999999999999902E-3</v>
      </c>
      <c r="G545" s="4">
        <v>7.4999999999999997E-3</v>
      </c>
      <c r="H545">
        <v>1</v>
      </c>
    </row>
    <row r="546" spans="1:9" x14ac:dyDescent="0.2">
      <c r="A546" t="s">
        <v>2191</v>
      </c>
      <c r="B546" s="44">
        <v>43636</v>
      </c>
      <c r="C546" t="s">
        <v>4</v>
      </c>
      <c r="D546" t="s">
        <v>3157</v>
      </c>
      <c r="E546" t="s">
        <v>2192</v>
      </c>
      <c r="F546" s="4">
        <v>7.4999999999999902E-3</v>
      </c>
      <c r="G546" s="4">
        <v>7.4999999999999997E-3</v>
      </c>
      <c r="H546">
        <v>1</v>
      </c>
    </row>
    <row r="547" spans="1:9" x14ac:dyDescent="0.2">
      <c r="A547" t="s">
        <v>1252</v>
      </c>
      <c r="B547" s="44">
        <v>43678</v>
      </c>
      <c r="C547" t="s">
        <v>4</v>
      </c>
      <c r="D547" t="s">
        <v>3157</v>
      </c>
      <c r="E547" t="s">
        <v>222</v>
      </c>
      <c r="F547" s="4">
        <v>7.4999999999999902E-3</v>
      </c>
      <c r="G547" s="4">
        <v>7.4999999999999997E-3</v>
      </c>
      <c r="H547">
        <v>1</v>
      </c>
    </row>
    <row r="548" spans="1:9" x14ac:dyDescent="0.2">
      <c r="A548" t="s">
        <v>2532</v>
      </c>
      <c r="B548" s="44">
        <v>43727</v>
      </c>
      <c r="C548" t="s">
        <v>4</v>
      </c>
      <c r="D548" t="s">
        <v>3157</v>
      </c>
      <c r="E548" t="s">
        <v>2533</v>
      </c>
      <c r="F548" s="4">
        <v>7.4999999999999902E-3</v>
      </c>
      <c r="G548" s="4">
        <v>7.4999999999999997E-3</v>
      </c>
      <c r="H548">
        <v>1</v>
      </c>
    </row>
    <row r="549" spans="1:9" x14ac:dyDescent="0.2">
      <c r="A549" t="s">
        <v>1274</v>
      </c>
      <c r="B549" s="44">
        <v>43776</v>
      </c>
      <c r="C549" t="s">
        <v>4</v>
      </c>
      <c r="D549" t="s">
        <v>3157</v>
      </c>
      <c r="E549" t="s">
        <v>254</v>
      </c>
      <c r="F549" s="4">
        <v>7.4999999999999902E-3</v>
      </c>
      <c r="G549" s="4">
        <v>7.4999999999999997E-3</v>
      </c>
      <c r="H549">
        <v>1</v>
      </c>
    </row>
    <row r="550" spans="1:9" x14ac:dyDescent="0.2">
      <c r="A550" t="s">
        <v>3079</v>
      </c>
      <c r="B550" s="44">
        <v>43818</v>
      </c>
      <c r="C550" t="s">
        <v>4</v>
      </c>
      <c r="D550" t="s">
        <v>3157</v>
      </c>
      <c r="E550" t="s">
        <v>3080</v>
      </c>
      <c r="F550" s="4">
        <v>7.4999999999999902E-3</v>
      </c>
      <c r="G550" s="4">
        <v>7.4999999999999997E-3</v>
      </c>
      <c r="H550">
        <v>1</v>
      </c>
    </row>
    <row r="551" spans="1:9" x14ac:dyDescent="0.2">
      <c r="A551" t="s">
        <v>1485</v>
      </c>
      <c r="B551" s="44">
        <v>43860</v>
      </c>
      <c r="C551" t="s">
        <v>4</v>
      </c>
      <c r="D551" t="s">
        <v>3157</v>
      </c>
      <c r="E551" t="s">
        <v>1486</v>
      </c>
      <c r="F551" s="4">
        <v>7.4999999999999902E-3</v>
      </c>
      <c r="G551" s="4">
        <v>7.4999999999999997E-3</v>
      </c>
      <c r="H551">
        <v>1</v>
      </c>
    </row>
    <row r="552" spans="1:9" ht="32" x14ac:dyDescent="0.2">
      <c r="A552" t="s">
        <v>1330</v>
      </c>
      <c r="B552" s="44">
        <v>43901</v>
      </c>
      <c r="C552" t="s">
        <v>4</v>
      </c>
      <c r="D552" s="18" t="s">
        <v>4523</v>
      </c>
      <c r="E552" t="s">
        <v>1331</v>
      </c>
      <c r="G552" s="4">
        <v>2.5000000000000001E-3</v>
      </c>
      <c r="H552">
        <v>1</v>
      </c>
      <c r="I552" t="s">
        <v>4491</v>
      </c>
    </row>
    <row r="553" spans="1:9" x14ac:dyDescent="0.2">
      <c r="A553" t="s">
        <v>1711</v>
      </c>
      <c r="B553" s="44">
        <v>43909</v>
      </c>
      <c r="C553" t="s">
        <v>4</v>
      </c>
      <c r="D553" t="s">
        <v>4524</v>
      </c>
      <c r="E553" t="s">
        <v>1712</v>
      </c>
      <c r="G553" s="4">
        <v>1E-3</v>
      </c>
      <c r="H553">
        <v>1</v>
      </c>
      <c r="I553" t="s">
        <v>4491</v>
      </c>
    </row>
    <row r="554" spans="1:9" x14ac:dyDescent="0.2">
      <c r="A554" t="s">
        <v>1777</v>
      </c>
      <c r="B554" s="44">
        <v>43916</v>
      </c>
      <c r="C554" t="s">
        <v>4</v>
      </c>
      <c r="D554" t="s">
        <v>3157</v>
      </c>
      <c r="E554" t="s">
        <v>1778</v>
      </c>
      <c r="F554" s="4">
        <v>1E-3</v>
      </c>
      <c r="G554" s="4">
        <v>1E-3</v>
      </c>
      <c r="H554">
        <v>1</v>
      </c>
    </row>
    <row r="555" spans="1:9" x14ac:dyDescent="0.2">
      <c r="A555" t="s">
        <v>1316</v>
      </c>
      <c r="B555" s="44">
        <v>43958</v>
      </c>
      <c r="C555" t="s">
        <v>4</v>
      </c>
      <c r="D555" t="s">
        <v>3157</v>
      </c>
      <c r="E555" t="s">
        <v>39</v>
      </c>
      <c r="F555" s="4">
        <v>1E-3</v>
      </c>
      <c r="G555" s="4">
        <v>1E-3</v>
      </c>
      <c r="H555">
        <v>1</v>
      </c>
    </row>
    <row r="556" spans="1:9" x14ac:dyDescent="0.2">
      <c r="A556" t="s">
        <v>2163</v>
      </c>
      <c r="B556" s="44">
        <v>44000</v>
      </c>
      <c r="C556" t="s">
        <v>4</v>
      </c>
      <c r="D556" t="s">
        <v>3157</v>
      </c>
      <c r="E556" t="s">
        <v>2164</v>
      </c>
      <c r="F556" s="4">
        <v>1E-3</v>
      </c>
      <c r="G556" s="4">
        <v>1E-3</v>
      </c>
      <c r="H556">
        <v>1</v>
      </c>
    </row>
    <row r="557" spans="1:9" x14ac:dyDescent="0.2">
      <c r="A557" t="s">
        <v>1314</v>
      </c>
      <c r="B557" s="44">
        <v>44049</v>
      </c>
      <c r="C557" t="s">
        <v>4</v>
      </c>
      <c r="D557" t="s">
        <v>3157</v>
      </c>
      <c r="E557" t="s">
        <v>36</v>
      </c>
      <c r="F557" s="4">
        <v>1E-3</v>
      </c>
      <c r="G557" s="4">
        <v>1E-3</v>
      </c>
      <c r="H557">
        <v>1</v>
      </c>
    </row>
    <row r="558" spans="1:9" x14ac:dyDescent="0.2">
      <c r="A558" t="s">
        <v>2511</v>
      </c>
      <c r="B558" s="44">
        <v>44091</v>
      </c>
      <c r="C558" t="s">
        <v>4</v>
      </c>
      <c r="D558" t="s">
        <v>3157</v>
      </c>
      <c r="E558" t="s">
        <v>2512</v>
      </c>
      <c r="F558" s="4">
        <v>1E-3</v>
      </c>
      <c r="G558" s="4">
        <v>1E-3</v>
      </c>
      <c r="H558">
        <v>1</v>
      </c>
    </row>
    <row r="559" spans="1:9" x14ac:dyDescent="0.2">
      <c r="A559" t="s">
        <v>1313</v>
      </c>
      <c r="B559" s="44">
        <v>44140</v>
      </c>
      <c r="C559" t="s">
        <v>4</v>
      </c>
      <c r="D559" t="s">
        <v>3157</v>
      </c>
      <c r="E559" t="s">
        <v>31</v>
      </c>
      <c r="F559" s="4">
        <v>1E-3</v>
      </c>
      <c r="G559" s="4">
        <v>1E-3</v>
      </c>
      <c r="H559">
        <v>1</v>
      </c>
    </row>
    <row r="560" spans="1:9" x14ac:dyDescent="0.2">
      <c r="A560" t="s">
        <v>3062</v>
      </c>
      <c r="B560" s="44">
        <v>44182</v>
      </c>
      <c r="C560" t="s">
        <v>4</v>
      </c>
      <c r="D560" t="s">
        <v>3157</v>
      </c>
      <c r="E560" t="s">
        <v>3063</v>
      </c>
      <c r="F560" s="4">
        <v>1E-3</v>
      </c>
      <c r="G560" s="4">
        <v>1E-3</v>
      </c>
      <c r="H560">
        <v>1</v>
      </c>
    </row>
    <row r="561" spans="1:9" x14ac:dyDescent="0.2">
      <c r="A561" t="s">
        <v>2103</v>
      </c>
      <c r="B561" s="44">
        <v>42535</v>
      </c>
      <c r="C561" t="s">
        <v>4</v>
      </c>
      <c r="D561" t="s">
        <v>3153</v>
      </c>
      <c r="F561"/>
      <c r="G561"/>
      <c r="H561">
        <v>2</v>
      </c>
    </row>
    <row r="562" spans="1:9" x14ac:dyDescent="0.2">
      <c r="A562" t="s">
        <v>2203</v>
      </c>
      <c r="B562" s="44">
        <v>42542</v>
      </c>
      <c r="C562" t="s">
        <v>4</v>
      </c>
      <c r="D562" t="s">
        <v>3154</v>
      </c>
      <c r="F562"/>
      <c r="G562"/>
      <c r="H562">
        <v>2</v>
      </c>
    </row>
    <row r="563" spans="1:9" x14ac:dyDescent="0.2">
      <c r="A563" t="s">
        <v>2278</v>
      </c>
      <c r="B563" s="44">
        <v>42549</v>
      </c>
      <c r="C563" t="s">
        <v>4</v>
      </c>
      <c r="D563" t="s">
        <v>3155</v>
      </c>
      <c r="F563"/>
      <c r="G563"/>
      <c r="H563">
        <v>2</v>
      </c>
    </row>
    <row r="564" spans="1:9" x14ac:dyDescent="0.2">
      <c r="A564" t="s">
        <v>1098</v>
      </c>
      <c r="B564" s="44">
        <v>42556</v>
      </c>
      <c r="C564" t="s">
        <v>4</v>
      </c>
      <c r="D564" t="s">
        <v>1079</v>
      </c>
      <c r="F564"/>
      <c r="G564"/>
      <c r="H564">
        <v>2</v>
      </c>
    </row>
    <row r="565" spans="1:9" x14ac:dyDescent="0.2">
      <c r="A565" t="s">
        <v>1140</v>
      </c>
      <c r="B565" s="44">
        <v>42563</v>
      </c>
      <c r="C565" t="s">
        <v>4</v>
      </c>
      <c r="D565" t="s">
        <v>1079</v>
      </c>
      <c r="F565"/>
      <c r="G565"/>
      <c r="H565">
        <v>2</v>
      </c>
    </row>
    <row r="566" spans="1:9" x14ac:dyDescent="0.2">
      <c r="A566" t="s">
        <v>2362</v>
      </c>
      <c r="B566" s="44">
        <v>42570</v>
      </c>
      <c r="C566" t="s">
        <v>4</v>
      </c>
      <c r="D566" t="s">
        <v>1079</v>
      </c>
      <c r="F566"/>
      <c r="G566"/>
      <c r="H566">
        <v>2</v>
      </c>
    </row>
    <row r="567" spans="1:9" x14ac:dyDescent="0.2">
      <c r="A567" t="s">
        <v>2402</v>
      </c>
      <c r="B567" s="44">
        <v>42577</v>
      </c>
      <c r="C567" t="s">
        <v>4</v>
      </c>
      <c r="D567" t="s">
        <v>1079</v>
      </c>
      <c r="F567"/>
      <c r="G567"/>
      <c r="H567">
        <v>2</v>
      </c>
    </row>
    <row r="568" spans="1:9" x14ac:dyDescent="0.2">
      <c r="A568" t="s">
        <v>1078</v>
      </c>
      <c r="B568" s="44">
        <v>42584</v>
      </c>
      <c r="C568" t="s">
        <v>4</v>
      </c>
      <c r="D568" t="s">
        <v>1079</v>
      </c>
      <c r="F568"/>
      <c r="G568"/>
      <c r="H568">
        <v>2</v>
      </c>
    </row>
    <row r="569" spans="1:9" x14ac:dyDescent="0.2">
      <c r="A569" t="s">
        <v>1123</v>
      </c>
      <c r="B569" s="44">
        <v>42591</v>
      </c>
      <c r="C569" t="s">
        <v>4</v>
      </c>
      <c r="D569" t="s">
        <v>1079</v>
      </c>
      <c r="F569"/>
      <c r="G569"/>
      <c r="H569">
        <v>2</v>
      </c>
    </row>
    <row r="570" spans="1:9" x14ac:dyDescent="0.2">
      <c r="A570" t="s">
        <v>2426</v>
      </c>
      <c r="B570" s="44">
        <v>42598</v>
      </c>
      <c r="C570" t="s">
        <v>4</v>
      </c>
      <c r="D570" t="s">
        <v>1079</v>
      </c>
      <c r="F570"/>
      <c r="G570"/>
      <c r="H570">
        <v>2</v>
      </c>
    </row>
    <row r="571" spans="1:9" x14ac:dyDescent="0.2">
      <c r="A571" t="s">
        <v>2441</v>
      </c>
      <c r="B571" s="44">
        <v>42604</v>
      </c>
      <c r="C571" t="s">
        <v>4</v>
      </c>
      <c r="D571" t="s">
        <v>4490</v>
      </c>
      <c r="F571"/>
      <c r="G571"/>
      <c r="H571">
        <v>2</v>
      </c>
      <c r="I571" t="s">
        <v>4491</v>
      </c>
    </row>
    <row r="572" spans="1:9" x14ac:dyDescent="0.2">
      <c r="A572" t="s">
        <v>2446</v>
      </c>
      <c r="B572" s="44">
        <v>42605</v>
      </c>
      <c r="C572" t="s">
        <v>4</v>
      </c>
      <c r="D572" t="s">
        <v>1079</v>
      </c>
      <c r="F572"/>
      <c r="G572"/>
      <c r="H572">
        <v>2</v>
      </c>
    </row>
    <row r="573" spans="1:9" x14ac:dyDescent="0.2">
      <c r="A573" t="s">
        <v>2447</v>
      </c>
      <c r="B573" s="44">
        <v>42605</v>
      </c>
      <c r="C573" t="s">
        <v>4</v>
      </c>
      <c r="D573" t="s">
        <v>4490</v>
      </c>
      <c r="F573"/>
      <c r="G573"/>
      <c r="H573">
        <v>2</v>
      </c>
      <c r="I573" t="s">
        <v>4491</v>
      </c>
    </row>
    <row r="574" spans="1:9" x14ac:dyDescent="0.2">
      <c r="A574" t="s">
        <v>2449</v>
      </c>
      <c r="B574" s="44">
        <v>42606</v>
      </c>
      <c r="C574" t="s">
        <v>4</v>
      </c>
      <c r="D574" t="s">
        <v>4490</v>
      </c>
      <c r="F574"/>
      <c r="G574"/>
      <c r="H574">
        <v>2</v>
      </c>
      <c r="I574" t="s">
        <v>4491</v>
      </c>
    </row>
    <row r="575" spans="1:9" x14ac:dyDescent="0.2">
      <c r="A575" t="s">
        <v>2464</v>
      </c>
      <c r="B575" s="44">
        <v>42612</v>
      </c>
      <c r="C575" t="s">
        <v>4</v>
      </c>
      <c r="D575" t="s">
        <v>1079</v>
      </c>
      <c r="F575"/>
      <c r="G575"/>
      <c r="H575">
        <v>2</v>
      </c>
    </row>
    <row r="576" spans="1:9" x14ac:dyDescent="0.2">
      <c r="A576" t="s">
        <v>2465</v>
      </c>
      <c r="B576" s="44">
        <v>42612</v>
      </c>
      <c r="C576" t="s">
        <v>4</v>
      </c>
      <c r="D576" t="s">
        <v>4490</v>
      </c>
      <c r="F576"/>
      <c r="G576"/>
      <c r="H576">
        <v>2</v>
      </c>
      <c r="I576" t="s">
        <v>4491</v>
      </c>
    </row>
    <row r="577" spans="1:9" x14ac:dyDescent="0.2">
      <c r="A577" t="s">
        <v>2467</v>
      </c>
      <c r="B577" s="44">
        <v>42613</v>
      </c>
      <c r="C577" t="s">
        <v>4</v>
      </c>
      <c r="D577" t="s">
        <v>4490</v>
      </c>
      <c r="F577"/>
      <c r="G577"/>
      <c r="H577">
        <v>2</v>
      </c>
      <c r="I577" t="s">
        <v>4491</v>
      </c>
    </row>
    <row r="578" spans="1:9" x14ac:dyDescent="0.2">
      <c r="A578" t="s">
        <v>1100</v>
      </c>
      <c r="B578" s="44">
        <v>42618</v>
      </c>
      <c r="C578" t="s">
        <v>4</v>
      </c>
      <c r="D578" t="s">
        <v>4490</v>
      </c>
      <c r="F578"/>
      <c r="G578"/>
      <c r="H578">
        <v>2</v>
      </c>
      <c r="I578" t="s">
        <v>4491</v>
      </c>
    </row>
    <row r="579" spans="1:9" x14ac:dyDescent="0.2">
      <c r="A579" t="s">
        <v>1105</v>
      </c>
      <c r="B579" s="44">
        <v>42619</v>
      </c>
      <c r="C579" t="s">
        <v>4</v>
      </c>
      <c r="D579" t="s">
        <v>1079</v>
      </c>
      <c r="F579"/>
      <c r="G579"/>
      <c r="H579">
        <v>2</v>
      </c>
    </row>
    <row r="580" spans="1:9" x14ac:dyDescent="0.2">
      <c r="A580" t="s">
        <v>1106</v>
      </c>
      <c r="B580" s="44">
        <v>42619</v>
      </c>
      <c r="C580" t="s">
        <v>4</v>
      </c>
      <c r="D580" t="s">
        <v>4490</v>
      </c>
      <c r="F580"/>
      <c r="G580"/>
      <c r="H580">
        <v>2</v>
      </c>
      <c r="I580" t="s">
        <v>4491</v>
      </c>
    </row>
    <row r="581" spans="1:9" x14ac:dyDescent="0.2">
      <c r="A581" t="s">
        <v>1112</v>
      </c>
      <c r="B581" s="44">
        <v>42620</v>
      </c>
      <c r="C581" t="s">
        <v>4</v>
      </c>
      <c r="D581" t="s">
        <v>4490</v>
      </c>
      <c r="F581"/>
      <c r="G581"/>
      <c r="H581">
        <v>2</v>
      </c>
      <c r="I581" t="s">
        <v>4491</v>
      </c>
    </row>
    <row r="582" spans="1:9" x14ac:dyDescent="0.2">
      <c r="A582" t="s">
        <v>1141</v>
      </c>
      <c r="B582" s="44">
        <v>42625</v>
      </c>
      <c r="C582" t="s">
        <v>4</v>
      </c>
      <c r="D582" t="s">
        <v>4490</v>
      </c>
      <c r="F582"/>
      <c r="G582"/>
      <c r="H582">
        <v>2</v>
      </c>
      <c r="I582" t="s">
        <v>4491</v>
      </c>
    </row>
    <row r="583" spans="1:9" x14ac:dyDescent="0.2">
      <c r="A583" t="s">
        <v>2472</v>
      </c>
      <c r="B583" s="44">
        <v>42626</v>
      </c>
      <c r="C583" t="s">
        <v>4</v>
      </c>
      <c r="D583" t="s">
        <v>1079</v>
      </c>
      <c r="F583"/>
      <c r="G583"/>
      <c r="H583">
        <v>2</v>
      </c>
    </row>
    <row r="584" spans="1:9" x14ac:dyDescent="0.2">
      <c r="A584" t="s">
        <v>2473</v>
      </c>
      <c r="B584" s="44">
        <v>42626</v>
      </c>
      <c r="C584" t="s">
        <v>4</v>
      </c>
      <c r="D584" t="s">
        <v>4490</v>
      </c>
      <c r="F584"/>
      <c r="G584"/>
      <c r="H584">
        <v>2</v>
      </c>
      <c r="I584" t="s">
        <v>4491</v>
      </c>
    </row>
    <row r="585" spans="1:9" x14ac:dyDescent="0.2">
      <c r="A585" t="s">
        <v>2488</v>
      </c>
      <c r="B585" s="44">
        <v>42627</v>
      </c>
      <c r="C585" t="s">
        <v>4</v>
      </c>
      <c r="D585" t="s">
        <v>4490</v>
      </c>
      <c r="F585"/>
      <c r="G585"/>
      <c r="H585">
        <v>2</v>
      </c>
      <c r="I585" t="s">
        <v>4491</v>
      </c>
    </row>
    <row r="586" spans="1:9" x14ac:dyDescent="0.2">
      <c r="A586" t="s">
        <v>2529</v>
      </c>
      <c r="B586" s="44">
        <v>42632</v>
      </c>
      <c r="C586" t="s">
        <v>4</v>
      </c>
      <c r="D586" t="s">
        <v>4490</v>
      </c>
      <c r="F586"/>
      <c r="G586"/>
      <c r="H586">
        <v>2</v>
      </c>
      <c r="I586" t="s">
        <v>4491</v>
      </c>
    </row>
    <row r="587" spans="1:9" x14ac:dyDescent="0.2">
      <c r="A587" t="s">
        <v>2544</v>
      </c>
      <c r="B587" s="44">
        <v>42633</v>
      </c>
      <c r="C587" t="s">
        <v>4</v>
      </c>
      <c r="D587" t="s">
        <v>1079</v>
      </c>
      <c r="F587"/>
      <c r="G587"/>
      <c r="H587">
        <v>2</v>
      </c>
    </row>
    <row r="588" spans="1:9" x14ac:dyDescent="0.2">
      <c r="A588" t="s">
        <v>2546</v>
      </c>
      <c r="B588" s="44">
        <v>42633</v>
      </c>
      <c r="C588" t="s">
        <v>4</v>
      </c>
      <c r="D588" t="s">
        <v>4490</v>
      </c>
      <c r="F588"/>
      <c r="G588"/>
      <c r="H588">
        <v>2</v>
      </c>
      <c r="I588" t="s">
        <v>4491</v>
      </c>
    </row>
    <row r="589" spans="1:9" x14ac:dyDescent="0.2">
      <c r="A589" t="s">
        <v>2557</v>
      </c>
      <c r="B589" s="44">
        <v>42634</v>
      </c>
      <c r="C589" t="s">
        <v>4</v>
      </c>
      <c r="D589" t="s">
        <v>4490</v>
      </c>
      <c r="F589"/>
      <c r="G589"/>
      <c r="H589">
        <v>2</v>
      </c>
      <c r="I589" t="s">
        <v>4491</v>
      </c>
    </row>
    <row r="590" spans="1:9" x14ac:dyDescent="0.2">
      <c r="A590" t="s">
        <v>2594</v>
      </c>
      <c r="B590" s="44">
        <v>42639</v>
      </c>
      <c r="C590" t="s">
        <v>4</v>
      </c>
      <c r="D590" t="s">
        <v>4490</v>
      </c>
      <c r="F590"/>
      <c r="G590"/>
      <c r="H590">
        <v>2</v>
      </c>
      <c r="I590" t="s">
        <v>4491</v>
      </c>
    </row>
    <row r="591" spans="1:9" x14ac:dyDescent="0.2">
      <c r="A591" t="s">
        <v>2602</v>
      </c>
      <c r="B591" s="44">
        <v>42640</v>
      </c>
      <c r="C591" t="s">
        <v>4</v>
      </c>
      <c r="D591" t="s">
        <v>1079</v>
      </c>
      <c r="F591"/>
      <c r="G591"/>
      <c r="H591">
        <v>2</v>
      </c>
    </row>
    <row r="592" spans="1:9" x14ac:dyDescent="0.2">
      <c r="A592" t="s">
        <v>2603</v>
      </c>
      <c r="B592" s="44">
        <v>42640</v>
      </c>
      <c r="C592" t="s">
        <v>4</v>
      </c>
      <c r="D592" t="s">
        <v>4490</v>
      </c>
      <c r="F592"/>
      <c r="G592"/>
      <c r="H592">
        <v>2</v>
      </c>
      <c r="I592" t="s">
        <v>4491</v>
      </c>
    </row>
    <row r="593" spans="1:9" x14ac:dyDescent="0.2">
      <c r="A593" t="s">
        <v>2612</v>
      </c>
      <c r="B593" s="44">
        <v>42641</v>
      </c>
      <c r="C593" t="s">
        <v>4</v>
      </c>
      <c r="D593" t="s">
        <v>4490</v>
      </c>
      <c r="F593"/>
      <c r="G593"/>
      <c r="H593">
        <v>2</v>
      </c>
      <c r="I593" t="s">
        <v>4491</v>
      </c>
    </row>
    <row r="594" spans="1:9" x14ac:dyDescent="0.2">
      <c r="A594" t="s">
        <v>1082</v>
      </c>
      <c r="B594" s="44">
        <v>42646</v>
      </c>
      <c r="C594" t="s">
        <v>4</v>
      </c>
      <c r="D594" t="s">
        <v>4490</v>
      </c>
      <c r="F594"/>
      <c r="G594"/>
      <c r="H594">
        <v>2</v>
      </c>
      <c r="I594" t="s">
        <v>4491</v>
      </c>
    </row>
    <row r="595" spans="1:9" x14ac:dyDescent="0.2">
      <c r="A595" t="s">
        <v>1093</v>
      </c>
      <c r="B595" s="44">
        <v>42647</v>
      </c>
      <c r="C595" t="s">
        <v>4</v>
      </c>
      <c r="D595" t="s">
        <v>4490</v>
      </c>
      <c r="F595"/>
      <c r="G595"/>
      <c r="H595">
        <v>2</v>
      </c>
      <c r="I595" t="s">
        <v>4491</v>
      </c>
    </row>
    <row r="596" spans="1:9" x14ac:dyDescent="0.2">
      <c r="A596" t="s">
        <v>1102</v>
      </c>
      <c r="B596" s="44">
        <v>42648</v>
      </c>
      <c r="C596" t="s">
        <v>4</v>
      </c>
      <c r="D596" t="s">
        <v>4490</v>
      </c>
      <c r="F596"/>
      <c r="G596"/>
      <c r="H596">
        <v>2</v>
      </c>
      <c r="I596" t="s">
        <v>4491</v>
      </c>
    </row>
    <row r="597" spans="1:9" x14ac:dyDescent="0.2">
      <c r="A597" t="s">
        <v>1126</v>
      </c>
      <c r="B597" s="44">
        <v>42653</v>
      </c>
      <c r="C597" t="s">
        <v>4</v>
      </c>
      <c r="D597" t="s">
        <v>4490</v>
      </c>
      <c r="F597"/>
      <c r="G597"/>
      <c r="H597">
        <v>2</v>
      </c>
      <c r="I597" t="s">
        <v>4491</v>
      </c>
    </row>
    <row r="598" spans="1:9" x14ac:dyDescent="0.2">
      <c r="A598" t="s">
        <v>1132</v>
      </c>
      <c r="B598" s="44">
        <v>42654</v>
      </c>
      <c r="C598" t="s">
        <v>4</v>
      </c>
      <c r="D598" t="s">
        <v>4490</v>
      </c>
      <c r="F598"/>
      <c r="G598"/>
      <c r="H598">
        <v>2</v>
      </c>
      <c r="I598" t="s">
        <v>4491</v>
      </c>
    </row>
    <row r="599" spans="1:9" x14ac:dyDescent="0.2">
      <c r="A599" t="s">
        <v>1143</v>
      </c>
      <c r="B599" s="44">
        <v>42655</v>
      </c>
      <c r="C599" t="s">
        <v>4</v>
      </c>
      <c r="D599" t="s">
        <v>4490</v>
      </c>
      <c r="F599"/>
      <c r="G599"/>
      <c r="H599">
        <v>2</v>
      </c>
      <c r="I599" t="s">
        <v>4491</v>
      </c>
    </row>
    <row r="600" spans="1:9" x14ac:dyDescent="0.2">
      <c r="A600" t="s">
        <v>2681</v>
      </c>
      <c r="B600" s="44">
        <v>42660</v>
      </c>
      <c r="C600" t="s">
        <v>4</v>
      </c>
      <c r="D600" t="s">
        <v>4490</v>
      </c>
      <c r="F600"/>
      <c r="G600"/>
      <c r="H600">
        <v>2</v>
      </c>
      <c r="I600" t="s">
        <v>4491</v>
      </c>
    </row>
    <row r="601" spans="1:9" x14ac:dyDescent="0.2">
      <c r="A601" t="s">
        <v>2699</v>
      </c>
      <c r="B601" s="44">
        <v>42661</v>
      </c>
      <c r="C601" t="s">
        <v>4</v>
      </c>
      <c r="D601" t="s">
        <v>4490</v>
      </c>
      <c r="F601"/>
      <c r="G601"/>
      <c r="H601">
        <v>2</v>
      </c>
      <c r="I601" t="s">
        <v>4491</v>
      </c>
    </row>
    <row r="602" spans="1:9" x14ac:dyDescent="0.2">
      <c r="A602" t="s">
        <v>2713</v>
      </c>
      <c r="B602" s="44">
        <v>42662</v>
      </c>
      <c r="C602" t="s">
        <v>4</v>
      </c>
      <c r="D602" t="s">
        <v>4490</v>
      </c>
      <c r="F602"/>
      <c r="G602"/>
      <c r="H602">
        <v>2</v>
      </c>
      <c r="I602" t="s">
        <v>4491</v>
      </c>
    </row>
    <row r="603" spans="1:9" x14ac:dyDescent="0.2">
      <c r="A603" t="s">
        <v>2773</v>
      </c>
      <c r="B603" s="44">
        <v>42667</v>
      </c>
      <c r="C603" t="s">
        <v>4</v>
      </c>
      <c r="D603" t="s">
        <v>4490</v>
      </c>
      <c r="F603"/>
      <c r="G603"/>
      <c r="H603">
        <v>2</v>
      </c>
      <c r="I603" t="s">
        <v>4491</v>
      </c>
    </row>
    <row r="604" spans="1:9" x14ac:dyDescent="0.2">
      <c r="A604" t="s">
        <v>2783</v>
      </c>
      <c r="B604" s="44">
        <v>42668</v>
      </c>
      <c r="C604" t="s">
        <v>4</v>
      </c>
      <c r="D604" t="s">
        <v>4490</v>
      </c>
      <c r="F604"/>
      <c r="G604"/>
      <c r="H604">
        <v>2</v>
      </c>
      <c r="I604" t="s">
        <v>4491</v>
      </c>
    </row>
    <row r="605" spans="1:9" x14ac:dyDescent="0.2">
      <c r="A605" t="s">
        <v>2791</v>
      </c>
      <c r="B605" s="44">
        <v>42669</v>
      </c>
      <c r="C605" t="s">
        <v>4</v>
      </c>
      <c r="D605" t="s">
        <v>4490</v>
      </c>
      <c r="F605"/>
      <c r="G605"/>
      <c r="H605">
        <v>2</v>
      </c>
      <c r="I605" t="s">
        <v>4491</v>
      </c>
    </row>
    <row r="606" spans="1:9" x14ac:dyDescent="0.2">
      <c r="A606" t="s">
        <v>2839</v>
      </c>
      <c r="B606" s="44">
        <v>42674</v>
      </c>
      <c r="C606" t="s">
        <v>4</v>
      </c>
      <c r="D606" t="s">
        <v>4490</v>
      </c>
      <c r="F606"/>
      <c r="G606"/>
      <c r="H606">
        <v>2</v>
      </c>
      <c r="I606" t="s">
        <v>4491</v>
      </c>
    </row>
    <row r="607" spans="1:9" x14ac:dyDescent="0.2">
      <c r="A607" t="s">
        <v>2943</v>
      </c>
      <c r="B607" s="44">
        <v>42695</v>
      </c>
      <c r="C607" t="s">
        <v>4</v>
      </c>
      <c r="D607" t="s">
        <v>3151</v>
      </c>
      <c r="F607"/>
      <c r="G607"/>
      <c r="H607">
        <v>2</v>
      </c>
      <c r="I607" t="s">
        <v>4491</v>
      </c>
    </row>
    <row r="608" spans="1:9" x14ac:dyDescent="0.2">
      <c r="A608" t="s">
        <v>2957</v>
      </c>
      <c r="B608" s="44">
        <v>42696</v>
      </c>
      <c r="C608" t="s">
        <v>4</v>
      </c>
      <c r="D608" t="s">
        <v>3151</v>
      </c>
      <c r="F608"/>
      <c r="G608"/>
      <c r="H608">
        <v>2</v>
      </c>
      <c r="I608" t="s">
        <v>4491</v>
      </c>
    </row>
    <row r="609" spans="1:9" x14ac:dyDescent="0.2">
      <c r="A609" t="s">
        <v>2976</v>
      </c>
      <c r="B609" s="44">
        <v>42698</v>
      </c>
      <c r="C609" t="s">
        <v>4</v>
      </c>
      <c r="D609" t="s">
        <v>3151</v>
      </c>
      <c r="F609"/>
      <c r="G609"/>
      <c r="H609">
        <v>2</v>
      </c>
      <c r="I609" t="s">
        <v>4491</v>
      </c>
    </row>
    <row r="610" spans="1:9" x14ac:dyDescent="0.2">
      <c r="A610" t="s">
        <v>3004</v>
      </c>
      <c r="B610" s="44">
        <v>42702</v>
      </c>
      <c r="C610" t="s">
        <v>4</v>
      </c>
      <c r="D610" t="s">
        <v>3151</v>
      </c>
      <c r="F610"/>
      <c r="G610"/>
      <c r="H610">
        <v>2</v>
      </c>
      <c r="I610" t="s">
        <v>4491</v>
      </c>
    </row>
    <row r="611" spans="1:9" x14ac:dyDescent="0.2">
      <c r="A611" t="s">
        <v>3014</v>
      </c>
      <c r="B611" s="44">
        <v>42703</v>
      </c>
      <c r="C611" t="s">
        <v>4</v>
      </c>
      <c r="D611" t="s">
        <v>3151</v>
      </c>
      <c r="F611"/>
      <c r="G611"/>
      <c r="H611">
        <v>2</v>
      </c>
      <c r="I611" t="s">
        <v>4491</v>
      </c>
    </row>
    <row r="612" spans="1:9" x14ac:dyDescent="0.2">
      <c r="A612" t="s">
        <v>3023</v>
      </c>
      <c r="B612" s="44">
        <v>42704</v>
      </c>
      <c r="C612" t="s">
        <v>4</v>
      </c>
      <c r="D612" t="s">
        <v>3151</v>
      </c>
      <c r="F612"/>
      <c r="G612"/>
      <c r="H612">
        <v>2</v>
      </c>
      <c r="I612" t="s">
        <v>4491</v>
      </c>
    </row>
    <row r="613" spans="1:9" x14ac:dyDescent="0.2">
      <c r="A613" t="s">
        <v>1103</v>
      </c>
      <c r="B613" s="44">
        <v>42709</v>
      </c>
      <c r="C613" t="s">
        <v>4</v>
      </c>
      <c r="D613" t="s">
        <v>3151</v>
      </c>
      <c r="F613"/>
      <c r="G613"/>
      <c r="H613">
        <v>2</v>
      </c>
      <c r="I613" t="s">
        <v>4491</v>
      </c>
    </row>
    <row r="614" spans="1:9" x14ac:dyDescent="0.2">
      <c r="A614" t="s">
        <v>1107</v>
      </c>
      <c r="B614" s="44">
        <v>42710</v>
      </c>
      <c r="C614" t="s">
        <v>4</v>
      </c>
      <c r="D614" t="s">
        <v>3151</v>
      </c>
      <c r="F614"/>
      <c r="G614"/>
      <c r="H614">
        <v>2</v>
      </c>
      <c r="I614" t="s">
        <v>4491</v>
      </c>
    </row>
    <row r="615" spans="1:9" x14ac:dyDescent="0.2">
      <c r="A615" t="s">
        <v>1114</v>
      </c>
      <c r="B615" s="44">
        <v>42711</v>
      </c>
      <c r="C615" t="s">
        <v>4</v>
      </c>
      <c r="D615" t="s">
        <v>3151</v>
      </c>
      <c r="F615"/>
      <c r="G615"/>
      <c r="H615">
        <v>2</v>
      </c>
      <c r="I615" t="s">
        <v>4491</v>
      </c>
    </row>
    <row r="616" spans="1:9" x14ac:dyDescent="0.2">
      <c r="A616" t="s">
        <v>1144</v>
      </c>
      <c r="B616" s="44">
        <v>42716</v>
      </c>
      <c r="C616" t="s">
        <v>4</v>
      </c>
      <c r="D616" t="s">
        <v>3151</v>
      </c>
      <c r="F616"/>
      <c r="G616"/>
      <c r="H616">
        <v>2</v>
      </c>
      <c r="I616" t="s">
        <v>4491</v>
      </c>
    </row>
    <row r="617" spans="1:9" x14ac:dyDescent="0.2">
      <c r="A617" t="s">
        <v>3030</v>
      </c>
      <c r="B617" s="44">
        <v>42717</v>
      </c>
      <c r="C617" t="s">
        <v>4</v>
      </c>
      <c r="D617" t="s">
        <v>3151</v>
      </c>
      <c r="F617"/>
      <c r="G617"/>
      <c r="H617">
        <v>2</v>
      </c>
      <c r="I617" t="s">
        <v>4491</v>
      </c>
    </row>
    <row r="618" spans="1:9" x14ac:dyDescent="0.2">
      <c r="A618" t="s">
        <v>3036</v>
      </c>
      <c r="B618" s="44">
        <v>42718</v>
      </c>
      <c r="C618" t="s">
        <v>4</v>
      </c>
      <c r="D618" t="s">
        <v>3151</v>
      </c>
      <c r="F618"/>
      <c r="G618"/>
      <c r="H618">
        <v>2</v>
      </c>
      <c r="I618" t="s">
        <v>4491</v>
      </c>
    </row>
    <row r="619" spans="1:9" x14ac:dyDescent="0.2">
      <c r="A619" t="s">
        <v>1184</v>
      </c>
      <c r="B619" s="44">
        <v>42744</v>
      </c>
      <c r="C619" t="s">
        <v>4</v>
      </c>
      <c r="D619" t="s">
        <v>3151</v>
      </c>
      <c r="F619"/>
      <c r="G619"/>
      <c r="H619">
        <v>2</v>
      </c>
      <c r="I619" t="s">
        <v>4491</v>
      </c>
    </row>
    <row r="620" spans="1:9" x14ac:dyDescent="0.2">
      <c r="A620" t="s">
        <v>1188</v>
      </c>
      <c r="B620" s="44">
        <v>42745</v>
      </c>
      <c r="C620" t="s">
        <v>4</v>
      </c>
      <c r="D620" t="s">
        <v>3151</v>
      </c>
      <c r="F620"/>
      <c r="G620"/>
      <c r="H620">
        <v>2</v>
      </c>
      <c r="I620" t="s">
        <v>4491</v>
      </c>
    </row>
    <row r="621" spans="1:9" x14ac:dyDescent="0.2">
      <c r="A621" t="s">
        <v>1192</v>
      </c>
      <c r="B621" s="44">
        <v>42746</v>
      </c>
      <c r="C621" t="s">
        <v>4</v>
      </c>
      <c r="D621" t="s">
        <v>3151</v>
      </c>
      <c r="F621"/>
      <c r="G621"/>
      <c r="H621">
        <v>2</v>
      </c>
      <c r="I621" t="s">
        <v>4491</v>
      </c>
    </row>
    <row r="622" spans="1:9" x14ac:dyDescent="0.2">
      <c r="A622" t="s">
        <v>1360</v>
      </c>
      <c r="B622" s="44">
        <v>42751</v>
      </c>
      <c r="C622" t="s">
        <v>4</v>
      </c>
      <c r="D622" t="s">
        <v>3151</v>
      </c>
      <c r="F622"/>
      <c r="G622"/>
      <c r="H622">
        <v>2</v>
      </c>
      <c r="I622" t="s">
        <v>4491</v>
      </c>
    </row>
    <row r="623" spans="1:9" x14ac:dyDescent="0.2">
      <c r="A623" t="s">
        <v>1368</v>
      </c>
      <c r="B623" s="44">
        <v>42752</v>
      </c>
      <c r="C623" t="s">
        <v>4</v>
      </c>
      <c r="D623" t="s">
        <v>3151</v>
      </c>
      <c r="F623"/>
      <c r="G623"/>
      <c r="H623">
        <v>2</v>
      </c>
      <c r="I623" t="s">
        <v>4491</v>
      </c>
    </row>
    <row r="624" spans="1:9" x14ac:dyDescent="0.2">
      <c r="A624" t="s">
        <v>1373</v>
      </c>
      <c r="B624" s="44">
        <v>42753</v>
      </c>
      <c r="C624" t="s">
        <v>4</v>
      </c>
      <c r="D624" t="s">
        <v>3151</v>
      </c>
      <c r="F624"/>
      <c r="G624"/>
      <c r="H624">
        <v>2</v>
      </c>
      <c r="I624" t="s">
        <v>4491</v>
      </c>
    </row>
    <row r="625" spans="1:9" x14ac:dyDescent="0.2">
      <c r="A625" t="s">
        <v>1429</v>
      </c>
      <c r="B625" s="44">
        <v>42758</v>
      </c>
      <c r="C625" t="s">
        <v>4</v>
      </c>
      <c r="D625" t="s">
        <v>3151</v>
      </c>
      <c r="F625"/>
      <c r="G625"/>
      <c r="H625">
        <v>2</v>
      </c>
      <c r="I625" t="s">
        <v>4491</v>
      </c>
    </row>
    <row r="626" spans="1:9" x14ac:dyDescent="0.2">
      <c r="A626" t="s">
        <v>1444</v>
      </c>
      <c r="B626" s="44">
        <v>42759</v>
      </c>
      <c r="C626" t="s">
        <v>4</v>
      </c>
      <c r="D626" t="s">
        <v>3151</v>
      </c>
      <c r="F626"/>
      <c r="G626"/>
      <c r="H626">
        <v>2</v>
      </c>
      <c r="I626" t="s">
        <v>4491</v>
      </c>
    </row>
    <row r="627" spans="1:9" x14ac:dyDescent="0.2">
      <c r="A627" t="s">
        <v>1456</v>
      </c>
      <c r="B627" s="44">
        <v>42760</v>
      </c>
      <c r="C627" t="s">
        <v>4</v>
      </c>
      <c r="D627" t="s">
        <v>3151</v>
      </c>
      <c r="F627"/>
      <c r="G627"/>
      <c r="H627">
        <v>2</v>
      </c>
      <c r="I627" t="s">
        <v>4491</v>
      </c>
    </row>
    <row r="628" spans="1:9" x14ac:dyDescent="0.2">
      <c r="A628" t="s">
        <v>1483</v>
      </c>
      <c r="B628" s="44">
        <v>42765</v>
      </c>
      <c r="C628" t="s">
        <v>4</v>
      </c>
      <c r="D628" t="s">
        <v>3151</v>
      </c>
      <c r="F628"/>
      <c r="G628"/>
      <c r="H628">
        <v>2</v>
      </c>
      <c r="I628" t="s">
        <v>4491</v>
      </c>
    </row>
    <row r="629" spans="1:9" x14ac:dyDescent="0.2">
      <c r="A629" t="s">
        <v>1492</v>
      </c>
      <c r="B629" s="44">
        <v>42766</v>
      </c>
      <c r="C629" t="s">
        <v>4</v>
      </c>
      <c r="D629" t="s">
        <v>3151</v>
      </c>
      <c r="F629"/>
      <c r="G629"/>
      <c r="H629">
        <v>2</v>
      </c>
      <c r="I629" t="s">
        <v>4491</v>
      </c>
    </row>
    <row r="630" spans="1:9" x14ac:dyDescent="0.2">
      <c r="A630" t="s">
        <v>1145</v>
      </c>
      <c r="B630" s="44">
        <v>42767</v>
      </c>
      <c r="C630" t="s">
        <v>4</v>
      </c>
      <c r="D630" t="s">
        <v>3151</v>
      </c>
      <c r="F630"/>
      <c r="G630"/>
      <c r="H630">
        <v>2</v>
      </c>
      <c r="I630" t="s">
        <v>4491</v>
      </c>
    </row>
    <row r="631" spans="1:9" x14ac:dyDescent="0.2">
      <c r="A631" t="s">
        <v>1170</v>
      </c>
      <c r="B631" s="44">
        <v>42772</v>
      </c>
      <c r="C631" t="s">
        <v>4</v>
      </c>
      <c r="D631" t="s">
        <v>3151</v>
      </c>
      <c r="F631"/>
      <c r="G631"/>
      <c r="H631">
        <v>2</v>
      </c>
      <c r="I631" t="s">
        <v>4491</v>
      </c>
    </row>
    <row r="632" spans="1:9" x14ac:dyDescent="0.2">
      <c r="A632" t="s">
        <v>1176</v>
      </c>
      <c r="B632" s="44">
        <v>42773</v>
      </c>
      <c r="C632" t="s">
        <v>4</v>
      </c>
      <c r="D632" t="s">
        <v>3151</v>
      </c>
      <c r="F632"/>
      <c r="G632"/>
      <c r="H632">
        <v>2</v>
      </c>
      <c r="I632" t="s">
        <v>4491</v>
      </c>
    </row>
    <row r="633" spans="1:9" x14ac:dyDescent="0.2">
      <c r="A633" t="s">
        <v>1181</v>
      </c>
      <c r="B633" s="44">
        <v>42774</v>
      </c>
      <c r="C633" t="s">
        <v>4</v>
      </c>
      <c r="D633" t="s">
        <v>3151</v>
      </c>
      <c r="F633"/>
      <c r="G633"/>
      <c r="H633">
        <v>2</v>
      </c>
      <c r="I633" t="s">
        <v>4491</v>
      </c>
    </row>
    <row r="634" spans="1:9" x14ac:dyDescent="0.2">
      <c r="A634" t="s">
        <v>1499</v>
      </c>
      <c r="B634" s="44">
        <v>42779</v>
      </c>
      <c r="C634" t="s">
        <v>4</v>
      </c>
      <c r="D634" t="s">
        <v>3151</v>
      </c>
      <c r="F634"/>
      <c r="G634"/>
      <c r="H634">
        <v>2</v>
      </c>
      <c r="I634" t="s">
        <v>4491</v>
      </c>
    </row>
    <row r="635" spans="1:9" x14ac:dyDescent="0.2">
      <c r="A635" t="s">
        <v>1507</v>
      </c>
      <c r="B635" s="44">
        <v>42780</v>
      </c>
      <c r="C635" t="s">
        <v>4</v>
      </c>
      <c r="D635" t="s">
        <v>3151</v>
      </c>
      <c r="F635"/>
      <c r="G635"/>
      <c r="H635">
        <v>2</v>
      </c>
      <c r="I635" t="s">
        <v>4491</v>
      </c>
    </row>
    <row r="636" spans="1:9" x14ac:dyDescent="0.2">
      <c r="A636" t="s">
        <v>1513</v>
      </c>
      <c r="B636" s="44">
        <v>42781</v>
      </c>
      <c r="C636" t="s">
        <v>4</v>
      </c>
      <c r="D636" t="s">
        <v>3151</v>
      </c>
      <c r="F636"/>
      <c r="G636"/>
      <c r="H636">
        <v>2</v>
      </c>
      <c r="I636" t="s">
        <v>4491</v>
      </c>
    </row>
    <row r="637" spans="1:9" x14ac:dyDescent="0.2">
      <c r="A637" t="s">
        <v>1555</v>
      </c>
      <c r="B637" s="44">
        <v>42786</v>
      </c>
      <c r="C637" t="s">
        <v>4</v>
      </c>
      <c r="D637" t="s">
        <v>3151</v>
      </c>
      <c r="F637"/>
      <c r="G637"/>
      <c r="H637">
        <v>2</v>
      </c>
      <c r="I637" t="s">
        <v>4491</v>
      </c>
    </row>
    <row r="638" spans="1:9" x14ac:dyDescent="0.2">
      <c r="A638" t="s">
        <v>1571</v>
      </c>
      <c r="B638" s="44">
        <v>42787</v>
      </c>
      <c r="C638" t="s">
        <v>4</v>
      </c>
      <c r="D638" t="s">
        <v>3151</v>
      </c>
      <c r="F638"/>
      <c r="G638"/>
      <c r="H638">
        <v>2</v>
      </c>
      <c r="I638" t="s">
        <v>4491</v>
      </c>
    </row>
    <row r="639" spans="1:9" x14ac:dyDescent="0.2">
      <c r="A639" t="s">
        <v>1581</v>
      </c>
      <c r="B639" s="44">
        <v>42788</v>
      </c>
      <c r="C639" t="s">
        <v>4</v>
      </c>
      <c r="D639" t="s">
        <v>3151</v>
      </c>
      <c r="F639"/>
      <c r="G639"/>
      <c r="H639">
        <v>2</v>
      </c>
      <c r="I639" t="s">
        <v>4491</v>
      </c>
    </row>
    <row r="640" spans="1:9" x14ac:dyDescent="0.2">
      <c r="A640" t="s">
        <v>1643</v>
      </c>
      <c r="B640" s="44">
        <v>42793</v>
      </c>
      <c r="C640" t="s">
        <v>4</v>
      </c>
      <c r="D640" t="s">
        <v>3151</v>
      </c>
      <c r="F640"/>
      <c r="G640"/>
      <c r="H640">
        <v>2</v>
      </c>
      <c r="I640" t="s">
        <v>4491</v>
      </c>
    </row>
    <row r="641" spans="1:9" x14ac:dyDescent="0.2">
      <c r="A641" t="s">
        <v>1657</v>
      </c>
      <c r="B641" s="44">
        <v>42794</v>
      </c>
      <c r="C641" t="s">
        <v>4</v>
      </c>
      <c r="D641" t="s">
        <v>3151</v>
      </c>
      <c r="F641"/>
      <c r="G641"/>
      <c r="H641">
        <v>2</v>
      </c>
      <c r="I641" t="s">
        <v>4491</v>
      </c>
    </row>
    <row r="642" spans="1:9" x14ac:dyDescent="0.2">
      <c r="A642" t="s">
        <v>1146</v>
      </c>
      <c r="B642" s="44">
        <v>42795</v>
      </c>
      <c r="C642" t="s">
        <v>4</v>
      </c>
      <c r="D642" t="s">
        <v>3151</v>
      </c>
      <c r="F642"/>
      <c r="G642"/>
      <c r="H642">
        <v>2</v>
      </c>
      <c r="I642" t="s">
        <v>4491</v>
      </c>
    </row>
    <row r="643" spans="1:9" x14ac:dyDescent="0.2">
      <c r="A643" t="s">
        <v>1173</v>
      </c>
      <c r="B643" s="44">
        <v>42800</v>
      </c>
      <c r="C643" t="s">
        <v>4</v>
      </c>
      <c r="D643" t="s">
        <v>3151</v>
      </c>
      <c r="F643"/>
      <c r="G643"/>
      <c r="H643">
        <v>2</v>
      </c>
      <c r="I643" t="s">
        <v>4491</v>
      </c>
    </row>
    <row r="644" spans="1:9" x14ac:dyDescent="0.2">
      <c r="A644" t="s">
        <v>1177</v>
      </c>
      <c r="B644" s="44">
        <v>42801</v>
      </c>
      <c r="C644" t="s">
        <v>4</v>
      </c>
      <c r="D644" t="s">
        <v>3151</v>
      </c>
      <c r="F644"/>
      <c r="G644"/>
      <c r="H644">
        <v>2</v>
      </c>
      <c r="I644" t="s">
        <v>4491</v>
      </c>
    </row>
    <row r="645" spans="1:9" x14ac:dyDescent="0.2">
      <c r="A645" t="s">
        <v>1669</v>
      </c>
      <c r="B645" s="44">
        <v>42807</v>
      </c>
      <c r="C645" t="s">
        <v>4</v>
      </c>
      <c r="D645" t="s">
        <v>3152</v>
      </c>
      <c r="F645"/>
      <c r="G645"/>
      <c r="H645">
        <v>2</v>
      </c>
      <c r="I645" t="s">
        <v>4491</v>
      </c>
    </row>
    <row r="646" spans="1:9" x14ac:dyDescent="0.2">
      <c r="A646" t="s">
        <v>8</v>
      </c>
      <c r="B646" s="44">
        <v>35797</v>
      </c>
      <c r="C646" t="s">
        <v>4</v>
      </c>
      <c r="D646" t="s">
        <v>3221</v>
      </c>
      <c r="F646"/>
      <c r="G646"/>
      <c r="H646">
        <v>3</v>
      </c>
    </row>
    <row r="647" spans="1:9" x14ac:dyDescent="0.2">
      <c r="A647" t="s">
        <v>32</v>
      </c>
      <c r="B647" s="44">
        <v>35801</v>
      </c>
      <c r="C647" t="s">
        <v>4</v>
      </c>
      <c r="D647" t="s">
        <v>3222</v>
      </c>
      <c r="F647"/>
      <c r="G647"/>
      <c r="H647">
        <v>3</v>
      </c>
    </row>
    <row r="648" spans="1:9" x14ac:dyDescent="0.2">
      <c r="A648" t="s">
        <v>1393</v>
      </c>
      <c r="B648" s="44">
        <v>35816</v>
      </c>
      <c r="C648" t="s">
        <v>4</v>
      </c>
      <c r="D648" t="s">
        <v>1377</v>
      </c>
      <c r="F648"/>
      <c r="G648"/>
      <c r="H648">
        <v>3</v>
      </c>
    </row>
    <row r="649" spans="1:9" x14ac:dyDescent="0.2">
      <c r="A649" t="s">
        <v>1481</v>
      </c>
      <c r="B649" s="44">
        <v>35825</v>
      </c>
      <c r="C649" t="s">
        <v>4</v>
      </c>
      <c r="D649" t="s">
        <v>3218</v>
      </c>
      <c r="F649"/>
      <c r="G649"/>
      <c r="H649">
        <v>3</v>
      </c>
    </row>
    <row r="650" spans="1:9" x14ac:dyDescent="0.2">
      <c r="A650" t="s">
        <v>9</v>
      </c>
      <c r="B650" s="44">
        <v>35828</v>
      </c>
      <c r="C650" t="s">
        <v>4</v>
      </c>
      <c r="D650" t="s">
        <v>3219</v>
      </c>
      <c r="F650"/>
      <c r="G650"/>
      <c r="H650">
        <v>3</v>
      </c>
    </row>
    <row r="651" spans="1:9" x14ac:dyDescent="0.2">
      <c r="A651" t="s">
        <v>58</v>
      </c>
      <c r="B651" s="44">
        <v>35837</v>
      </c>
      <c r="C651" t="s">
        <v>4</v>
      </c>
      <c r="D651" t="s">
        <v>3168</v>
      </c>
      <c r="F651"/>
      <c r="G651"/>
      <c r="H651">
        <v>3</v>
      </c>
    </row>
    <row r="652" spans="1:9" x14ac:dyDescent="0.2">
      <c r="A652" t="s">
        <v>1540</v>
      </c>
      <c r="B652" s="44">
        <v>35845</v>
      </c>
      <c r="C652" t="s">
        <v>4</v>
      </c>
      <c r="D652" t="s">
        <v>3226</v>
      </c>
      <c r="F652"/>
      <c r="G652"/>
      <c r="H652">
        <v>3</v>
      </c>
    </row>
    <row r="653" spans="1:9" x14ac:dyDescent="0.2">
      <c r="A653" t="s">
        <v>1621</v>
      </c>
      <c r="B653" s="44">
        <v>35852</v>
      </c>
      <c r="C653" t="s">
        <v>4</v>
      </c>
      <c r="D653" t="s">
        <v>1622</v>
      </c>
      <c r="F653"/>
      <c r="G653"/>
      <c r="H653">
        <v>3</v>
      </c>
    </row>
    <row r="654" spans="1:9" x14ac:dyDescent="0.2">
      <c r="A654" t="s">
        <v>6</v>
      </c>
      <c r="B654" s="44">
        <v>35916</v>
      </c>
      <c r="C654" t="s">
        <v>4</v>
      </c>
      <c r="D654" t="s">
        <v>3220</v>
      </c>
      <c r="F654"/>
      <c r="G654"/>
      <c r="H654">
        <v>3</v>
      </c>
    </row>
    <row r="655" spans="1:9" x14ac:dyDescent="0.2">
      <c r="A655" t="s">
        <v>28</v>
      </c>
      <c r="B655" s="44">
        <v>35920</v>
      </c>
      <c r="C655" t="s">
        <v>4</v>
      </c>
      <c r="D655" t="s">
        <v>3223</v>
      </c>
      <c r="F655"/>
      <c r="G655"/>
      <c r="H655">
        <v>3</v>
      </c>
    </row>
    <row r="656" spans="1:9" x14ac:dyDescent="0.2">
      <c r="A656" t="s">
        <v>1922</v>
      </c>
      <c r="B656" s="44">
        <v>35928</v>
      </c>
      <c r="C656" t="s">
        <v>4</v>
      </c>
      <c r="D656" t="s">
        <v>3168</v>
      </c>
      <c r="F656"/>
      <c r="G656"/>
      <c r="H656">
        <v>3</v>
      </c>
    </row>
    <row r="657" spans="1:8" x14ac:dyDescent="0.2">
      <c r="A657" t="s">
        <v>1998</v>
      </c>
      <c r="B657" s="44">
        <v>35936</v>
      </c>
      <c r="C657" t="s">
        <v>4</v>
      </c>
      <c r="D657" t="s">
        <v>1377</v>
      </c>
      <c r="F657"/>
      <c r="G657"/>
      <c r="H657">
        <v>3</v>
      </c>
    </row>
    <row r="658" spans="1:8" x14ac:dyDescent="0.2">
      <c r="A658" t="s">
        <v>2069</v>
      </c>
      <c r="B658" s="44">
        <v>35944</v>
      </c>
      <c r="C658" t="s">
        <v>4</v>
      </c>
      <c r="D658" t="s">
        <v>1622</v>
      </c>
      <c r="F658"/>
      <c r="G658"/>
      <c r="H658">
        <v>3</v>
      </c>
    </row>
    <row r="659" spans="1:8" x14ac:dyDescent="0.2">
      <c r="A659" t="s">
        <v>7</v>
      </c>
      <c r="B659" s="44">
        <v>35947</v>
      </c>
      <c r="C659" t="s">
        <v>4</v>
      </c>
      <c r="D659" t="s">
        <v>3225</v>
      </c>
      <c r="F659"/>
      <c r="G659"/>
      <c r="H659">
        <v>3</v>
      </c>
    </row>
    <row r="660" spans="1:8" x14ac:dyDescent="0.2">
      <c r="A660" t="s">
        <v>12</v>
      </c>
      <c r="B660" s="44">
        <v>35948</v>
      </c>
      <c r="C660" t="s">
        <v>4</v>
      </c>
      <c r="D660" t="s">
        <v>3217</v>
      </c>
      <c r="F660"/>
      <c r="G660"/>
      <c r="H660">
        <v>3</v>
      </c>
    </row>
    <row r="661" spans="1:8" x14ac:dyDescent="0.2">
      <c r="A661" t="s">
        <v>2139</v>
      </c>
      <c r="B661" s="44">
        <v>35964</v>
      </c>
      <c r="C661" t="s">
        <v>4</v>
      </c>
      <c r="D661" t="s">
        <v>1377</v>
      </c>
      <c r="F661"/>
      <c r="G661"/>
      <c r="H661">
        <v>3</v>
      </c>
    </row>
    <row r="662" spans="1:8" x14ac:dyDescent="0.2">
      <c r="A662" t="s">
        <v>2242</v>
      </c>
      <c r="B662" s="44">
        <v>35971</v>
      </c>
      <c r="C662" t="s">
        <v>4</v>
      </c>
      <c r="D662" t="s">
        <v>1622</v>
      </c>
      <c r="F662"/>
      <c r="G662"/>
      <c r="H662">
        <v>3</v>
      </c>
    </row>
    <row r="663" spans="1:8" x14ac:dyDescent="0.2">
      <c r="A663" t="s">
        <v>2283</v>
      </c>
      <c r="B663" s="44">
        <v>35975</v>
      </c>
      <c r="C663" t="s">
        <v>4</v>
      </c>
      <c r="D663" t="s">
        <v>3224</v>
      </c>
      <c r="F663"/>
      <c r="G663"/>
      <c r="H663">
        <v>3</v>
      </c>
    </row>
    <row r="664" spans="1:8" x14ac:dyDescent="0.2">
      <c r="A664" t="s">
        <v>62</v>
      </c>
      <c r="B664" s="44">
        <v>36019</v>
      </c>
      <c r="C664" t="s">
        <v>4</v>
      </c>
      <c r="D664" t="s">
        <v>3168</v>
      </c>
      <c r="F664"/>
      <c r="G664"/>
      <c r="H664">
        <v>3</v>
      </c>
    </row>
    <row r="665" spans="1:8" x14ac:dyDescent="0.2">
      <c r="A665" t="s">
        <v>61</v>
      </c>
      <c r="B665" s="44">
        <v>36110</v>
      </c>
      <c r="C665" t="s">
        <v>4</v>
      </c>
      <c r="D665" t="s">
        <v>3168</v>
      </c>
      <c r="F665"/>
      <c r="G665"/>
      <c r="H665">
        <v>3</v>
      </c>
    </row>
    <row r="666" spans="1:8" x14ac:dyDescent="0.2">
      <c r="A666" t="s">
        <v>1529</v>
      </c>
      <c r="B666" s="44">
        <v>36209</v>
      </c>
      <c r="C666" t="s">
        <v>4</v>
      </c>
      <c r="D666" t="s">
        <v>1377</v>
      </c>
      <c r="F666"/>
      <c r="G666"/>
      <c r="H666">
        <v>3</v>
      </c>
    </row>
    <row r="667" spans="1:8" x14ac:dyDescent="0.2">
      <c r="A667" t="s">
        <v>1603</v>
      </c>
      <c r="B667" s="44">
        <v>36216</v>
      </c>
      <c r="C667" t="s">
        <v>4</v>
      </c>
      <c r="D667" t="s">
        <v>1622</v>
      </c>
      <c r="F667"/>
      <c r="G667"/>
      <c r="H667">
        <v>3</v>
      </c>
    </row>
    <row r="668" spans="1:8" x14ac:dyDescent="0.2">
      <c r="A668" t="s">
        <v>64</v>
      </c>
      <c r="B668" s="44">
        <v>36220</v>
      </c>
      <c r="C668" t="s">
        <v>4</v>
      </c>
      <c r="D668" t="s">
        <v>1850</v>
      </c>
      <c r="F668"/>
      <c r="G668"/>
      <c r="H668">
        <v>3</v>
      </c>
    </row>
    <row r="669" spans="1:8" x14ac:dyDescent="0.2">
      <c r="A669" t="s">
        <v>1699</v>
      </c>
      <c r="B669" s="44">
        <v>36237</v>
      </c>
      <c r="C669" t="s">
        <v>4</v>
      </c>
      <c r="D669" t="s">
        <v>1377</v>
      </c>
      <c r="F669"/>
      <c r="G669"/>
      <c r="H669">
        <v>3</v>
      </c>
    </row>
    <row r="670" spans="1:8" x14ac:dyDescent="0.2">
      <c r="A670" t="s">
        <v>2895</v>
      </c>
      <c r="B670" s="44">
        <v>36482</v>
      </c>
      <c r="C670" t="s">
        <v>4</v>
      </c>
      <c r="D670" t="s">
        <v>1850</v>
      </c>
      <c r="F670"/>
      <c r="G670"/>
      <c r="H670">
        <v>3</v>
      </c>
    </row>
    <row r="671" spans="1:8" x14ac:dyDescent="0.2">
      <c r="A671" t="s">
        <v>3081</v>
      </c>
      <c r="B671" s="44">
        <v>36514</v>
      </c>
      <c r="C671" t="s">
        <v>4</v>
      </c>
      <c r="D671" t="s">
        <v>1377</v>
      </c>
      <c r="F671"/>
      <c r="G671"/>
      <c r="H671">
        <v>3</v>
      </c>
    </row>
    <row r="672" spans="1:8" x14ac:dyDescent="0.2">
      <c r="A672" t="s">
        <v>121</v>
      </c>
      <c r="B672" s="44">
        <v>36530</v>
      </c>
      <c r="C672" t="s">
        <v>4</v>
      </c>
      <c r="D672" t="s">
        <v>122</v>
      </c>
      <c r="F672"/>
      <c r="G672"/>
      <c r="H672">
        <v>3</v>
      </c>
    </row>
    <row r="673" spans="1:8" x14ac:dyDescent="0.2">
      <c r="A673" t="s">
        <v>1500</v>
      </c>
      <c r="B673" s="44">
        <v>36570</v>
      </c>
      <c r="C673" t="s">
        <v>4</v>
      </c>
      <c r="D673" t="s">
        <v>3168</v>
      </c>
      <c r="F673"/>
      <c r="G673"/>
      <c r="H673">
        <v>3</v>
      </c>
    </row>
    <row r="674" spans="1:8" x14ac:dyDescent="0.2">
      <c r="A674" t="s">
        <v>1514</v>
      </c>
      <c r="B674" s="44">
        <v>36572</v>
      </c>
      <c r="C674" t="s">
        <v>4</v>
      </c>
      <c r="D674" t="s">
        <v>3168</v>
      </c>
      <c r="F674"/>
      <c r="G674"/>
      <c r="H674">
        <v>3</v>
      </c>
    </row>
    <row r="675" spans="1:8" x14ac:dyDescent="0.2">
      <c r="A675" t="s">
        <v>1849</v>
      </c>
      <c r="B675" s="44">
        <v>36636</v>
      </c>
      <c r="C675" t="s">
        <v>4</v>
      </c>
      <c r="D675" t="s">
        <v>1850</v>
      </c>
      <c r="F675"/>
      <c r="G675"/>
      <c r="H675">
        <v>3</v>
      </c>
    </row>
    <row r="676" spans="1:8" x14ac:dyDescent="0.2">
      <c r="A676" t="s">
        <v>113</v>
      </c>
      <c r="B676" s="44">
        <v>36650</v>
      </c>
      <c r="C676" t="s">
        <v>4</v>
      </c>
      <c r="D676" t="s">
        <v>109</v>
      </c>
      <c r="F676"/>
      <c r="G676"/>
      <c r="H676">
        <v>3</v>
      </c>
    </row>
    <row r="677" spans="1:8" x14ac:dyDescent="0.2">
      <c r="A677" t="s">
        <v>158</v>
      </c>
      <c r="B677" s="44">
        <v>36656</v>
      </c>
      <c r="C677" t="s">
        <v>4</v>
      </c>
      <c r="D677" t="s">
        <v>3168</v>
      </c>
      <c r="F677"/>
      <c r="G677"/>
      <c r="H677">
        <v>3</v>
      </c>
    </row>
    <row r="678" spans="1:8" x14ac:dyDescent="0.2">
      <c r="A678" t="s">
        <v>1971</v>
      </c>
      <c r="B678" s="44">
        <v>36665</v>
      </c>
      <c r="C678" t="s">
        <v>4</v>
      </c>
      <c r="D678" t="s">
        <v>1850</v>
      </c>
      <c r="F678"/>
      <c r="G678"/>
      <c r="H678">
        <v>3</v>
      </c>
    </row>
    <row r="679" spans="1:8" x14ac:dyDescent="0.2">
      <c r="A679" t="s">
        <v>2082</v>
      </c>
      <c r="B679" s="44">
        <v>36677</v>
      </c>
      <c r="C679" t="s">
        <v>4</v>
      </c>
      <c r="D679" t="s">
        <v>166</v>
      </c>
      <c r="F679"/>
      <c r="G679"/>
      <c r="H679">
        <v>3</v>
      </c>
    </row>
    <row r="680" spans="1:8" x14ac:dyDescent="0.2">
      <c r="A680" t="s">
        <v>124</v>
      </c>
      <c r="B680" s="44">
        <v>36682</v>
      </c>
      <c r="C680" t="s">
        <v>4</v>
      </c>
      <c r="D680" t="s">
        <v>109</v>
      </c>
      <c r="F680"/>
      <c r="G680"/>
      <c r="H680">
        <v>3</v>
      </c>
    </row>
    <row r="681" spans="1:8" x14ac:dyDescent="0.2">
      <c r="A681" t="s">
        <v>2171</v>
      </c>
      <c r="B681" s="44">
        <v>36697</v>
      </c>
      <c r="C681" t="s">
        <v>4</v>
      </c>
      <c r="D681" t="s">
        <v>1850</v>
      </c>
      <c r="F681"/>
      <c r="G681"/>
      <c r="H681">
        <v>3</v>
      </c>
    </row>
    <row r="682" spans="1:8" x14ac:dyDescent="0.2">
      <c r="A682" t="s">
        <v>2284</v>
      </c>
      <c r="B682" s="44">
        <v>36706</v>
      </c>
      <c r="C682" t="s">
        <v>4</v>
      </c>
      <c r="D682" t="s">
        <v>166</v>
      </c>
      <c r="F682"/>
      <c r="G682"/>
      <c r="H682">
        <v>3</v>
      </c>
    </row>
    <row r="683" spans="1:8" x14ac:dyDescent="0.2">
      <c r="A683" t="s">
        <v>108</v>
      </c>
      <c r="B683" s="44">
        <v>36710</v>
      </c>
      <c r="C683" t="s">
        <v>4</v>
      </c>
      <c r="D683" t="s">
        <v>109</v>
      </c>
      <c r="F683"/>
      <c r="G683"/>
      <c r="H683">
        <v>3</v>
      </c>
    </row>
    <row r="684" spans="1:8" x14ac:dyDescent="0.2">
      <c r="A684" t="s">
        <v>2364</v>
      </c>
      <c r="B684" s="44">
        <v>36727</v>
      </c>
      <c r="C684" t="s">
        <v>4</v>
      </c>
      <c r="D684" t="s">
        <v>1850</v>
      </c>
      <c r="F684"/>
      <c r="G684"/>
      <c r="H684">
        <v>3</v>
      </c>
    </row>
    <row r="685" spans="1:8" x14ac:dyDescent="0.2">
      <c r="A685" t="s">
        <v>2411</v>
      </c>
      <c r="B685" s="44">
        <v>36738</v>
      </c>
      <c r="C685" t="s">
        <v>4</v>
      </c>
      <c r="D685" t="s">
        <v>166</v>
      </c>
      <c r="F685"/>
      <c r="G685"/>
      <c r="H685">
        <v>3</v>
      </c>
    </row>
    <row r="686" spans="1:8" x14ac:dyDescent="0.2">
      <c r="A686" t="s">
        <v>2411</v>
      </c>
      <c r="B686" s="44">
        <v>36738</v>
      </c>
      <c r="C686" t="s">
        <v>4</v>
      </c>
      <c r="D686" t="s">
        <v>109</v>
      </c>
      <c r="F686"/>
      <c r="G686"/>
      <c r="H686">
        <v>3</v>
      </c>
    </row>
    <row r="687" spans="1:8" x14ac:dyDescent="0.2">
      <c r="A687" t="s">
        <v>153</v>
      </c>
      <c r="B687" s="44">
        <v>36747</v>
      </c>
      <c r="C687" t="s">
        <v>4</v>
      </c>
      <c r="D687" t="s">
        <v>3168</v>
      </c>
      <c r="F687"/>
      <c r="G687"/>
      <c r="H687">
        <v>3</v>
      </c>
    </row>
    <row r="688" spans="1:8" x14ac:dyDescent="0.2">
      <c r="A688" t="s">
        <v>2429</v>
      </c>
      <c r="B688" s="44">
        <v>36756</v>
      </c>
      <c r="C688" t="s">
        <v>4</v>
      </c>
      <c r="D688" t="s">
        <v>1850</v>
      </c>
      <c r="F688"/>
      <c r="G688"/>
      <c r="H688">
        <v>3</v>
      </c>
    </row>
    <row r="689" spans="1:8" x14ac:dyDescent="0.2">
      <c r="A689" t="s">
        <v>2462</v>
      </c>
      <c r="B689" s="44">
        <v>36768</v>
      </c>
      <c r="C689" t="s">
        <v>4</v>
      </c>
      <c r="D689" t="s">
        <v>1850</v>
      </c>
      <c r="F689"/>
      <c r="G689"/>
      <c r="H689">
        <v>3</v>
      </c>
    </row>
    <row r="690" spans="1:8" x14ac:dyDescent="0.2">
      <c r="A690" t="s">
        <v>2534</v>
      </c>
      <c r="B690" s="44">
        <v>36789</v>
      </c>
      <c r="C690" t="s">
        <v>4</v>
      </c>
      <c r="D690" t="s">
        <v>1850</v>
      </c>
      <c r="F690"/>
      <c r="G690"/>
      <c r="H690">
        <v>3</v>
      </c>
    </row>
    <row r="691" spans="1:8" x14ac:dyDescent="0.2">
      <c r="A691" t="s">
        <v>2617</v>
      </c>
      <c r="B691" s="44">
        <v>36798</v>
      </c>
      <c r="C691" t="s">
        <v>4</v>
      </c>
      <c r="D691" t="s">
        <v>166</v>
      </c>
      <c r="F691"/>
      <c r="G691"/>
      <c r="H691">
        <v>3</v>
      </c>
    </row>
    <row r="692" spans="1:8" x14ac:dyDescent="0.2">
      <c r="A692" t="s">
        <v>2815</v>
      </c>
      <c r="B692" s="44">
        <v>36829</v>
      </c>
      <c r="C692" t="s">
        <v>4</v>
      </c>
      <c r="D692" t="s">
        <v>109</v>
      </c>
      <c r="F692"/>
      <c r="G692"/>
      <c r="H692">
        <v>3</v>
      </c>
    </row>
    <row r="693" spans="1:8" x14ac:dyDescent="0.2">
      <c r="A693" t="s">
        <v>2870</v>
      </c>
      <c r="B693" s="44">
        <v>36846</v>
      </c>
      <c r="C693" t="s">
        <v>4</v>
      </c>
      <c r="D693" t="s">
        <v>3168</v>
      </c>
      <c r="F693"/>
      <c r="G693"/>
      <c r="H693">
        <v>3</v>
      </c>
    </row>
    <row r="694" spans="1:8" x14ac:dyDescent="0.2">
      <c r="A694" t="s">
        <v>2923</v>
      </c>
      <c r="B694" s="44">
        <v>36850</v>
      </c>
      <c r="C694" t="s">
        <v>4</v>
      </c>
      <c r="D694" t="s">
        <v>1377</v>
      </c>
      <c r="F694"/>
      <c r="G694"/>
      <c r="H694">
        <v>3</v>
      </c>
    </row>
    <row r="695" spans="1:8" x14ac:dyDescent="0.2">
      <c r="A695" t="s">
        <v>3009</v>
      </c>
      <c r="B695" s="44">
        <v>36859</v>
      </c>
      <c r="C695" t="s">
        <v>4</v>
      </c>
      <c r="D695" t="s">
        <v>166</v>
      </c>
      <c r="F695"/>
      <c r="G695"/>
      <c r="H695">
        <v>3</v>
      </c>
    </row>
    <row r="696" spans="1:8" x14ac:dyDescent="0.2">
      <c r="A696" t="s">
        <v>120</v>
      </c>
      <c r="B696" s="44">
        <v>36864</v>
      </c>
      <c r="C696" t="s">
        <v>4</v>
      </c>
      <c r="D696" t="s">
        <v>109</v>
      </c>
      <c r="F696"/>
      <c r="G696"/>
      <c r="H696">
        <v>3</v>
      </c>
    </row>
    <row r="697" spans="1:8" x14ac:dyDescent="0.2">
      <c r="A697" t="s">
        <v>3082</v>
      </c>
      <c r="B697" s="44">
        <v>36880</v>
      </c>
      <c r="C697" t="s">
        <v>4</v>
      </c>
      <c r="D697" t="s">
        <v>1377</v>
      </c>
      <c r="F697"/>
      <c r="G697"/>
      <c r="H697">
        <v>3</v>
      </c>
    </row>
    <row r="698" spans="1:8" x14ac:dyDescent="0.2">
      <c r="A698" t="s">
        <v>170</v>
      </c>
      <c r="B698" s="44">
        <v>36893</v>
      </c>
      <c r="C698" t="s">
        <v>4</v>
      </c>
      <c r="D698" t="s">
        <v>109</v>
      </c>
      <c r="F698"/>
      <c r="G698"/>
      <c r="H698">
        <v>3</v>
      </c>
    </row>
    <row r="699" spans="1:8" x14ac:dyDescent="0.2">
      <c r="A699" t="s">
        <v>179</v>
      </c>
      <c r="B699" s="44">
        <v>36895</v>
      </c>
      <c r="C699" t="s">
        <v>4</v>
      </c>
      <c r="D699" t="s">
        <v>166</v>
      </c>
      <c r="F699"/>
      <c r="G699"/>
      <c r="H699">
        <v>3</v>
      </c>
    </row>
    <row r="700" spans="1:8" x14ac:dyDescent="0.2">
      <c r="A700" t="s">
        <v>1376</v>
      </c>
      <c r="B700" s="44">
        <v>36910</v>
      </c>
      <c r="C700" t="s">
        <v>4</v>
      </c>
      <c r="D700" t="s">
        <v>1377</v>
      </c>
      <c r="F700"/>
      <c r="G700"/>
      <c r="H700">
        <v>3</v>
      </c>
    </row>
    <row r="701" spans="1:8" x14ac:dyDescent="0.2">
      <c r="A701" t="s">
        <v>1482</v>
      </c>
      <c r="B701" s="44">
        <v>36921</v>
      </c>
      <c r="C701" t="s">
        <v>4</v>
      </c>
      <c r="D701" t="s">
        <v>166</v>
      </c>
      <c r="F701"/>
      <c r="G701"/>
      <c r="H701">
        <v>3</v>
      </c>
    </row>
    <row r="702" spans="1:8" x14ac:dyDescent="0.2">
      <c r="A702" t="s">
        <v>186</v>
      </c>
      <c r="B702" s="44">
        <v>36927</v>
      </c>
      <c r="C702" t="s">
        <v>4</v>
      </c>
      <c r="D702" t="s">
        <v>109</v>
      </c>
      <c r="F702"/>
      <c r="G702"/>
      <c r="H702">
        <v>3</v>
      </c>
    </row>
    <row r="703" spans="1:8" x14ac:dyDescent="0.2">
      <c r="A703" t="s">
        <v>1501</v>
      </c>
      <c r="B703" s="44">
        <v>36936</v>
      </c>
      <c r="C703" t="s">
        <v>4</v>
      </c>
      <c r="D703" t="s">
        <v>3168</v>
      </c>
      <c r="F703"/>
      <c r="G703"/>
      <c r="H703">
        <v>3</v>
      </c>
    </row>
    <row r="704" spans="1:8" x14ac:dyDescent="0.2">
      <c r="A704" t="s">
        <v>1548</v>
      </c>
      <c r="B704" s="44">
        <v>36942</v>
      </c>
      <c r="C704" t="s">
        <v>4</v>
      </c>
      <c r="D704" t="s">
        <v>1377</v>
      </c>
      <c r="F704"/>
      <c r="G704"/>
      <c r="H704">
        <v>3</v>
      </c>
    </row>
    <row r="705" spans="1:8" x14ac:dyDescent="0.2">
      <c r="A705" t="s">
        <v>165</v>
      </c>
      <c r="B705" s="44">
        <v>36951</v>
      </c>
      <c r="C705" t="s">
        <v>4</v>
      </c>
      <c r="D705" t="s">
        <v>166</v>
      </c>
      <c r="F705"/>
      <c r="G705"/>
      <c r="H705">
        <v>3</v>
      </c>
    </row>
    <row r="706" spans="1:8" x14ac:dyDescent="0.2">
      <c r="A706" t="s">
        <v>187</v>
      </c>
      <c r="B706" s="44">
        <v>36955</v>
      </c>
      <c r="C706" t="s">
        <v>4</v>
      </c>
      <c r="D706" t="s">
        <v>109</v>
      </c>
      <c r="F706"/>
      <c r="G706"/>
      <c r="H706">
        <v>3</v>
      </c>
    </row>
    <row r="707" spans="1:8" x14ac:dyDescent="0.2">
      <c r="A707" t="s">
        <v>1715</v>
      </c>
      <c r="B707" s="44">
        <v>36970</v>
      </c>
      <c r="C707" t="s">
        <v>4</v>
      </c>
      <c r="D707" t="s">
        <v>1377</v>
      </c>
      <c r="F707"/>
      <c r="G707"/>
      <c r="H707">
        <v>3</v>
      </c>
    </row>
    <row r="708" spans="1:8" x14ac:dyDescent="0.2">
      <c r="A708" t="s">
        <v>1799</v>
      </c>
      <c r="B708" s="44">
        <v>36979</v>
      </c>
      <c r="C708" t="s">
        <v>4</v>
      </c>
      <c r="D708" t="s">
        <v>166</v>
      </c>
      <c r="F708"/>
      <c r="G708"/>
      <c r="H708">
        <v>3</v>
      </c>
    </row>
    <row r="709" spans="1:8" x14ac:dyDescent="0.2">
      <c r="A709" t="s">
        <v>171</v>
      </c>
      <c r="B709" s="44">
        <v>36983</v>
      </c>
      <c r="C709" t="s">
        <v>4</v>
      </c>
      <c r="D709" t="s">
        <v>109</v>
      </c>
      <c r="F709"/>
      <c r="G709"/>
      <c r="H709">
        <v>3</v>
      </c>
    </row>
    <row r="710" spans="1:8" x14ac:dyDescent="0.2">
      <c r="A710" t="s">
        <v>1878</v>
      </c>
      <c r="B710" s="44">
        <v>37004</v>
      </c>
      <c r="C710" t="s">
        <v>4</v>
      </c>
      <c r="D710" t="s">
        <v>1377</v>
      </c>
      <c r="F710"/>
      <c r="G710"/>
      <c r="H710">
        <v>3</v>
      </c>
    </row>
    <row r="711" spans="1:8" x14ac:dyDescent="0.2">
      <c r="A711" t="s">
        <v>1916</v>
      </c>
      <c r="B711" s="44">
        <v>37011</v>
      </c>
      <c r="C711" t="s">
        <v>4</v>
      </c>
      <c r="D711" t="s">
        <v>109</v>
      </c>
      <c r="F711"/>
      <c r="G711"/>
      <c r="H711">
        <v>3</v>
      </c>
    </row>
    <row r="712" spans="1:8" x14ac:dyDescent="0.2">
      <c r="A712" t="s">
        <v>172</v>
      </c>
      <c r="B712" s="44">
        <v>37013</v>
      </c>
      <c r="C712" t="s">
        <v>4</v>
      </c>
      <c r="D712" t="s">
        <v>166</v>
      </c>
      <c r="F712"/>
      <c r="G712"/>
      <c r="H712">
        <v>3</v>
      </c>
    </row>
    <row r="713" spans="1:8" x14ac:dyDescent="0.2">
      <c r="A713" t="s">
        <v>1944</v>
      </c>
      <c r="B713" s="44">
        <v>37027</v>
      </c>
      <c r="C713" t="s">
        <v>4</v>
      </c>
      <c r="D713" t="s">
        <v>3168</v>
      </c>
      <c r="F713"/>
      <c r="G713"/>
      <c r="H713">
        <v>3</v>
      </c>
    </row>
    <row r="714" spans="1:8" x14ac:dyDescent="0.2">
      <c r="A714" t="s">
        <v>2003</v>
      </c>
      <c r="B714" s="44">
        <v>37032</v>
      </c>
      <c r="C714" t="s">
        <v>4</v>
      </c>
      <c r="D714" t="s">
        <v>1377</v>
      </c>
      <c r="F714"/>
      <c r="G714"/>
      <c r="H714">
        <v>3</v>
      </c>
    </row>
    <row r="715" spans="1:8" x14ac:dyDescent="0.2">
      <c r="A715" t="s">
        <v>2015</v>
      </c>
      <c r="B715" s="44">
        <v>37033</v>
      </c>
      <c r="C715" t="s">
        <v>4</v>
      </c>
      <c r="D715" t="s">
        <v>3147</v>
      </c>
      <c r="F715"/>
      <c r="G715"/>
      <c r="H715">
        <v>3</v>
      </c>
    </row>
    <row r="716" spans="1:8" x14ac:dyDescent="0.2">
      <c r="A716" t="s">
        <v>2083</v>
      </c>
      <c r="B716" s="44">
        <v>37042</v>
      </c>
      <c r="C716" t="s">
        <v>4</v>
      </c>
      <c r="D716" t="s">
        <v>166</v>
      </c>
      <c r="F716"/>
      <c r="G716"/>
      <c r="H716">
        <v>3</v>
      </c>
    </row>
    <row r="717" spans="1:8" x14ac:dyDescent="0.2">
      <c r="A717" t="s">
        <v>181</v>
      </c>
      <c r="B717" s="44">
        <v>37046</v>
      </c>
      <c r="C717" t="s">
        <v>4</v>
      </c>
      <c r="D717" t="s">
        <v>109</v>
      </c>
      <c r="F717"/>
      <c r="G717"/>
      <c r="H717">
        <v>3</v>
      </c>
    </row>
    <row r="718" spans="1:8" x14ac:dyDescent="0.2">
      <c r="A718" t="s">
        <v>2175</v>
      </c>
      <c r="B718" s="44">
        <v>37062</v>
      </c>
      <c r="C718" t="s">
        <v>4</v>
      </c>
      <c r="D718" t="s">
        <v>1377</v>
      </c>
      <c r="F718"/>
      <c r="G718"/>
      <c r="H718">
        <v>3</v>
      </c>
    </row>
    <row r="719" spans="1:8" x14ac:dyDescent="0.2">
      <c r="A719" t="s">
        <v>2285</v>
      </c>
      <c r="B719" s="44">
        <v>37071</v>
      </c>
      <c r="C719" t="s">
        <v>4</v>
      </c>
      <c r="D719" t="s">
        <v>166</v>
      </c>
      <c r="F719"/>
      <c r="G719"/>
      <c r="H719">
        <v>3</v>
      </c>
    </row>
    <row r="720" spans="1:8" x14ac:dyDescent="0.2">
      <c r="A720" t="s">
        <v>173</v>
      </c>
      <c r="B720" s="44">
        <v>37074</v>
      </c>
      <c r="C720" t="s">
        <v>4</v>
      </c>
      <c r="D720" t="s">
        <v>109</v>
      </c>
      <c r="F720"/>
      <c r="G720"/>
      <c r="H720">
        <v>3</v>
      </c>
    </row>
    <row r="721" spans="1:8" x14ac:dyDescent="0.2">
      <c r="A721" t="s">
        <v>208</v>
      </c>
      <c r="B721" s="44">
        <v>37111</v>
      </c>
      <c r="C721" t="s">
        <v>4</v>
      </c>
      <c r="D721" t="s">
        <v>3168</v>
      </c>
      <c r="F721"/>
      <c r="G721"/>
      <c r="H721">
        <v>3</v>
      </c>
    </row>
    <row r="722" spans="1:8" x14ac:dyDescent="0.2">
      <c r="A722" t="s">
        <v>2535</v>
      </c>
      <c r="B722" s="44">
        <v>37154</v>
      </c>
      <c r="C722" t="s">
        <v>4</v>
      </c>
      <c r="D722" t="s">
        <v>1850</v>
      </c>
      <c r="F722"/>
      <c r="G722"/>
      <c r="H722">
        <v>3</v>
      </c>
    </row>
    <row r="723" spans="1:8" x14ac:dyDescent="0.2">
      <c r="A723" t="s">
        <v>168</v>
      </c>
      <c r="B723" s="44">
        <v>37165</v>
      </c>
      <c r="C723" t="s">
        <v>4</v>
      </c>
      <c r="D723" t="s">
        <v>169</v>
      </c>
      <c r="F723"/>
      <c r="G723"/>
      <c r="H723">
        <v>3</v>
      </c>
    </row>
    <row r="724" spans="1:8" x14ac:dyDescent="0.2">
      <c r="A724" t="s">
        <v>2803</v>
      </c>
      <c r="B724" s="44">
        <v>37193</v>
      </c>
      <c r="C724" t="s">
        <v>4</v>
      </c>
      <c r="D724" t="s">
        <v>224</v>
      </c>
      <c r="F724"/>
      <c r="G724"/>
      <c r="H724">
        <v>3</v>
      </c>
    </row>
    <row r="725" spans="1:8" x14ac:dyDescent="0.2">
      <c r="A725" t="s">
        <v>2849</v>
      </c>
      <c r="B725" s="44">
        <v>37209</v>
      </c>
      <c r="C725" t="s">
        <v>4</v>
      </c>
      <c r="D725" t="s">
        <v>3168</v>
      </c>
      <c r="F725"/>
      <c r="G725"/>
      <c r="H725">
        <v>3</v>
      </c>
    </row>
    <row r="726" spans="1:8" x14ac:dyDescent="0.2">
      <c r="A726" t="s">
        <v>3010</v>
      </c>
      <c r="B726" s="44">
        <v>37224</v>
      </c>
      <c r="C726" t="s">
        <v>4</v>
      </c>
      <c r="D726" t="s">
        <v>224</v>
      </c>
      <c r="F726"/>
      <c r="G726"/>
      <c r="H726">
        <v>3</v>
      </c>
    </row>
    <row r="727" spans="1:8" x14ac:dyDescent="0.2">
      <c r="A727" t="s">
        <v>177</v>
      </c>
      <c r="B727" s="44">
        <v>37228</v>
      </c>
      <c r="C727" t="s">
        <v>4</v>
      </c>
      <c r="D727" t="s">
        <v>178</v>
      </c>
      <c r="F727"/>
      <c r="G727"/>
      <c r="H727">
        <v>3</v>
      </c>
    </row>
    <row r="728" spans="1:8" x14ac:dyDescent="0.2">
      <c r="A728" t="s">
        <v>3100</v>
      </c>
      <c r="B728" s="44">
        <v>37256</v>
      </c>
      <c r="C728" t="s">
        <v>4</v>
      </c>
      <c r="D728" t="s">
        <v>3101</v>
      </c>
      <c r="F728"/>
      <c r="G728"/>
      <c r="H728">
        <v>3</v>
      </c>
    </row>
    <row r="729" spans="1:8" x14ac:dyDescent="0.2">
      <c r="A729" t="s">
        <v>1494</v>
      </c>
      <c r="B729" s="44">
        <v>37300</v>
      </c>
      <c r="C729" t="s">
        <v>4</v>
      </c>
      <c r="D729" t="s">
        <v>3168</v>
      </c>
      <c r="F729"/>
      <c r="G729"/>
      <c r="H729">
        <v>3</v>
      </c>
    </row>
    <row r="730" spans="1:8" x14ac:dyDescent="0.2">
      <c r="A730" t="s">
        <v>223</v>
      </c>
      <c r="B730" s="44">
        <v>37348</v>
      </c>
      <c r="C730" t="s">
        <v>4</v>
      </c>
      <c r="D730" t="s">
        <v>224</v>
      </c>
      <c r="F730"/>
      <c r="G730"/>
      <c r="H730">
        <v>3</v>
      </c>
    </row>
    <row r="731" spans="1:8" x14ac:dyDescent="0.2">
      <c r="A731" t="s">
        <v>228</v>
      </c>
      <c r="B731" s="44">
        <v>37349</v>
      </c>
      <c r="C731" t="s">
        <v>4</v>
      </c>
      <c r="D731" t="s">
        <v>226</v>
      </c>
      <c r="F731"/>
      <c r="G731"/>
      <c r="H731">
        <v>3</v>
      </c>
    </row>
    <row r="732" spans="1:8" x14ac:dyDescent="0.2">
      <c r="A732" t="s">
        <v>1907</v>
      </c>
      <c r="B732" s="44">
        <v>37375</v>
      </c>
      <c r="C732" t="s">
        <v>4</v>
      </c>
      <c r="D732" t="s">
        <v>226</v>
      </c>
      <c r="F732"/>
      <c r="G732"/>
      <c r="H732">
        <v>3</v>
      </c>
    </row>
    <row r="733" spans="1:8" x14ac:dyDescent="0.2">
      <c r="A733" t="s">
        <v>1917</v>
      </c>
      <c r="B733" s="44">
        <v>37376</v>
      </c>
      <c r="C733" t="s">
        <v>4</v>
      </c>
      <c r="D733" t="s">
        <v>224</v>
      </c>
      <c r="F733"/>
      <c r="G733"/>
      <c r="H733">
        <v>3</v>
      </c>
    </row>
    <row r="734" spans="1:8" x14ac:dyDescent="0.2">
      <c r="A734" t="s">
        <v>1937</v>
      </c>
      <c r="B734" s="44">
        <v>37391</v>
      </c>
      <c r="C734" t="s">
        <v>4</v>
      </c>
      <c r="D734" t="s">
        <v>3168</v>
      </c>
      <c r="F734"/>
      <c r="G734"/>
      <c r="H734">
        <v>3</v>
      </c>
    </row>
    <row r="735" spans="1:8" x14ac:dyDescent="0.2">
      <c r="A735" t="s">
        <v>2077</v>
      </c>
      <c r="B735" s="44">
        <v>37406</v>
      </c>
      <c r="C735" t="s">
        <v>4</v>
      </c>
      <c r="D735" t="s">
        <v>224</v>
      </c>
      <c r="F735"/>
      <c r="G735"/>
      <c r="H735">
        <v>3</v>
      </c>
    </row>
    <row r="736" spans="1:8" x14ac:dyDescent="0.2">
      <c r="A736" t="s">
        <v>238</v>
      </c>
      <c r="B736" s="44">
        <v>37412</v>
      </c>
      <c r="C736" t="s">
        <v>4</v>
      </c>
      <c r="D736" t="s">
        <v>226</v>
      </c>
      <c r="F736"/>
      <c r="G736"/>
      <c r="H736">
        <v>3</v>
      </c>
    </row>
    <row r="737" spans="1:8" x14ac:dyDescent="0.2">
      <c r="A737" t="s">
        <v>230</v>
      </c>
      <c r="B737" s="44">
        <v>37440</v>
      </c>
      <c r="C737" t="s">
        <v>4</v>
      </c>
      <c r="D737" t="s">
        <v>224</v>
      </c>
      <c r="F737"/>
      <c r="G737"/>
      <c r="H737">
        <v>3</v>
      </c>
    </row>
    <row r="738" spans="1:8" x14ac:dyDescent="0.2">
      <c r="A738" t="s">
        <v>2409</v>
      </c>
      <c r="B738" s="44">
        <v>37466</v>
      </c>
      <c r="C738" t="s">
        <v>4</v>
      </c>
      <c r="D738" t="s">
        <v>224</v>
      </c>
      <c r="F738"/>
      <c r="G738"/>
      <c r="H738">
        <v>3</v>
      </c>
    </row>
    <row r="739" spans="1:8" x14ac:dyDescent="0.2">
      <c r="A739" t="s">
        <v>252</v>
      </c>
      <c r="B739" s="44">
        <v>37475</v>
      </c>
      <c r="C739" t="s">
        <v>4</v>
      </c>
      <c r="D739" t="s">
        <v>3168</v>
      </c>
      <c r="F739"/>
      <c r="G739"/>
      <c r="H739">
        <v>3</v>
      </c>
    </row>
    <row r="740" spans="1:8" x14ac:dyDescent="0.2">
      <c r="A740" t="s">
        <v>2433</v>
      </c>
      <c r="B740" s="44">
        <v>37488</v>
      </c>
      <c r="C740" t="s">
        <v>4</v>
      </c>
      <c r="D740" t="s">
        <v>1850</v>
      </c>
      <c r="F740"/>
      <c r="G740"/>
      <c r="H740">
        <v>3</v>
      </c>
    </row>
    <row r="741" spans="1:8" x14ac:dyDescent="0.2">
      <c r="A741" t="s">
        <v>2463</v>
      </c>
      <c r="B741" s="44">
        <v>37498</v>
      </c>
      <c r="C741" t="s">
        <v>4</v>
      </c>
      <c r="D741" t="s">
        <v>224</v>
      </c>
      <c r="F741"/>
      <c r="G741"/>
      <c r="H741">
        <v>3</v>
      </c>
    </row>
    <row r="742" spans="1:8" x14ac:dyDescent="0.2">
      <c r="A742" t="s">
        <v>225</v>
      </c>
      <c r="B742" s="44">
        <v>37501</v>
      </c>
      <c r="C742" t="s">
        <v>4</v>
      </c>
      <c r="D742" t="s">
        <v>226</v>
      </c>
      <c r="F742"/>
      <c r="G742"/>
      <c r="H742">
        <v>3</v>
      </c>
    </row>
    <row r="743" spans="1:8" x14ac:dyDescent="0.2">
      <c r="A743" t="s">
        <v>2524</v>
      </c>
      <c r="B743" s="44">
        <v>37518</v>
      </c>
      <c r="C743" t="s">
        <v>4</v>
      </c>
      <c r="D743" t="s">
        <v>1850</v>
      </c>
      <c r="F743"/>
      <c r="G743"/>
      <c r="H743">
        <v>3</v>
      </c>
    </row>
    <row r="744" spans="1:8" x14ac:dyDescent="0.2">
      <c r="A744" t="s">
        <v>2628</v>
      </c>
      <c r="B744" s="44">
        <v>37529</v>
      </c>
      <c r="C744" t="s">
        <v>4</v>
      </c>
      <c r="D744" t="s">
        <v>226</v>
      </c>
      <c r="F744"/>
      <c r="G744"/>
      <c r="H744">
        <v>3</v>
      </c>
    </row>
    <row r="745" spans="1:8" x14ac:dyDescent="0.2">
      <c r="A745" t="s">
        <v>2628</v>
      </c>
      <c r="B745" s="44">
        <v>37529</v>
      </c>
      <c r="C745" t="s">
        <v>4</v>
      </c>
      <c r="D745" t="s">
        <v>224</v>
      </c>
      <c r="F745"/>
      <c r="G745"/>
      <c r="H745">
        <v>3</v>
      </c>
    </row>
    <row r="746" spans="1:8" x14ac:dyDescent="0.2">
      <c r="A746" t="s">
        <v>2691</v>
      </c>
      <c r="B746" s="44">
        <v>37547</v>
      </c>
      <c r="C746" t="s">
        <v>4</v>
      </c>
      <c r="D746" t="s">
        <v>1850</v>
      </c>
      <c r="F746"/>
      <c r="G746"/>
      <c r="H746">
        <v>3</v>
      </c>
    </row>
    <row r="747" spans="1:8" x14ac:dyDescent="0.2">
      <c r="A747" t="s">
        <v>2804</v>
      </c>
      <c r="B747" s="44">
        <v>37558</v>
      </c>
      <c r="C747" t="s">
        <v>4</v>
      </c>
      <c r="D747" t="s">
        <v>224</v>
      </c>
      <c r="F747"/>
      <c r="G747"/>
      <c r="H747">
        <v>3</v>
      </c>
    </row>
    <row r="748" spans="1:8" x14ac:dyDescent="0.2">
      <c r="A748" t="s">
        <v>2841</v>
      </c>
      <c r="B748" s="44">
        <v>37573</v>
      </c>
      <c r="C748" t="s">
        <v>4</v>
      </c>
      <c r="D748" t="s">
        <v>3168</v>
      </c>
      <c r="F748"/>
      <c r="G748"/>
      <c r="H748">
        <v>3</v>
      </c>
    </row>
    <row r="749" spans="1:8" x14ac:dyDescent="0.2">
      <c r="A749" t="s">
        <v>311</v>
      </c>
      <c r="B749" s="44">
        <v>37664</v>
      </c>
      <c r="C749" t="s">
        <v>4</v>
      </c>
      <c r="D749" t="s">
        <v>3168</v>
      </c>
      <c r="F749"/>
      <c r="G749"/>
      <c r="H749">
        <v>3</v>
      </c>
    </row>
    <row r="750" spans="1:8" x14ac:dyDescent="0.2">
      <c r="A750" t="s">
        <v>1938</v>
      </c>
      <c r="B750" s="44">
        <v>37756</v>
      </c>
      <c r="C750" t="s">
        <v>4</v>
      </c>
      <c r="D750" t="s">
        <v>3168</v>
      </c>
      <c r="F750"/>
      <c r="G750"/>
      <c r="H750">
        <v>3</v>
      </c>
    </row>
    <row r="751" spans="1:8" x14ac:dyDescent="0.2">
      <c r="A751" t="s">
        <v>2413</v>
      </c>
      <c r="B751" s="44">
        <v>37846</v>
      </c>
      <c r="C751" t="s">
        <v>4</v>
      </c>
      <c r="D751" t="s">
        <v>3168</v>
      </c>
      <c r="F751"/>
      <c r="G751"/>
      <c r="H751">
        <v>3</v>
      </c>
    </row>
    <row r="752" spans="1:8" x14ac:dyDescent="0.2">
      <c r="A752" t="s">
        <v>358</v>
      </c>
      <c r="B752" s="44">
        <v>38028</v>
      </c>
      <c r="C752" t="s">
        <v>4</v>
      </c>
      <c r="D752" t="s">
        <v>3168</v>
      </c>
      <c r="F752"/>
      <c r="G752"/>
      <c r="H752">
        <v>3</v>
      </c>
    </row>
    <row r="753" spans="1:9" x14ac:dyDescent="0.2">
      <c r="A753" t="s">
        <v>361</v>
      </c>
      <c r="B753" s="44">
        <v>38119</v>
      </c>
      <c r="C753" t="s">
        <v>4</v>
      </c>
      <c r="D753" t="s">
        <v>3168</v>
      </c>
      <c r="F753"/>
      <c r="G753"/>
      <c r="H753">
        <v>3</v>
      </c>
    </row>
    <row r="754" spans="1:9" x14ac:dyDescent="0.2">
      <c r="A754" t="s">
        <v>336</v>
      </c>
      <c r="B754" s="44">
        <v>38174</v>
      </c>
      <c r="C754" t="s">
        <v>4</v>
      </c>
      <c r="D754" t="s">
        <v>3147</v>
      </c>
      <c r="F754"/>
      <c r="G754"/>
      <c r="H754">
        <v>3</v>
      </c>
    </row>
    <row r="755" spans="1:9" x14ac:dyDescent="0.2">
      <c r="A755" t="s">
        <v>360</v>
      </c>
      <c r="B755" s="44">
        <v>38210</v>
      </c>
      <c r="C755" t="s">
        <v>4</v>
      </c>
      <c r="D755" t="s">
        <v>3168</v>
      </c>
      <c r="F755"/>
      <c r="G755"/>
      <c r="H755">
        <v>3</v>
      </c>
    </row>
    <row r="756" spans="1:9" x14ac:dyDescent="0.2">
      <c r="A756" t="s">
        <v>357</v>
      </c>
      <c r="B756" s="44">
        <v>38301</v>
      </c>
      <c r="C756" t="s">
        <v>4</v>
      </c>
      <c r="D756" t="s">
        <v>3168</v>
      </c>
      <c r="F756"/>
      <c r="G756"/>
      <c r="H756">
        <v>3</v>
      </c>
    </row>
    <row r="757" spans="1:9" x14ac:dyDescent="0.2">
      <c r="A757" t="s">
        <v>1516</v>
      </c>
      <c r="B757" s="44">
        <v>38399</v>
      </c>
      <c r="C757" t="s">
        <v>4</v>
      </c>
      <c r="D757" t="s">
        <v>3168</v>
      </c>
      <c r="F757"/>
      <c r="G757"/>
      <c r="H757">
        <v>3</v>
      </c>
    </row>
    <row r="758" spans="1:9" x14ac:dyDescent="0.2">
      <c r="A758" t="s">
        <v>414</v>
      </c>
      <c r="B758" s="44">
        <v>38483</v>
      </c>
      <c r="C758" t="s">
        <v>4</v>
      </c>
      <c r="D758" t="s">
        <v>3168</v>
      </c>
      <c r="F758"/>
      <c r="G758"/>
      <c r="H758">
        <v>3</v>
      </c>
    </row>
    <row r="759" spans="1:9" x14ac:dyDescent="0.2">
      <c r="A759" t="s">
        <v>2268</v>
      </c>
      <c r="B759" s="44">
        <v>38530</v>
      </c>
      <c r="C759" t="s">
        <v>4</v>
      </c>
      <c r="D759" t="s">
        <v>3162</v>
      </c>
      <c r="F759"/>
      <c r="G759"/>
      <c r="H759">
        <v>3</v>
      </c>
      <c r="I759" t="s">
        <v>3214</v>
      </c>
    </row>
    <row r="760" spans="1:9" x14ac:dyDescent="0.2">
      <c r="A760" t="s">
        <v>409</v>
      </c>
      <c r="B760" s="44">
        <v>38574</v>
      </c>
      <c r="C760" t="s">
        <v>4</v>
      </c>
      <c r="D760" t="s">
        <v>3168</v>
      </c>
      <c r="F760"/>
      <c r="G760"/>
      <c r="H760">
        <v>3</v>
      </c>
    </row>
    <row r="761" spans="1:9" x14ac:dyDescent="0.2">
      <c r="A761" t="s">
        <v>2874</v>
      </c>
      <c r="B761" s="44">
        <v>38672</v>
      </c>
      <c r="C761" t="s">
        <v>4</v>
      </c>
      <c r="D761" t="s">
        <v>3168</v>
      </c>
      <c r="F761"/>
      <c r="G761"/>
      <c r="H761">
        <v>3</v>
      </c>
    </row>
    <row r="762" spans="1:9" x14ac:dyDescent="0.2">
      <c r="A762" t="s">
        <v>1511</v>
      </c>
      <c r="B762" s="44">
        <v>38763</v>
      </c>
      <c r="C762" t="s">
        <v>4</v>
      </c>
      <c r="D762" t="s">
        <v>3168</v>
      </c>
      <c r="F762"/>
      <c r="G762"/>
      <c r="H762">
        <v>3</v>
      </c>
    </row>
    <row r="763" spans="1:9" x14ac:dyDescent="0.2">
      <c r="A763" t="s">
        <v>483</v>
      </c>
      <c r="B763" s="44">
        <v>38847</v>
      </c>
      <c r="C763" t="s">
        <v>4</v>
      </c>
      <c r="D763" t="s">
        <v>3168</v>
      </c>
      <c r="F763"/>
      <c r="G763"/>
      <c r="H763">
        <v>3</v>
      </c>
    </row>
    <row r="764" spans="1:9" x14ac:dyDescent="0.2">
      <c r="A764" t="s">
        <v>497</v>
      </c>
      <c r="B764" s="44">
        <v>38910</v>
      </c>
      <c r="C764" t="s">
        <v>4</v>
      </c>
      <c r="D764" t="s">
        <v>3162</v>
      </c>
      <c r="F764"/>
      <c r="G764"/>
      <c r="H764">
        <v>3</v>
      </c>
      <c r="I764" t="s">
        <v>3214</v>
      </c>
    </row>
    <row r="765" spans="1:9" x14ac:dyDescent="0.2">
      <c r="A765" t="s">
        <v>481</v>
      </c>
      <c r="B765" s="44">
        <v>38938</v>
      </c>
      <c r="C765" t="s">
        <v>4</v>
      </c>
      <c r="D765" t="s">
        <v>3168</v>
      </c>
      <c r="F765"/>
      <c r="G765"/>
      <c r="H765">
        <v>3</v>
      </c>
    </row>
    <row r="766" spans="1:9" x14ac:dyDescent="0.2">
      <c r="A766" t="s">
        <v>2861</v>
      </c>
      <c r="B766" s="44">
        <v>39036</v>
      </c>
      <c r="C766" t="s">
        <v>4</v>
      </c>
      <c r="D766" t="s">
        <v>3168</v>
      </c>
      <c r="F766"/>
      <c r="G766"/>
      <c r="H766">
        <v>3</v>
      </c>
    </row>
    <row r="767" spans="1:9" x14ac:dyDescent="0.2">
      <c r="A767" t="s">
        <v>1504</v>
      </c>
      <c r="B767" s="44">
        <v>39127</v>
      </c>
      <c r="C767" t="s">
        <v>4</v>
      </c>
      <c r="D767" t="s">
        <v>3168</v>
      </c>
      <c r="F767"/>
      <c r="G767"/>
      <c r="H767">
        <v>3</v>
      </c>
    </row>
    <row r="768" spans="1:9" x14ac:dyDescent="0.2">
      <c r="A768" t="s">
        <v>1895</v>
      </c>
      <c r="B768" s="44">
        <v>39198</v>
      </c>
      <c r="C768" t="s">
        <v>4</v>
      </c>
      <c r="D768" t="s">
        <v>3162</v>
      </c>
      <c r="F768"/>
      <c r="G768"/>
      <c r="H768">
        <v>3</v>
      </c>
      <c r="I768" t="s">
        <v>3214</v>
      </c>
    </row>
    <row r="769" spans="1:9" x14ac:dyDescent="0.2">
      <c r="A769" t="s">
        <v>1946</v>
      </c>
      <c r="B769" s="44">
        <v>39218</v>
      </c>
      <c r="C769" t="s">
        <v>4</v>
      </c>
      <c r="D769" t="s">
        <v>3168</v>
      </c>
      <c r="F769"/>
      <c r="G769"/>
      <c r="H769">
        <v>3</v>
      </c>
    </row>
    <row r="770" spans="1:9" x14ac:dyDescent="0.2">
      <c r="A770" t="s">
        <v>2098</v>
      </c>
      <c r="B770" s="44">
        <v>39247</v>
      </c>
      <c r="C770" t="s">
        <v>4</v>
      </c>
      <c r="D770" t="s">
        <v>3169</v>
      </c>
      <c r="F770"/>
      <c r="G770"/>
      <c r="H770">
        <v>3</v>
      </c>
    </row>
    <row r="771" spans="1:9" x14ac:dyDescent="0.2">
      <c r="A771" t="s">
        <v>565</v>
      </c>
      <c r="B771" s="44">
        <v>39302</v>
      </c>
      <c r="C771" t="s">
        <v>4</v>
      </c>
      <c r="D771" t="s">
        <v>3168</v>
      </c>
      <c r="F771"/>
      <c r="G771"/>
      <c r="H771">
        <v>3</v>
      </c>
    </row>
    <row r="772" spans="1:9" x14ac:dyDescent="0.2">
      <c r="A772" t="s">
        <v>2850</v>
      </c>
      <c r="B772" s="44">
        <v>39400</v>
      </c>
      <c r="C772" t="s">
        <v>4</v>
      </c>
      <c r="D772" t="s">
        <v>3168</v>
      </c>
      <c r="F772"/>
      <c r="G772"/>
      <c r="H772">
        <v>3</v>
      </c>
    </row>
    <row r="773" spans="1:9" x14ac:dyDescent="0.2">
      <c r="A773" t="s">
        <v>1495</v>
      </c>
      <c r="B773" s="44">
        <v>39491</v>
      </c>
      <c r="C773" t="s">
        <v>4</v>
      </c>
      <c r="D773" t="s">
        <v>3168</v>
      </c>
      <c r="F773"/>
      <c r="G773"/>
      <c r="H773">
        <v>3</v>
      </c>
    </row>
    <row r="774" spans="1:9" x14ac:dyDescent="0.2">
      <c r="A774" t="s">
        <v>597</v>
      </c>
      <c r="B774" s="44">
        <v>39541</v>
      </c>
      <c r="C774" t="s">
        <v>4</v>
      </c>
      <c r="D774" t="s">
        <v>3171</v>
      </c>
      <c r="F774"/>
      <c r="G774"/>
      <c r="H774">
        <v>3</v>
      </c>
    </row>
    <row r="775" spans="1:9" x14ac:dyDescent="0.2">
      <c r="A775" t="s">
        <v>588</v>
      </c>
      <c r="B775" s="44">
        <v>39569</v>
      </c>
      <c r="C775" t="s">
        <v>4</v>
      </c>
      <c r="D775" t="s">
        <v>3162</v>
      </c>
      <c r="F775"/>
      <c r="G775"/>
      <c r="H775">
        <v>3</v>
      </c>
      <c r="I775" t="s">
        <v>3214</v>
      </c>
    </row>
    <row r="776" spans="1:9" x14ac:dyDescent="0.2">
      <c r="A776" t="s">
        <v>1931</v>
      </c>
      <c r="B776" s="44">
        <v>39582</v>
      </c>
      <c r="C776" t="s">
        <v>4</v>
      </c>
      <c r="D776" t="s">
        <v>3168</v>
      </c>
      <c r="F776"/>
      <c r="G776"/>
      <c r="H776">
        <v>3</v>
      </c>
    </row>
    <row r="777" spans="1:9" x14ac:dyDescent="0.2">
      <c r="A777" t="s">
        <v>653</v>
      </c>
      <c r="B777" s="44">
        <v>39611</v>
      </c>
      <c r="C777" t="s">
        <v>4</v>
      </c>
      <c r="D777" t="s">
        <v>3170</v>
      </c>
      <c r="F777"/>
      <c r="G777"/>
      <c r="H777">
        <v>3</v>
      </c>
    </row>
    <row r="778" spans="1:9" x14ac:dyDescent="0.2">
      <c r="A778" t="s">
        <v>599</v>
      </c>
      <c r="B778" s="44">
        <v>39632</v>
      </c>
      <c r="C778" t="s">
        <v>4</v>
      </c>
      <c r="D778" t="s">
        <v>3171</v>
      </c>
      <c r="F778"/>
      <c r="G778"/>
      <c r="H778">
        <v>3</v>
      </c>
    </row>
    <row r="779" spans="1:9" x14ac:dyDescent="0.2">
      <c r="A779" t="s">
        <v>2417</v>
      </c>
      <c r="B779" s="44">
        <v>39673</v>
      </c>
      <c r="C779" t="s">
        <v>4</v>
      </c>
      <c r="D779" t="s">
        <v>3168</v>
      </c>
      <c r="F779"/>
      <c r="G779"/>
      <c r="H779">
        <v>3</v>
      </c>
    </row>
    <row r="780" spans="1:9" x14ac:dyDescent="0.2">
      <c r="A780" t="s">
        <v>643</v>
      </c>
      <c r="B780" s="44">
        <v>39702</v>
      </c>
      <c r="C780" t="s">
        <v>4</v>
      </c>
      <c r="D780" t="s">
        <v>3170</v>
      </c>
      <c r="F780"/>
      <c r="G780"/>
      <c r="H780">
        <v>3</v>
      </c>
    </row>
    <row r="781" spans="1:9" x14ac:dyDescent="0.2">
      <c r="A781" t="s">
        <v>593</v>
      </c>
      <c r="B781" s="44">
        <v>39723</v>
      </c>
      <c r="C781" t="s">
        <v>4</v>
      </c>
      <c r="D781" t="s">
        <v>3171</v>
      </c>
      <c r="F781"/>
      <c r="G781"/>
      <c r="H781">
        <v>3</v>
      </c>
    </row>
    <row r="782" spans="1:9" x14ac:dyDescent="0.2">
      <c r="A782" t="s">
        <v>2670</v>
      </c>
      <c r="B782" s="44">
        <v>39737</v>
      </c>
      <c r="C782" t="s">
        <v>4</v>
      </c>
      <c r="D782" t="s">
        <v>3191</v>
      </c>
      <c r="F782"/>
      <c r="G782"/>
      <c r="H782">
        <v>3</v>
      </c>
    </row>
    <row r="783" spans="1:9" x14ac:dyDescent="0.2">
      <c r="A783" t="s">
        <v>2798</v>
      </c>
      <c r="B783" s="44">
        <v>39749</v>
      </c>
      <c r="C783" t="s">
        <v>4</v>
      </c>
      <c r="D783" t="s">
        <v>3162</v>
      </c>
      <c r="F783"/>
      <c r="G783"/>
      <c r="H783">
        <v>3</v>
      </c>
      <c r="I783" t="s">
        <v>3214</v>
      </c>
    </row>
    <row r="784" spans="1:9" x14ac:dyDescent="0.2">
      <c r="A784" t="s">
        <v>655</v>
      </c>
      <c r="B784" s="44">
        <v>39764</v>
      </c>
      <c r="C784" t="s">
        <v>4</v>
      </c>
      <c r="D784" t="s">
        <v>3168</v>
      </c>
      <c r="F784"/>
      <c r="G784"/>
      <c r="H784">
        <v>3</v>
      </c>
    </row>
    <row r="785" spans="1:9" x14ac:dyDescent="0.2">
      <c r="A785" t="s">
        <v>646</v>
      </c>
      <c r="B785" s="44">
        <v>39793</v>
      </c>
      <c r="C785" t="s">
        <v>4</v>
      </c>
      <c r="D785" t="s">
        <v>3170</v>
      </c>
      <c r="F785"/>
      <c r="G785"/>
      <c r="H785">
        <v>3</v>
      </c>
    </row>
    <row r="786" spans="1:9" x14ac:dyDescent="0.2">
      <c r="A786" t="s">
        <v>659</v>
      </c>
      <c r="B786" s="44">
        <v>39815</v>
      </c>
      <c r="C786" t="s">
        <v>4</v>
      </c>
      <c r="D786" t="s">
        <v>3171</v>
      </c>
      <c r="F786"/>
      <c r="G786"/>
      <c r="H786">
        <v>3</v>
      </c>
    </row>
    <row r="787" spans="1:9" x14ac:dyDescent="0.2">
      <c r="A787" t="s">
        <v>694</v>
      </c>
      <c r="B787" s="44">
        <v>39855</v>
      </c>
      <c r="C787" t="s">
        <v>4</v>
      </c>
      <c r="D787" t="s">
        <v>3168</v>
      </c>
      <c r="F787"/>
      <c r="G787"/>
      <c r="H787">
        <v>3</v>
      </c>
    </row>
    <row r="788" spans="1:9" x14ac:dyDescent="0.2">
      <c r="A788" t="s">
        <v>699</v>
      </c>
      <c r="B788" s="44">
        <v>39884</v>
      </c>
      <c r="C788" t="s">
        <v>4</v>
      </c>
      <c r="D788" t="s">
        <v>3172</v>
      </c>
      <c r="F788"/>
      <c r="G788"/>
      <c r="H788">
        <v>3</v>
      </c>
    </row>
    <row r="789" spans="1:9" x14ac:dyDescent="0.2">
      <c r="A789" t="s">
        <v>1683</v>
      </c>
      <c r="B789" s="44">
        <v>39888</v>
      </c>
      <c r="C789" t="s">
        <v>4</v>
      </c>
      <c r="D789" t="s">
        <v>3173</v>
      </c>
      <c r="F789"/>
      <c r="G789"/>
      <c r="H789">
        <v>3</v>
      </c>
    </row>
    <row r="790" spans="1:9" x14ac:dyDescent="0.2">
      <c r="A790" t="s">
        <v>660</v>
      </c>
      <c r="B790" s="44">
        <v>39905</v>
      </c>
      <c r="C790" t="s">
        <v>4</v>
      </c>
      <c r="D790" t="s">
        <v>3171</v>
      </c>
      <c r="F790"/>
      <c r="G790"/>
      <c r="H790">
        <v>3</v>
      </c>
    </row>
    <row r="791" spans="1:9" x14ac:dyDescent="0.2">
      <c r="A791" t="s">
        <v>1861</v>
      </c>
      <c r="B791" s="44">
        <v>39924</v>
      </c>
      <c r="C791" t="s">
        <v>4</v>
      </c>
      <c r="D791" t="s">
        <v>3174</v>
      </c>
      <c r="F791"/>
      <c r="G791"/>
      <c r="H791">
        <v>3</v>
      </c>
    </row>
    <row r="792" spans="1:9" x14ac:dyDescent="0.2">
      <c r="A792" t="s">
        <v>1901</v>
      </c>
      <c r="B792" s="44">
        <v>39930</v>
      </c>
      <c r="C792" t="s">
        <v>4</v>
      </c>
      <c r="D792" t="s">
        <v>3175</v>
      </c>
      <c r="F792"/>
      <c r="G792"/>
      <c r="H792">
        <v>3</v>
      </c>
    </row>
    <row r="793" spans="1:9" x14ac:dyDescent="0.2">
      <c r="A793" t="s">
        <v>1926</v>
      </c>
      <c r="B793" s="44">
        <v>39946</v>
      </c>
      <c r="C793" t="s">
        <v>4</v>
      </c>
      <c r="D793" t="s">
        <v>3168</v>
      </c>
      <c r="F793"/>
      <c r="G793"/>
      <c r="H793">
        <v>3</v>
      </c>
    </row>
    <row r="794" spans="1:9" x14ac:dyDescent="0.2">
      <c r="A794" t="s">
        <v>695</v>
      </c>
      <c r="B794" s="44">
        <v>39975</v>
      </c>
      <c r="C794" t="s">
        <v>4</v>
      </c>
      <c r="D794" t="s">
        <v>3173</v>
      </c>
      <c r="F794"/>
      <c r="G794"/>
      <c r="H794">
        <v>3</v>
      </c>
    </row>
    <row r="795" spans="1:9" x14ac:dyDescent="0.2">
      <c r="A795" t="s">
        <v>696</v>
      </c>
      <c r="B795" s="44">
        <v>39975</v>
      </c>
      <c r="C795" t="s">
        <v>4</v>
      </c>
      <c r="D795" t="s">
        <v>3172</v>
      </c>
      <c r="F795"/>
      <c r="G795"/>
      <c r="H795">
        <v>3</v>
      </c>
    </row>
    <row r="796" spans="1:9" x14ac:dyDescent="0.2">
      <c r="A796" t="s">
        <v>2156</v>
      </c>
      <c r="B796" s="44">
        <v>39982</v>
      </c>
      <c r="C796" t="s">
        <v>4</v>
      </c>
      <c r="D796" t="s">
        <v>3174</v>
      </c>
      <c r="F796"/>
      <c r="G796"/>
      <c r="H796">
        <v>3</v>
      </c>
    </row>
    <row r="797" spans="1:9" x14ac:dyDescent="0.2">
      <c r="A797" t="s">
        <v>2253</v>
      </c>
      <c r="B797" s="44">
        <v>39990</v>
      </c>
      <c r="C797" t="s">
        <v>4</v>
      </c>
      <c r="D797" t="s">
        <v>3162</v>
      </c>
      <c r="F797"/>
      <c r="G797"/>
      <c r="H797">
        <v>3</v>
      </c>
      <c r="I797" t="s">
        <v>3214</v>
      </c>
    </row>
    <row r="798" spans="1:9" x14ac:dyDescent="0.2">
      <c r="A798" t="s">
        <v>656</v>
      </c>
      <c r="B798" s="44">
        <v>39995</v>
      </c>
      <c r="C798" t="s">
        <v>4</v>
      </c>
      <c r="D798" t="s">
        <v>3176</v>
      </c>
      <c r="F798"/>
      <c r="G798"/>
      <c r="H798">
        <v>3</v>
      </c>
    </row>
    <row r="799" spans="1:9" x14ac:dyDescent="0.2">
      <c r="A799" t="s">
        <v>662</v>
      </c>
      <c r="B799" s="44">
        <v>39996</v>
      </c>
      <c r="C799" t="s">
        <v>4</v>
      </c>
      <c r="D799" t="s">
        <v>3171</v>
      </c>
      <c r="F799"/>
      <c r="G799"/>
      <c r="H799">
        <v>3</v>
      </c>
    </row>
    <row r="800" spans="1:9" x14ac:dyDescent="0.2">
      <c r="A800" t="s">
        <v>2370</v>
      </c>
      <c r="B800" s="44">
        <v>40014</v>
      </c>
      <c r="C800" t="s">
        <v>4</v>
      </c>
      <c r="D800" t="s">
        <v>3174</v>
      </c>
      <c r="F800"/>
      <c r="G800"/>
      <c r="H800">
        <v>3</v>
      </c>
    </row>
    <row r="801" spans="1:9" x14ac:dyDescent="0.2">
      <c r="A801" t="s">
        <v>703</v>
      </c>
      <c r="B801" s="44">
        <v>40037</v>
      </c>
      <c r="C801" t="s">
        <v>4</v>
      </c>
      <c r="D801" t="s">
        <v>3168</v>
      </c>
      <c r="F801"/>
      <c r="G801"/>
      <c r="H801">
        <v>3</v>
      </c>
    </row>
    <row r="802" spans="1:9" x14ac:dyDescent="0.2">
      <c r="A802" t="s">
        <v>2435</v>
      </c>
      <c r="B802" s="44">
        <v>40045</v>
      </c>
      <c r="C802" t="s">
        <v>4</v>
      </c>
      <c r="D802" t="s">
        <v>3174</v>
      </c>
      <c r="F802"/>
      <c r="G802"/>
      <c r="H802">
        <v>3</v>
      </c>
    </row>
    <row r="803" spans="1:9" x14ac:dyDescent="0.2">
      <c r="A803" t="s">
        <v>2503</v>
      </c>
      <c r="B803" s="44">
        <v>40073</v>
      </c>
      <c r="C803" t="s">
        <v>4</v>
      </c>
      <c r="D803" t="s">
        <v>3172</v>
      </c>
      <c r="F803"/>
      <c r="G803"/>
      <c r="H803">
        <v>3</v>
      </c>
    </row>
    <row r="804" spans="1:9" x14ac:dyDescent="0.2">
      <c r="A804" t="s">
        <v>2518</v>
      </c>
      <c r="B804" s="44">
        <v>40074</v>
      </c>
      <c r="C804" t="s">
        <v>4</v>
      </c>
      <c r="D804" t="s">
        <v>3174</v>
      </c>
      <c r="F804"/>
      <c r="G804"/>
      <c r="H804">
        <v>3</v>
      </c>
    </row>
    <row r="805" spans="1:9" x14ac:dyDescent="0.2">
      <c r="A805" t="s">
        <v>2550</v>
      </c>
      <c r="B805" s="44">
        <v>40077</v>
      </c>
      <c r="C805" t="s">
        <v>4</v>
      </c>
      <c r="D805" t="s">
        <v>3173</v>
      </c>
      <c r="F805"/>
      <c r="G805"/>
      <c r="H805">
        <v>3</v>
      </c>
    </row>
    <row r="806" spans="1:9" x14ac:dyDescent="0.2">
      <c r="A806" t="s">
        <v>2607</v>
      </c>
      <c r="B806" s="44">
        <v>40084</v>
      </c>
      <c r="C806" t="s">
        <v>4</v>
      </c>
      <c r="D806" t="s">
        <v>3177</v>
      </c>
      <c r="F806"/>
      <c r="G806"/>
      <c r="H806">
        <v>3</v>
      </c>
    </row>
    <row r="807" spans="1:9" x14ac:dyDescent="0.2">
      <c r="A807" t="s">
        <v>657</v>
      </c>
      <c r="B807" s="44">
        <v>40087</v>
      </c>
      <c r="C807" t="s">
        <v>4</v>
      </c>
      <c r="D807" t="s">
        <v>3171</v>
      </c>
      <c r="F807"/>
      <c r="G807"/>
      <c r="H807">
        <v>3</v>
      </c>
    </row>
    <row r="808" spans="1:9" x14ac:dyDescent="0.2">
      <c r="A808" t="s">
        <v>2741</v>
      </c>
      <c r="B808" s="44">
        <v>40108</v>
      </c>
      <c r="C808" t="s">
        <v>4</v>
      </c>
      <c r="D808" t="s">
        <v>3174</v>
      </c>
      <c r="F808"/>
      <c r="G808"/>
      <c r="H808">
        <v>3</v>
      </c>
    </row>
    <row r="809" spans="1:9" x14ac:dyDescent="0.2">
      <c r="A809" t="s">
        <v>2786</v>
      </c>
      <c r="B809" s="44">
        <v>40112</v>
      </c>
      <c r="C809" t="s">
        <v>4</v>
      </c>
      <c r="D809" t="s">
        <v>3208</v>
      </c>
      <c r="F809"/>
      <c r="G809"/>
      <c r="H809">
        <v>3</v>
      </c>
    </row>
    <row r="810" spans="1:9" x14ac:dyDescent="0.2">
      <c r="A810" t="s">
        <v>697</v>
      </c>
      <c r="B810" s="44">
        <v>40128</v>
      </c>
      <c r="C810" t="s">
        <v>4</v>
      </c>
      <c r="D810" t="s">
        <v>3168</v>
      </c>
      <c r="F810"/>
      <c r="G810"/>
      <c r="H810">
        <v>3</v>
      </c>
    </row>
    <row r="811" spans="1:9" x14ac:dyDescent="0.2">
      <c r="A811" t="s">
        <v>2915</v>
      </c>
      <c r="B811" s="44">
        <v>40136</v>
      </c>
      <c r="C811" t="s">
        <v>4</v>
      </c>
      <c r="D811" t="s">
        <v>3174</v>
      </c>
      <c r="F811"/>
      <c r="G811"/>
      <c r="H811">
        <v>3</v>
      </c>
    </row>
    <row r="812" spans="1:9" x14ac:dyDescent="0.2">
      <c r="A812" t="s">
        <v>3032</v>
      </c>
      <c r="B812" s="44">
        <v>40161</v>
      </c>
      <c r="C812" t="s">
        <v>4</v>
      </c>
      <c r="D812" t="s">
        <v>3173</v>
      </c>
      <c r="F812"/>
      <c r="G812"/>
      <c r="H812">
        <v>3</v>
      </c>
    </row>
    <row r="813" spans="1:9" x14ac:dyDescent="0.2">
      <c r="A813" t="s">
        <v>3057</v>
      </c>
      <c r="B813" s="44">
        <v>40164</v>
      </c>
      <c r="C813" t="s">
        <v>4</v>
      </c>
      <c r="D813" t="s">
        <v>3172</v>
      </c>
      <c r="F813"/>
      <c r="G813"/>
      <c r="H813">
        <v>3</v>
      </c>
    </row>
    <row r="814" spans="1:9" x14ac:dyDescent="0.2">
      <c r="A814" t="s">
        <v>3068</v>
      </c>
      <c r="B814" s="44">
        <v>40165</v>
      </c>
      <c r="C814" t="s">
        <v>4</v>
      </c>
      <c r="D814" t="s">
        <v>3162</v>
      </c>
      <c r="F814"/>
      <c r="G814"/>
      <c r="H814">
        <v>3</v>
      </c>
      <c r="I814" t="s">
        <v>3214</v>
      </c>
    </row>
    <row r="815" spans="1:9" x14ac:dyDescent="0.2">
      <c r="A815" t="s">
        <v>3069</v>
      </c>
      <c r="B815" s="44">
        <v>40165</v>
      </c>
      <c r="C815" t="s">
        <v>4</v>
      </c>
      <c r="D815" t="s">
        <v>3174</v>
      </c>
      <c r="F815"/>
      <c r="G815"/>
      <c r="H815">
        <v>3</v>
      </c>
    </row>
    <row r="816" spans="1:9" x14ac:dyDescent="0.2">
      <c r="A816" t="s">
        <v>3104</v>
      </c>
      <c r="B816" s="44">
        <v>40178</v>
      </c>
      <c r="C816" t="s">
        <v>4</v>
      </c>
      <c r="D816" t="s">
        <v>3171</v>
      </c>
      <c r="F816"/>
      <c r="G816"/>
      <c r="H816">
        <v>3</v>
      </c>
    </row>
    <row r="817" spans="1:9" x14ac:dyDescent="0.2">
      <c r="A817" t="s">
        <v>729</v>
      </c>
      <c r="B817" s="44">
        <v>40219</v>
      </c>
      <c r="C817" t="s">
        <v>4</v>
      </c>
      <c r="D817" t="s">
        <v>3168</v>
      </c>
      <c r="F817"/>
      <c r="G817"/>
      <c r="H817">
        <v>3</v>
      </c>
    </row>
    <row r="818" spans="1:9" x14ac:dyDescent="0.2">
      <c r="A818" t="s">
        <v>735</v>
      </c>
      <c r="B818" s="44">
        <v>40248</v>
      </c>
      <c r="C818" t="s">
        <v>4</v>
      </c>
      <c r="D818" t="s">
        <v>3169</v>
      </c>
      <c r="F818"/>
      <c r="G818"/>
      <c r="H818">
        <v>3</v>
      </c>
    </row>
    <row r="819" spans="1:9" x14ac:dyDescent="0.2">
      <c r="A819" t="s">
        <v>1677</v>
      </c>
      <c r="B819" s="44">
        <v>40252</v>
      </c>
      <c r="C819" t="s">
        <v>4</v>
      </c>
      <c r="D819" t="s">
        <v>3178</v>
      </c>
      <c r="F819"/>
      <c r="G819"/>
      <c r="H819">
        <v>3</v>
      </c>
    </row>
    <row r="820" spans="1:9" x14ac:dyDescent="0.2">
      <c r="A820" t="s">
        <v>704</v>
      </c>
      <c r="B820" s="44">
        <v>40269</v>
      </c>
      <c r="C820" t="s">
        <v>4</v>
      </c>
      <c r="D820" t="s">
        <v>3171</v>
      </c>
      <c r="F820"/>
      <c r="G820"/>
      <c r="H820">
        <v>3</v>
      </c>
    </row>
    <row r="821" spans="1:9" x14ac:dyDescent="0.2">
      <c r="A821" t="s">
        <v>742</v>
      </c>
      <c r="B821" s="44">
        <v>40310</v>
      </c>
      <c r="C821" t="s">
        <v>4</v>
      </c>
      <c r="D821" t="s">
        <v>3168</v>
      </c>
      <c r="F821"/>
      <c r="G821"/>
      <c r="H821">
        <v>3</v>
      </c>
    </row>
    <row r="822" spans="1:9" x14ac:dyDescent="0.2">
      <c r="A822" t="s">
        <v>736</v>
      </c>
      <c r="B822" s="44">
        <v>40340</v>
      </c>
      <c r="C822" t="s">
        <v>4</v>
      </c>
      <c r="D822" t="s">
        <v>3169</v>
      </c>
      <c r="F822"/>
      <c r="G822"/>
      <c r="H822">
        <v>3</v>
      </c>
    </row>
    <row r="823" spans="1:9" x14ac:dyDescent="0.2">
      <c r="A823" t="s">
        <v>2244</v>
      </c>
      <c r="B823" s="44">
        <v>40354</v>
      </c>
      <c r="C823" t="s">
        <v>4</v>
      </c>
      <c r="D823" t="s">
        <v>3162</v>
      </c>
      <c r="F823"/>
      <c r="G823"/>
      <c r="H823">
        <v>3</v>
      </c>
      <c r="I823" t="s">
        <v>3214</v>
      </c>
    </row>
    <row r="824" spans="1:9" x14ac:dyDescent="0.2">
      <c r="A824" t="s">
        <v>705</v>
      </c>
      <c r="B824" s="44">
        <v>40360</v>
      </c>
      <c r="C824" t="s">
        <v>4</v>
      </c>
      <c r="D824" t="s">
        <v>3171</v>
      </c>
      <c r="F824"/>
      <c r="G824"/>
      <c r="H824">
        <v>3</v>
      </c>
    </row>
    <row r="825" spans="1:9" x14ac:dyDescent="0.2">
      <c r="A825" t="s">
        <v>737</v>
      </c>
      <c r="B825" s="44">
        <v>40401</v>
      </c>
      <c r="C825" t="s">
        <v>4</v>
      </c>
      <c r="D825" t="s">
        <v>3168</v>
      </c>
      <c r="F825"/>
      <c r="G825"/>
      <c r="H825">
        <v>3</v>
      </c>
    </row>
    <row r="826" spans="1:9" x14ac:dyDescent="0.2">
      <c r="A826" t="s">
        <v>2498</v>
      </c>
      <c r="B826" s="44">
        <v>40437</v>
      </c>
      <c r="C826" t="s">
        <v>4</v>
      </c>
      <c r="D826" t="s">
        <v>3169</v>
      </c>
      <c r="F826"/>
      <c r="G826"/>
      <c r="H826">
        <v>3</v>
      </c>
    </row>
    <row r="827" spans="1:9" x14ac:dyDescent="0.2">
      <c r="A827" t="s">
        <v>2632</v>
      </c>
      <c r="B827" s="44">
        <v>40451</v>
      </c>
      <c r="C827" t="s">
        <v>4</v>
      </c>
      <c r="D827" t="s">
        <v>3171</v>
      </c>
      <c r="F827"/>
      <c r="G827"/>
      <c r="H827">
        <v>3</v>
      </c>
    </row>
    <row r="828" spans="1:9" x14ac:dyDescent="0.2">
      <c r="A828" t="s">
        <v>2776</v>
      </c>
      <c r="B828" s="44">
        <v>40476</v>
      </c>
      <c r="C828" t="s">
        <v>4</v>
      </c>
      <c r="D828" t="s">
        <v>3208</v>
      </c>
      <c r="F828"/>
      <c r="G828"/>
      <c r="H828">
        <v>3</v>
      </c>
    </row>
    <row r="829" spans="1:9" x14ac:dyDescent="0.2">
      <c r="A829" t="s">
        <v>2809</v>
      </c>
      <c r="B829" s="44">
        <v>40480</v>
      </c>
      <c r="C829" t="s">
        <v>4</v>
      </c>
      <c r="D829" t="s">
        <v>3149</v>
      </c>
      <c r="F829"/>
      <c r="G829"/>
      <c r="H829">
        <v>3</v>
      </c>
    </row>
    <row r="830" spans="1:9" x14ac:dyDescent="0.2">
      <c r="A830" t="s">
        <v>734</v>
      </c>
      <c r="B830" s="44">
        <v>40492</v>
      </c>
      <c r="C830" t="s">
        <v>4</v>
      </c>
      <c r="D830" t="s">
        <v>3168</v>
      </c>
      <c r="F830"/>
      <c r="G830"/>
      <c r="H830">
        <v>3</v>
      </c>
    </row>
    <row r="831" spans="1:9" x14ac:dyDescent="0.2">
      <c r="A831" t="s">
        <v>734</v>
      </c>
      <c r="B831" s="44">
        <v>40492</v>
      </c>
      <c r="C831" t="s">
        <v>4</v>
      </c>
      <c r="D831" t="s">
        <v>3168</v>
      </c>
      <c r="F831"/>
      <c r="G831"/>
      <c r="H831">
        <v>3</v>
      </c>
    </row>
    <row r="832" spans="1:9" x14ac:dyDescent="0.2">
      <c r="A832" t="s">
        <v>3047</v>
      </c>
      <c r="B832" s="44">
        <v>40528</v>
      </c>
      <c r="C832" t="s">
        <v>4</v>
      </c>
      <c r="D832" t="s">
        <v>3169</v>
      </c>
      <c r="F832"/>
      <c r="G832"/>
      <c r="H832">
        <v>3</v>
      </c>
    </row>
    <row r="833" spans="1:9" x14ac:dyDescent="0.2">
      <c r="A833" t="s">
        <v>3058</v>
      </c>
      <c r="B833" s="44">
        <v>40529</v>
      </c>
      <c r="C833" t="s">
        <v>4</v>
      </c>
      <c r="D833" t="s">
        <v>3162</v>
      </c>
      <c r="F833"/>
      <c r="G833"/>
      <c r="H833">
        <v>3</v>
      </c>
      <c r="I833" t="s">
        <v>3214</v>
      </c>
    </row>
    <row r="834" spans="1:9" x14ac:dyDescent="0.2">
      <c r="A834" t="s">
        <v>1518</v>
      </c>
      <c r="B834" s="44">
        <v>40590</v>
      </c>
      <c r="C834" t="s">
        <v>4</v>
      </c>
      <c r="D834" t="s">
        <v>3168</v>
      </c>
      <c r="F834"/>
      <c r="G834"/>
      <c r="H834">
        <v>3</v>
      </c>
    </row>
    <row r="835" spans="1:9" x14ac:dyDescent="0.2">
      <c r="A835" t="s">
        <v>1693</v>
      </c>
      <c r="B835" s="44">
        <v>40619</v>
      </c>
      <c r="C835" t="s">
        <v>4</v>
      </c>
      <c r="D835" t="s">
        <v>3179</v>
      </c>
      <c r="F835"/>
      <c r="G835"/>
      <c r="H835">
        <v>3</v>
      </c>
    </row>
    <row r="836" spans="1:9" x14ac:dyDescent="0.2">
      <c r="A836" t="s">
        <v>1808</v>
      </c>
      <c r="B836" s="44">
        <v>40633</v>
      </c>
      <c r="C836" t="s">
        <v>4</v>
      </c>
      <c r="D836" t="s">
        <v>3171</v>
      </c>
      <c r="F836"/>
      <c r="G836"/>
      <c r="H836">
        <v>3</v>
      </c>
    </row>
    <row r="837" spans="1:9" x14ac:dyDescent="0.2">
      <c r="A837" t="s">
        <v>791</v>
      </c>
      <c r="B837" s="44">
        <v>40674</v>
      </c>
      <c r="C837" t="s">
        <v>4</v>
      </c>
      <c r="D837" t="s">
        <v>3168</v>
      </c>
      <c r="F837"/>
      <c r="G837"/>
      <c r="H837">
        <v>3</v>
      </c>
    </row>
    <row r="838" spans="1:9" x14ac:dyDescent="0.2">
      <c r="A838" t="s">
        <v>2089</v>
      </c>
      <c r="B838" s="44">
        <v>40707</v>
      </c>
      <c r="C838" t="s">
        <v>4</v>
      </c>
      <c r="D838" t="s">
        <v>3180</v>
      </c>
      <c r="F838"/>
      <c r="G838"/>
      <c r="H838">
        <v>3</v>
      </c>
    </row>
    <row r="839" spans="1:9" x14ac:dyDescent="0.2">
      <c r="A839" t="s">
        <v>2274</v>
      </c>
      <c r="B839" s="44">
        <v>40722</v>
      </c>
      <c r="C839" t="s">
        <v>4</v>
      </c>
      <c r="D839" t="s">
        <v>3216</v>
      </c>
      <c r="F839"/>
      <c r="G839"/>
      <c r="H839">
        <v>3</v>
      </c>
    </row>
    <row r="840" spans="1:9" x14ac:dyDescent="0.2">
      <c r="A840" t="s">
        <v>2398</v>
      </c>
      <c r="B840" s="44">
        <v>40749</v>
      </c>
      <c r="C840" t="s">
        <v>4</v>
      </c>
      <c r="D840" t="s">
        <v>3208</v>
      </c>
      <c r="F840"/>
      <c r="G840"/>
      <c r="H840">
        <v>3</v>
      </c>
    </row>
    <row r="841" spans="1:9" x14ac:dyDescent="0.2">
      <c r="A841" t="s">
        <v>787</v>
      </c>
      <c r="B841" s="44">
        <v>40765</v>
      </c>
      <c r="C841" t="s">
        <v>4</v>
      </c>
      <c r="D841" t="s">
        <v>3168</v>
      </c>
      <c r="F841"/>
      <c r="G841"/>
      <c r="H841">
        <v>3</v>
      </c>
    </row>
    <row r="842" spans="1:9" x14ac:dyDescent="0.2">
      <c r="A842" t="s">
        <v>2527</v>
      </c>
      <c r="B842" s="44">
        <v>40805</v>
      </c>
      <c r="C842" t="s">
        <v>4</v>
      </c>
      <c r="D842" t="s">
        <v>3180</v>
      </c>
      <c r="F842"/>
      <c r="G842"/>
      <c r="H842">
        <v>3</v>
      </c>
    </row>
    <row r="843" spans="1:9" x14ac:dyDescent="0.2">
      <c r="A843" t="s">
        <v>2609</v>
      </c>
      <c r="B843" s="44">
        <v>40814</v>
      </c>
      <c r="C843" t="s">
        <v>4</v>
      </c>
      <c r="D843" t="s">
        <v>4014</v>
      </c>
      <c r="F843"/>
      <c r="G843"/>
      <c r="H843">
        <v>3</v>
      </c>
    </row>
    <row r="844" spans="1:9" x14ac:dyDescent="0.2">
      <c r="A844" t="s">
        <v>752</v>
      </c>
      <c r="B844" s="44">
        <v>40819</v>
      </c>
      <c r="C844" t="s">
        <v>4</v>
      </c>
      <c r="D844" t="s">
        <v>3210</v>
      </c>
      <c r="F844"/>
      <c r="G844"/>
      <c r="H844">
        <v>3</v>
      </c>
    </row>
    <row r="845" spans="1:9" x14ac:dyDescent="0.2">
      <c r="A845" t="s">
        <v>2646</v>
      </c>
      <c r="B845" s="44">
        <v>40829</v>
      </c>
      <c r="C845" t="s">
        <v>4</v>
      </c>
      <c r="D845" t="s">
        <v>3181</v>
      </c>
      <c r="F845"/>
      <c r="G845"/>
      <c r="H845">
        <v>3</v>
      </c>
    </row>
    <row r="846" spans="1:9" x14ac:dyDescent="0.2">
      <c r="A846" t="s">
        <v>776</v>
      </c>
      <c r="B846" s="44">
        <v>40855</v>
      </c>
      <c r="C846" t="s">
        <v>4</v>
      </c>
      <c r="D846" t="s">
        <v>4017</v>
      </c>
      <c r="F846"/>
      <c r="G846"/>
      <c r="H846">
        <v>3</v>
      </c>
    </row>
    <row r="847" spans="1:9" x14ac:dyDescent="0.2">
      <c r="A847" t="s">
        <v>2879</v>
      </c>
      <c r="B847" s="44">
        <v>40863</v>
      </c>
      <c r="C847" t="s">
        <v>4</v>
      </c>
      <c r="D847" t="s">
        <v>3168</v>
      </c>
      <c r="F847"/>
      <c r="G847"/>
      <c r="H847">
        <v>3</v>
      </c>
    </row>
    <row r="848" spans="1:9" x14ac:dyDescent="0.2">
      <c r="A848" t="s">
        <v>748</v>
      </c>
      <c r="B848" s="44">
        <v>40878</v>
      </c>
      <c r="C848" t="s">
        <v>4</v>
      </c>
      <c r="D848" t="s">
        <v>4014</v>
      </c>
      <c r="F848"/>
      <c r="G848"/>
      <c r="H848">
        <v>3</v>
      </c>
    </row>
    <row r="849" spans="1:9" x14ac:dyDescent="0.2">
      <c r="A849" t="s">
        <v>765</v>
      </c>
      <c r="B849" s="44">
        <v>40883</v>
      </c>
      <c r="C849" t="s">
        <v>4</v>
      </c>
      <c r="D849" t="s">
        <v>3210</v>
      </c>
      <c r="F849"/>
      <c r="G849"/>
      <c r="H849">
        <v>3</v>
      </c>
    </row>
    <row r="850" spans="1:9" x14ac:dyDescent="0.2">
      <c r="A850" t="s">
        <v>1512</v>
      </c>
      <c r="B850" s="44">
        <v>40954</v>
      </c>
      <c r="C850" t="s">
        <v>4</v>
      </c>
      <c r="D850" t="s">
        <v>3168</v>
      </c>
      <c r="F850"/>
      <c r="G850"/>
      <c r="H850">
        <v>3</v>
      </c>
    </row>
    <row r="851" spans="1:9" x14ac:dyDescent="0.2">
      <c r="A851" t="s">
        <v>1662</v>
      </c>
      <c r="B851" s="44">
        <v>40968</v>
      </c>
      <c r="C851" t="s">
        <v>4</v>
      </c>
      <c r="D851" t="s">
        <v>3150</v>
      </c>
      <c r="F851"/>
      <c r="G851"/>
      <c r="H851">
        <v>3</v>
      </c>
    </row>
    <row r="852" spans="1:9" x14ac:dyDescent="0.2">
      <c r="A852" t="s">
        <v>1749</v>
      </c>
      <c r="B852" s="44">
        <v>40991</v>
      </c>
      <c r="C852" t="s">
        <v>4</v>
      </c>
      <c r="D852" t="s">
        <v>3211</v>
      </c>
      <c r="F852"/>
      <c r="G852"/>
      <c r="H852">
        <v>3</v>
      </c>
    </row>
    <row r="853" spans="1:9" x14ac:dyDescent="0.2">
      <c r="A853" t="s">
        <v>1949</v>
      </c>
      <c r="B853" s="44">
        <v>41045</v>
      </c>
      <c r="C853" t="s">
        <v>4</v>
      </c>
      <c r="D853" t="s">
        <v>3168</v>
      </c>
      <c r="F853"/>
      <c r="G853"/>
      <c r="H853">
        <v>3</v>
      </c>
    </row>
    <row r="854" spans="1:9" x14ac:dyDescent="0.2">
      <c r="A854" t="s">
        <v>2187</v>
      </c>
      <c r="B854" s="44">
        <v>41080</v>
      </c>
      <c r="C854" t="s">
        <v>4</v>
      </c>
      <c r="D854" t="s">
        <v>3180</v>
      </c>
      <c r="F854"/>
      <c r="G854"/>
      <c r="H854">
        <v>3</v>
      </c>
    </row>
    <row r="855" spans="1:9" x14ac:dyDescent="0.2">
      <c r="A855" t="s">
        <v>2290</v>
      </c>
      <c r="B855" s="44">
        <v>41089</v>
      </c>
      <c r="C855" t="s">
        <v>4</v>
      </c>
      <c r="D855" t="s">
        <v>3162</v>
      </c>
      <c r="F855"/>
      <c r="G855"/>
      <c r="H855">
        <v>3</v>
      </c>
      <c r="I855" t="s">
        <v>3214</v>
      </c>
    </row>
    <row r="856" spans="1:9" x14ac:dyDescent="0.2">
      <c r="A856" t="s">
        <v>802</v>
      </c>
      <c r="B856" s="44">
        <v>41092</v>
      </c>
      <c r="C856" t="s">
        <v>4</v>
      </c>
      <c r="D856" t="s">
        <v>3182</v>
      </c>
      <c r="F856"/>
      <c r="G856"/>
      <c r="H856">
        <v>3</v>
      </c>
    </row>
    <row r="857" spans="1:9" x14ac:dyDescent="0.2">
      <c r="A857" t="s">
        <v>810</v>
      </c>
      <c r="B857" s="44">
        <v>41096</v>
      </c>
      <c r="C857" t="s">
        <v>4</v>
      </c>
      <c r="D857" t="s">
        <v>3211</v>
      </c>
      <c r="F857"/>
      <c r="G857"/>
      <c r="H857">
        <v>3</v>
      </c>
    </row>
    <row r="858" spans="1:9" x14ac:dyDescent="0.2">
      <c r="A858" t="s">
        <v>2308</v>
      </c>
      <c r="B858" s="44">
        <v>41103</v>
      </c>
      <c r="C858" t="s">
        <v>4</v>
      </c>
      <c r="D858" t="s">
        <v>3192</v>
      </c>
      <c r="F858"/>
      <c r="G858"/>
      <c r="H858">
        <v>3</v>
      </c>
    </row>
    <row r="859" spans="1:9" x14ac:dyDescent="0.2">
      <c r="A859" t="s">
        <v>821</v>
      </c>
      <c r="B859" s="44">
        <v>41129</v>
      </c>
      <c r="C859" t="s">
        <v>4</v>
      </c>
      <c r="D859" t="s">
        <v>3168</v>
      </c>
      <c r="F859"/>
      <c r="G859"/>
      <c r="H859">
        <v>3</v>
      </c>
    </row>
    <row r="860" spans="1:9" x14ac:dyDescent="0.2">
      <c r="A860" t="s">
        <v>2471</v>
      </c>
      <c r="B860" s="44">
        <v>41165</v>
      </c>
      <c r="C860" t="s">
        <v>4</v>
      </c>
      <c r="D860" t="s">
        <v>3180</v>
      </c>
      <c r="F860"/>
      <c r="G860"/>
      <c r="H860">
        <v>3</v>
      </c>
    </row>
    <row r="861" spans="1:9" x14ac:dyDescent="0.2">
      <c r="A861" t="s">
        <v>2745</v>
      </c>
      <c r="B861" s="44">
        <v>41204</v>
      </c>
      <c r="C861" t="s">
        <v>4</v>
      </c>
      <c r="D861" t="s">
        <v>3208</v>
      </c>
      <c r="F861"/>
      <c r="G861"/>
      <c r="H861">
        <v>3</v>
      </c>
    </row>
    <row r="862" spans="1:9" x14ac:dyDescent="0.2">
      <c r="A862" t="s">
        <v>2917</v>
      </c>
      <c r="B862" s="44">
        <v>41232</v>
      </c>
      <c r="C862" t="s">
        <v>4</v>
      </c>
      <c r="D862" t="s">
        <v>3183</v>
      </c>
      <c r="F862"/>
      <c r="G862"/>
      <c r="H862">
        <v>3</v>
      </c>
    </row>
    <row r="863" spans="1:9" x14ac:dyDescent="0.2">
      <c r="A863" t="s">
        <v>3013</v>
      </c>
      <c r="B863" s="44">
        <v>41242</v>
      </c>
      <c r="C863" t="s">
        <v>4</v>
      </c>
      <c r="D863" t="s">
        <v>3162</v>
      </c>
      <c r="F863"/>
      <c r="G863"/>
      <c r="H863">
        <v>3</v>
      </c>
      <c r="I863" t="s">
        <v>3214</v>
      </c>
    </row>
    <row r="864" spans="1:9" x14ac:dyDescent="0.2">
      <c r="A864" t="s">
        <v>804</v>
      </c>
      <c r="B864" s="44">
        <v>41246</v>
      </c>
      <c r="C864" t="s">
        <v>4</v>
      </c>
      <c r="D864" t="s">
        <v>3184</v>
      </c>
      <c r="F864"/>
      <c r="G864"/>
      <c r="H864">
        <v>3</v>
      </c>
    </row>
    <row r="865" spans="1:9" x14ac:dyDescent="0.2">
      <c r="A865" t="s">
        <v>3070</v>
      </c>
      <c r="B865" s="44">
        <v>41261</v>
      </c>
      <c r="C865" t="s">
        <v>4</v>
      </c>
      <c r="D865" t="s">
        <v>3180</v>
      </c>
      <c r="F865"/>
      <c r="G865"/>
      <c r="H865">
        <v>3</v>
      </c>
    </row>
    <row r="866" spans="1:9" x14ac:dyDescent="0.2">
      <c r="A866" t="s">
        <v>1496</v>
      </c>
      <c r="B866" s="44">
        <v>41318</v>
      </c>
      <c r="C866" t="s">
        <v>4</v>
      </c>
      <c r="D866" t="s">
        <v>3168</v>
      </c>
      <c r="F866"/>
      <c r="G866"/>
      <c r="H866">
        <v>3</v>
      </c>
    </row>
    <row r="867" spans="1:9" x14ac:dyDescent="0.2">
      <c r="A867" t="s">
        <v>1629</v>
      </c>
      <c r="B867" s="44">
        <v>41331</v>
      </c>
      <c r="C867" t="s">
        <v>4</v>
      </c>
      <c r="D867" t="s">
        <v>3194</v>
      </c>
      <c r="F867"/>
      <c r="G867"/>
      <c r="H867">
        <v>3</v>
      </c>
    </row>
    <row r="868" spans="1:9" x14ac:dyDescent="0.2">
      <c r="A868" t="s">
        <v>1672</v>
      </c>
      <c r="B868" s="44">
        <v>41347</v>
      </c>
      <c r="C868" t="s">
        <v>4</v>
      </c>
      <c r="D868" t="s">
        <v>3185</v>
      </c>
      <c r="F868"/>
      <c r="G868"/>
      <c r="H868">
        <v>3</v>
      </c>
    </row>
    <row r="869" spans="1:9" x14ac:dyDescent="0.2">
      <c r="A869" t="s">
        <v>1787</v>
      </c>
      <c r="B869" s="44">
        <v>41360</v>
      </c>
      <c r="C869" t="s">
        <v>4</v>
      </c>
      <c r="D869" t="s">
        <v>3806</v>
      </c>
      <c r="F869"/>
      <c r="G869"/>
      <c r="H869">
        <v>3</v>
      </c>
    </row>
    <row r="870" spans="1:9" x14ac:dyDescent="0.2">
      <c r="A870" t="s">
        <v>875</v>
      </c>
      <c r="B870" s="44">
        <v>41367</v>
      </c>
      <c r="C870" t="s">
        <v>4</v>
      </c>
      <c r="D870" t="s">
        <v>3171</v>
      </c>
      <c r="F870"/>
      <c r="G870"/>
      <c r="H870">
        <v>3</v>
      </c>
    </row>
    <row r="871" spans="1:9" x14ac:dyDescent="0.2">
      <c r="A871" t="s">
        <v>890</v>
      </c>
      <c r="B871" s="44">
        <v>41369</v>
      </c>
      <c r="C871" t="s">
        <v>4</v>
      </c>
      <c r="D871" t="s">
        <v>3207</v>
      </c>
      <c r="F871"/>
      <c r="G871"/>
      <c r="H871">
        <v>3</v>
      </c>
    </row>
    <row r="872" spans="1:9" x14ac:dyDescent="0.2">
      <c r="A872" t="s">
        <v>1845</v>
      </c>
      <c r="B872" s="44">
        <v>41383</v>
      </c>
      <c r="C872" t="s">
        <v>4</v>
      </c>
      <c r="D872" t="s">
        <v>3186</v>
      </c>
      <c r="F872"/>
      <c r="G872"/>
      <c r="H872">
        <v>3</v>
      </c>
    </row>
    <row r="873" spans="1:9" x14ac:dyDescent="0.2">
      <c r="A873" t="s">
        <v>1871</v>
      </c>
      <c r="B873" s="44">
        <v>41386</v>
      </c>
      <c r="C873" t="s">
        <v>4</v>
      </c>
      <c r="D873" t="s">
        <v>3208</v>
      </c>
      <c r="F873"/>
      <c r="G873"/>
      <c r="H873">
        <v>3</v>
      </c>
    </row>
    <row r="874" spans="1:9" x14ac:dyDescent="0.2">
      <c r="A874" t="s">
        <v>1918</v>
      </c>
      <c r="B874" s="44">
        <v>41394</v>
      </c>
      <c r="C874" t="s">
        <v>4</v>
      </c>
      <c r="D874" t="s">
        <v>3195</v>
      </c>
      <c r="F874"/>
      <c r="G874"/>
      <c r="H874">
        <v>3</v>
      </c>
    </row>
    <row r="875" spans="1:9" x14ac:dyDescent="0.2">
      <c r="A875" t="s">
        <v>1942</v>
      </c>
      <c r="B875" s="44">
        <v>41409</v>
      </c>
      <c r="C875" t="s">
        <v>4</v>
      </c>
      <c r="D875" t="s">
        <v>1943</v>
      </c>
      <c r="F875"/>
      <c r="G875"/>
      <c r="H875">
        <v>3</v>
      </c>
    </row>
    <row r="876" spans="1:9" x14ac:dyDescent="0.2">
      <c r="A876" t="s">
        <v>2136</v>
      </c>
      <c r="B876" s="44">
        <v>41442</v>
      </c>
      <c r="C876" t="s">
        <v>4</v>
      </c>
      <c r="D876" t="s">
        <v>3187</v>
      </c>
      <c r="F876"/>
      <c r="G876"/>
      <c r="H876">
        <v>3</v>
      </c>
    </row>
    <row r="877" spans="1:9" x14ac:dyDescent="0.2">
      <c r="A877" t="s">
        <v>2256</v>
      </c>
      <c r="B877" s="44">
        <v>41451</v>
      </c>
      <c r="C877" t="s">
        <v>4</v>
      </c>
      <c r="D877" t="s">
        <v>3162</v>
      </c>
      <c r="F877"/>
      <c r="G877"/>
      <c r="H877">
        <v>3</v>
      </c>
      <c r="I877" t="s">
        <v>3214</v>
      </c>
    </row>
    <row r="878" spans="1:9" x14ac:dyDescent="0.2">
      <c r="A878" t="s">
        <v>880</v>
      </c>
      <c r="B878" s="44">
        <v>41458</v>
      </c>
      <c r="C878" t="s">
        <v>4</v>
      </c>
      <c r="D878" t="s">
        <v>3171</v>
      </c>
      <c r="F878"/>
      <c r="G878"/>
      <c r="H878">
        <v>3</v>
      </c>
    </row>
    <row r="879" spans="1:9" x14ac:dyDescent="0.2">
      <c r="A879" t="s">
        <v>869</v>
      </c>
      <c r="B879" s="44">
        <v>41519</v>
      </c>
      <c r="C879" t="s">
        <v>4</v>
      </c>
      <c r="D879" t="s">
        <v>4072</v>
      </c>
      <c r="F879"/>
      <c r="G879"/>
      <c r="H879">
        <v>3</v>
      </c>
    </row>
    <row r="880" spans="1:9" x14ac:dyDescent="0.2">
      <c r="A880" t="s">
        <v>896</v>
      </c>
      <c r="B880" s="44">
        <v>41523</v>
      </c>
      <c r="C880" t="s">
        <v>4</v>
      </c>
      <c r="D880" t="s">
        <v>3169</v>
      </c>
      <c r="F880"/>
      <c r="G880"/>
      <c r="H880">
        <v>3</v>
      </c>
    </row>
    <row r="881" spans="1:9" x14ac:dyDescent="0.2">
      <c r="A881" t="s">
        <v>2506</v>
      </c>
      <c r="B881" s="44">
        <v>41534</v>
      </c>
      <c r="C881" t="s">
        <v>4</v>
      </c>
      <c r="D881" t="s">
        <v>3188</v>
      </c>
      <c r="F881"/>
      <c r="G881"/>
      <c r="H881">
        <v>3</v>
      </c>
    </row>
    <row r="882" spans="1:9" x14ac:dyDescent="0.2">
      <c r="A882" t="s">
        <v>2585</v>
      </c>
      <c r="B882" s="44">
        <v>41542</v>
      </c>
      <c r="C882" t="s">
        <v>4</v>
      </c>
      <c r="D882" t="s">
        <v>3207</v>
      </c>
      <c r="F882"/>
      <c r="G882"/>
      <c r="H882">
        <v>3</v>
      </c>
    </row>
    <row r="883" spans="1:9" x14ac:dyDescent="0.2">
      <c r="A883" t="s">
        <v>881</v>
      </c>
      <c r="B883" s="44">
        <v>41550</v>
      </c>
      <c r="C883" t="s">
        <v>4</v>
      </c>
      <c r="D883" t="s">
        <v>3196</v>
      </c>
      <c r="F883"/>
      <c r="G883"/>
      <c r="H883">
        <v>3</v>
      </c>
    </row>
    <row r="884" spans="1:9" x14ac:dyDescent="0.2">
      <c r="A884" t="s">
        <v>2845</v>
      </c>
      <c r="B884" s="44">
        <v>41591</v>
      </c>
      <c r="C884" t="s">
        <v>4</v>
      </c>
      <c r="D884" t="s">
        <v>3168</v>
      </c>
      <c r="F884"/>
      <c r="G884"/>
      <c r="H884">
        <v>3</v>
      </c>
    </row>
    <row r="885" spans="1:9" x14ac:dyDescent="0.2">
      <c r="A885" t="s">
        <v>3003</v>
      </c>
      <c r="B885" s="44">
        <v>41606</v>
      </c>
      <c r="C885" t="s">
        <v>4</v>
      </c>
      <c r="D885" t="s">
        <v>3162</v>
      </c>
      <c r="F885"/>
      <c r="G885"/>
      <c r="H885">
        <v>3</v>
      </c>
      <c r="I885" t="s">
        <v>3214</v>
      </c>
    </row>
    <row r="886" spans="1:9" x14ac:dyDescent="0.2">
      <c r="A886" t="s">
        <v>874</v>
      </c>
      <c r="B886" s="44">
        <v>41610</v>
      </c>
      <c r="C886" t="s">
        <v>4</v>
      </c>
      <c r="D886" t="s">
        <v>3189</v>
      </c>
      <c r="F886"/>
      <c r="G886"/>
      <c r="H886">
        <v>3</v>
      </c>
    </row>
    <row r="887" spans="1:9" x14ac:dyDescent="0.2">
      <c r="A887" t="s">
        <v>882</v>
      </c>
      <c r="B887" s="44">
        <v>41611</v>
      </c>
      <c r="C887" t="s">
        <v>4</v>
      </c>
      <c r="D887" t="s">
        <v>3211</v>
      </c>
      <c r="F887"/>
      <c r="G887"/>
      <c r="H887">
        <v>3</v>
      </c>
    </row>
    <row r="888" spans="1:9" x14ac:dyDescent="0.2">
      <c r="A888" t="s">
        <v>937</v>
      </c>
      <c r="B888" s="44">
        <v>41620</v>
      </c>
      <c r="C888" t="s">
        <v>4</v>
      </c>
      <c r="D888" t="s">
        <v>3197</v>
      </c>
      <c r="F888"/>
      <c r="G888"/>
      <c r="H888">
        <v>3</v>
      </c>
    </row>
    <row r="889" spans="1:9" x14ac:dyDescent="0.2">
      <c r="A889" t="s">
        <v>3072</v>
      </c>
      <c r="B889" s="44">
        <v>41626</v>
      </c>
      <c r="C889" t="s">
        <v>4</v>
      </c>
      <c r="D889" t="s">
        <v>3198</v>
      </c>
      <c r="F889"/>
      <c r="G889"/>
      <c r="H889">
        <v>3</v>
      </c>
    </row>
    <row r="890" spans="1:9" x14ac:dyDescent="0.2">
      <c r="A890" t="s">
        <v>3086</v>
      </c>
      <c r="B890" s="44">
        <v>41628</v>
      </c>
      <c r="C890" t="s">
        <v>4</v>
      </c>
      <c r="D890" t="s">
        <v>3180</v>
      </c>
      <c r="F890"/>
      <c r="G890"/>
      <c r="H890">
        <v>3</v>
      </c>
    </row>
    <row r="891" spans="1:9" x14ac:dyDescent="0.2">
      <c r="A891" t="s">
        <v>1344</v>
      </c>
      <c r="B891" s="44">
        <v>41652</v>
      </c>
      <c r="C891" t="s">
        <v>4</v>
      </c>
      <c r="D891" t="s">
        <v>3207</v>
      </c>
      <c r="F891"/>
      <c r="G891"/>
      <c r="H891">
        <v>3</v>
      </c>
    </row>
    <row r="892" spans="1:9" x14ac:dyDescent="0.2">
      <c r="A892" t="s">
        <v>1673</v>
      </c>
      <c r="B892" s="44">
        <v>41712</v>
      </c>
      <c r="C892" t="s">
        <v>4</v>
      </c>
      <c r="D892" t="s">
        <v>3180</v>
      </c>
      <c r="F892"/>
      <c r="G892"/>
      <c r="H892">
        <v>3</v>
      </c>
    </row>
    <row r="893" spans="1:9" x14ac:dyDescent="0.2">
      <c r="A893" t="s">
        <v>1788</v>
      </c>
      <c r="B893" s="44">
        <v>41725</v>
      </c>
      <c r="C893" t="s">
        <v>4</v>
      </c>
      <c r="D893" t="s">
        <v>3207</v>
      </c>
      <c r="F893"/>
      <c r="G893"/>
      <c r="H893">
        <v>3</v>
      </c>
    </row>
    <row r="894" spans="1:9" x14ac:dyDescent="0.2">
      <c r="A894" t="s">
        <v>1788</v>
      </c>
      <c r="B894" s="44">
        <v>41725</v>
      </c>
      <c r="C894" t="s">
        <v>4</v>
      </c>
      <c r="D894" t="s">
        <v>3207</v>
      </c>
      <c r="F894"/>
      <c r="G894"/>
      <c r="H894">
        <v>3</v>
      </c>
    </row>
    <row r="895" spans="1:9" x14ac:dyDescent="0.2">
      <c r="A895" t="s">
        <v>947</v>
      </c>
      <c r="B895" s="44">
        <v>41732</v>
      </c>
      <c r="C895" t="s">
        <v>4</v>
      </c>
      <c r="D895" t="s">
        <v>3171</v>
      </c>
      <c r="F895"/>
      <c r="G895"/>
      <c r="H895">
        <v>3</v>
      </c>
    </row>
    <row r="896" spans="1:9" x14ac:dyDescent="0.2">
      <c r="A896" t="s">
        <v>1935</v>
      </c>
      <c r="B896" s="44">
        <v>41773</v>
      </c>
      <c r="C896" t="s">
        <v>4</v>
      </c>
      <c r="D896" t="s">
        <v>3168</v>
      </c>
      <c r="F896"/>
      <c r="G896"/>
      <c r="H896">
        <v>3</v>
      </c>
    </row>
    <row r="897" spans="1:9" x14ac:dyDescent="0.2">
      <c r="A897" t="s">
        <v>1983</v>
      </c>
      <c r="B897" s="44">
        <v>41778</v>
      </c>
      <c r="C897" t="s">
        <v>4</v>
      </c>
      <c r="D897" t="s">
        <v>4111</v>
      </c>
      <c r="F897"/>
      <c r="G897"/>
      <c r="H897">
        <v>3</v>
      </c>
      <c r="I897" t="s">
        <v>3212</v>
      </c>
    </row>
    <row r="898" spans="1:9" x14ac:dyDescent="0.2">
      <c r="A898" t="s">
        <v>2074</v>
      </c>
      <c r="B898" s="44">
        <v>41788</v>
      </c>
      <c r="C898" t="s">
        <v>4</v>
      </c>
      <c r="D898" t="s">
        <v>3199</v>
      </c>
      <c r="F898"/>
      <c r="G898"/>
      <c r="H898">
        <v>3</v>
      </c>
    </row>
    <row r="899" spans="1:9" x14ac:dyDescent="0.2">
      <c r="A899" t="s">
        <v>2079</v>
      </c>
      <c r="B899" s="44">
        <v>41789</v>
      </c>
      <c r="C899" t="s">
        <v>5834</v>
      </c>
      <c r="D899" t="s">
        <v>3200</v>
      </c>
      <c r="F899"/>
      <c r="G899"/>
      <c r="H899">
        <v>3</v>
      </c>
    </row>
    <row r="900" spans="1:9" x14ac:dyDescent="0.2">
      <c r="A900" t="s">
        <v>2257</v>
      </c>
      <c r="B900" s="44">
        <v>41816</v>
      </c>
      <c r="C900" t="s">
        <v>4</v>
      </c>
      <c r="D900" t="s">
        <v>3207</v>
      </c>
      <c r="F900"/>
      <c r="G900"/>
      <c r="H900">
        <v>3</v>
      </c>
    </row>
    <row r="901" spans="1:9" x14ac:dyDescent="0.2">
      <c r="A901" t="s">
        <v>940</v>
      </c>
      <c r="B901" s="44">
        <v>41821</v>
      </c>
      <c r="C901" t="s">
        <v>4</v>
      </c>
      <c r="D901" t="s">
        <v>3207</v>
      </c>
      <c r="F901"/>
      <c r="G901"/>
      <c r="H901">
        <v>3</v>
      </c>
    </row>
    <row r="902" spans="1:9" x14ac:dyDescent="0.2">
      <c r="A902" t="s">
        <v>996</v>
      </c>
      <c r="B902" s="44">
        <v>41831</v>
      </c>
      <c r="C902" t="s">
        <v>4</v>
      </c>
      <c r="D902" t="s">
        <v>3830</v>
      </c>
      <c r="F902"/>
      <c r="G902"/>
      <c r="H902">
        <v>3</v>
      </c>
    </row>
    <row r="903" spans="1:9" x14ac:dyDescent="0.2">
      <c r="A903" t="s">
        <v>945</v>
      </c>
      <c r="B903" s="44">
        <v>41914</v>
      </c>
      <c r="C903" t="s">
        <v>4</v>
      </c>
      <c r="D903" t="s">
        <v>3207</v>
      </c>
      <c r="F903"/>
      <c r="G903"/>
      <c r="H903">
        <v>3</v>
      </c>
    </row>
    <row r="904" spans="1:9" x14ac:dyDescent="0.2">
      <c r="A904" t="s">
        <v>965</v>
      </c>
      <c r="B904" s="44">
        <v>41918</v>
      </c>
      <c r="C904" t="s">
        <v>4</v>
      </c>
      <c r="D904" t="s">
        <v>4131</v>
      </c>
      <c r="F904"/>
      <c r="G904"/>
      <c r="H904">
        <v>3</v>
      </c>
    </row>
    <row r="905" spans="1:9" x14ac:dyDescent="0.2">
      <c r="A905" t="s">
        <v>971</v>
      </c>
      <c r="B905" s="44">
        <v>41919</v>
      </c>
      <c r="C905" t="s">
        <v>4</v>
      </c>
      <c r="D905" t="s">
        <v>3213</v>
      </c>
      <c r="F905"/>
      <c r="G905"/>
      <c r="H905">
        <v>3</v>
      </c>
    </row>
    <row r="906" spans="1:9" x14ac:dyDescent="0.2">
      <c r="A906" t="s">
        <v>987</v>
      </c>
      <c r="B906" s="44">
        <v>41922</v>
      </c>
      <c r="C906" t="s">
        <v>4</v>
      </c>
      <c r="D906" t="s">
        <v>3211</v>
      </c>
      <c r="F906"/>
      <c r="G906"/>
      <c r="H906">
        <v>3</v>
      </c>
    </row>
    <row r="907" spans="1:9" x14ac:dyDescent="0.2">
      <c r="A907" t="s">
        <v>2795</v>
      </c>
      <c r="B907" s="44">
        <v>41939</v>
      </c>
      <c r="C907" t="s">
        <v>4</v>
      </c>
      <c r="D907" t="s">
        <v>3204</v>
      </c>
      <c r="F907"/>
      <c r="G907"/>
      <c r="H907">
        <v>3</v>
      </c>
    </row>
    <row r="908" spans="1:9" x14ac:dyDescent="0.2">
      <c r="A908" t="s">
        <v>2838</v>
      </c>
      <c r="B908" s="44">
        <v>41943</v>
      </c>
      <c r="C908" t="s">
        <v>4</v>
      </c>
      <c r="D908" t="s">
        <v>3215</v>
      </c>
      <c r="F908"/>
      <c r="G908"/>
      <c r="H908">
        <v>3</v>
      </c>
    </row>
    <row r="909" spans="1:9" x14ac:dyDescent="0.2">
      <c r="A909" t="s">
        <v>1005</v>
      </c>
      <c r="B909" s="44">
        <v>41955</v>
      </c>
      <c r="C909" t="s">
        <v>4</v>
      </c>
      <c r="D909" t="s">
        <v>3168</v>
      </c>
      <c r="F909"/>
      <c r="G909"/>
      <c r="H909">
        <v>3</v>
      </c>
    </row>
    <row r="910" spans="1:9" x14ac:dyDescent="0.2">
      <c r="A910" t="s">
        <v>2983</v>
      </c>
      <c r="B910" s="44">
        <v>41968</v>
      </c>
      <c r="C910" t="s">
        <v>4</v>
      </c>
      <c r="D910" t="s">
        <v>3216</v>
      </c>
      <c r="F910"/>
      <c r="G910"/>
      <c r="H910">
        <v>3</v>
      </c>
    </row>
    <row r="911" spans="1:9" x14ac:dyDescent="0.2">
      <c r="A911" t="s">
        <v>1065</v>
      </c>
      <c r="B911" s="44">
        <v>42047</v>
      </c>
      <c r="C911" t="s">
        <v>4</v>
      </c>
      <c r="D911" t="s">
        <v>3168</v>
      </c>
      <c r="F911"/>
      <c r="G911"/>
      <c r="H911">
        <v>3</v>
      </c>
    </row>
    <row r="912" spans="1:9" x14ac:dyDescent="0.2">
      <c r="A912" t="s">
        <v>1632</v>
      </c>
      <c r="B912" s="44">
        <v>42061</v>
      </c>
      <c r="C912" t="s">
        <v>4</v>
      </c>
      <c r="D912" t="s">
        <v>3201</v>
      </c>
      <c r="F912"/>
      <c r="G912"/>
      <c r="H912">
        <v>3</v>
      </c>
    </row>
    <row r="913" spans="1:9" x14ac:dyDescent="0.2">
      <c r="A913" t="s">
        <v>1071</v>
      </c>
      <c r="B913" s="44">
        <v>42075</v>
      </c>
      <c r="C913" t="s">
        <v>4</v>
      </c>
      <c r="D913" t="s">
        <v>3180</v>
      </c>
      <c r="F913"/>
      <c r="G913"/>
      <c r="H913">
        <v>3</v>
      </c>
    </row>
    <row r="914" spans="1:9" x14ac:dyDescent="0.2">
      <c r="A914" t="s">
        <v>1763</v>
      </c>
      <c r="B914" s="44">
        <v>42088</v>
      </c>
      <c r="C914" t="s">
        <v>4</v>
      </c>
      <c r="D914" t="s">
        <v>3202</v>
      </c>
      <c r="F914"/>
      <c r="G914"/>
      <c r="H914">
        <v>3</v>
      </c>
      <c r="I914" t="s">
        <v>3212</v>
      </c>
    </row>
    <row r="915" spans="1:9" x14ac:dyDescent="0.2">
      <c r="A915" t="s">
        <v>1773</v>
      </c>
      <c r="B915" s="44">
        <v>42089</v>
      </c>
      <c r="C915" t="s">
        <v>4</v>
      </c>
      <c r="D915" t="s">
        <v>3207</v>
      </c>
      <c r="F915"/>
      <c r="G915"/>
      <c r="H915">
        <v>3</v>
      </c>
    </row>
    <row r="916" spans="1:9" x14ac:dyDescent="0.2">
      <c r="A916" t="s">
        <v>1806</v>
      </c>
      <c r="B916" s="44">
        <v>42093</v>
      </c>
      <c r="C916" t="s">
        <v>4</v>
      </c>
      <c r="D916" t="s">
        <v>3203</v>
      </c>
      <c r="F916"/>
      <c r="G916"/>
      <c r="H916">
        <v>3</v>
      </c>
      <c r="I916" t="s">
        <v>3212</v>
      </c>
    </row>
    <row r="917" spans="1:9" x14ac:dyDescent="0.2">
      <c r="A917" t="s">
        <v>1043</v>
      </c>
      <c r="B917" s="44">
        <v>42165</v>
      </c>
      <c r="C917" t="s">
        <v>4</v>
      </c>
      <c r="D917" t="s">
        <v>3204</v>
      </c>
      <c r="F917"/>
      <c r="G917"/>
      <c r="H917">
        <v>3</v>
      </c>
    </row>
    <row r="918" spans="1:9" x14ac:dyDescent="0.2">
      <c r="A918" t="s">
        <v>1029</v>
      </c>
      <c r="B918" s="44">
        <v>42193</v>
      </c>
      <c r="C918" t="s">
        <v>4</v>
      </c>
      <c r="D918" t="s">
        <v>3207</v>
      </c>
      <c r="F918"/>
      <c r="G918"/>
      <c r="H918">
        <v>3</v>
      </c>
    </row>
    <row r="919" spans="1:9" x14ac:dyDescent="0.2">
      <c r="A919" t="s">
        <v>1021</v>
      </c>
      <c r="B919" s="44">
        <v>42222</v>
      </c>
      <c r="C919" t="s">
        <v>4</v>
      </c>
      <c r="D919" t="s">
        <v>3168</v>
      </c>
      <c r="F919"/>
      <c r="G919"/>
      <c r="H919">
        <v>3</v>
      </c>
    </row>
    <row r="920" spans="1:9" x14ac:dyDescent="0.2">
      <c r="A920" t="s">
        <v>2520</v>
      </c>
      <c r="B920" s="44">
        <v>42265</v>
      </c>
      <c r="C920" t="s">
        <v>4</v>
      </c>
      <c r="D920" t="s">
        <v>3180</v>
      </c>
      <c r="F920"/>
      <c r="G920"/>
      <c r="H920">
        <v>3</v>
      </c>
    </row>
    <row r="921" spans="1:9" x14ac:dyDescent="0.2">
      <c r="A921" t="s">
        <v>2664</v>
      </c>
      <c r="B921" s="44">
        <v>42292</v>
      </c>
      <c r="C921" t="s">
        <v>4</v>
      </c>
      <c r="D921" t="s">
        <v>4182</v>
      </c>
      <c r="F921"/>
      <c r="G921"/>
      <c r="H921">
        <v>3</v>
      </c>
    </row>
    <row r="922" spans="1:9" x14ac:dyDescent="0.2">
      <c r="A922" t="s">
        <v>1019</v>
      </c>
      <c r="B922" s="44">
        <v>42313</v>
      </c>
      <c r="C922" t="s">
        <v>4</v>
      </c>
      <c r="D922" t="s">
        <v>3168</v>
      </c>
      <c r="F922"/>
      <c r="G922"/>
      <c r="H922">
        <v>3</v>
      </c>
    </row>
    <row r="923" spans="1:9" x14ac:dyDescent="0.2">
      <c r="A923" t="s">
        <v>1038</v>
      </c>
      <c r="B923" s="44">
        <v>42317</v>
      </c>
      <c r="C923" t="s">
        <v>4</v>
      </c>
      <c r="D923" t="s">
        <v>3164</v>
      </c>
      <c r="F923"/>
      <c r="G923"/>
      <c r="H923">
        <v>3</v>
      </c>
    </row>
    <row r="924" spans="1:9" x14ac:dyDescent="0.2">
      <c r="A924" t="s">
        <v>1010</v>
      </c>
      <c r="B924" s="44">
        <v>42339</v>
      </c>
      <c r="C924" t="s">
        <v>4</v>
      </c>
      <c r="D924" t="s">
        <v>3165</v>
      </c>
      <c r="F924"/>
      <c r="G924"/>
      <c r="H924">
        <v>3</v>
      </c>
      <c r="I924" t="s">
        <v>3212</v>
      </c>
    </row>
    <row r="925" spans="1:9" x14ac:dyDescent="0.2">
      <c r="A925" t="s">
        <v>1010</v>
      </c>
      <c r="B925" s="44">
        <v>42339</v>
      </c>
      <c r="C925" t="s">
        <v>4</v>
      </c>
      <c r="D925" t="s">
        <v>3205</v>
      </c>
      <c r="F925"/>
      <c r="G925"/>
      <c r="H925">
        <v>3</v>
      </c>
      <c r="I925" t="s">
        <v>3212</v>
      </c>
    </row>
    <row r="926" spans="1:9" x14ac:dyDescent="0.2">
      <c r="A926" t="s">
        <v>3039</v>
      </c>
      <c r="B926" s="44">
        <v>42353</v>
      </c>
      <c r="C926" t="s">
        <v>4</v>
      </c>
      <c r="D926" t="s">
        <v>3180</v>
      </c>
      <c r="F926"/>
      <c r="G926"/>
      <c r="H926">
        <v>3</v>
      </c>
    </row>
    <row r="927" spans="1:9" x14ac:dyDescent="0.2">
      <c r="A927" t="s">
        <v>1087</v>
      </c>
      <c r="B927" s="44">
        <v>42404</v>
      </c>
      <c r="C927" t="s">
        <v>4</v>
      </c>
      <c r="D927" t="s">
        <v>3168</v>
      </c>
      <c r="F927"/>
      <c r="G927"/>
      <c r="H927">
        <v>3</v>
      </c>
    </row>
    <row r="928" spans="1:9" x14ac:dyDescent="0.2">
      <c r="A928" t="s">
        <v>1088</v>
      </c>
      <c r="B928" s="44">
        <v>42404</v>
      </c>
      <c r="C928" t="s">
        <v>4</v>
      </c>
      <c r="D928" t="s">
        <v>3168</v>
      </c>
      <c r="F928"/>
      <c r="G928"/>
      <c r="H928">
        <v>3</v>
      </c>
    </row>
    <row r="929" spans="1:9" x14ac:dyDescent="0.2">
      <c r="A929" t="s">
        <v>1803</v>
      </c>
      <c r="B929" s="44">
        <v>42458</v>
      </c>
      <c r="C929" t="s">
        <v>4</v>
      </c>
      <c r="D929" t="s">
        <v>3207</v>
      </c>
      <c r="F929"/>
      <c r="G929"/>
      <c r="H929">
        <v>3</v>
      </c>
    </row>
    <row r="930" spans="1:9" x14ac:dyDescent="0.2">
      <c r="A930" t="s">
        <v>2059</v>
      </c>
      <c r="B930" s="44">
        <v>42516</v>
      </c>
      <c r="C930" t="s">
        <v>4</v>
      </c>
      <c r="D930" t="s">
        <v>3209</v>
      </c>
      <c r="F930"/>
      <c r="G930"/>
      <c r="H930">
        <v>3</v>
      </c>
    </row>
    <row r="931" spans="1:9" x14ac:dyDescent="0.2">
      <c r="A931" t="s">
        <v>1097</v>
      </c>
      <c r="B931" s="44">
        <v>42556</v>
      </c>
      <c r="C931" t="s">
        <v>4</v>
      </c>
      <c r="D931" t="s">
        <v>3162</v>
      </c>
      <c r="F931"/>
      <c r="G931"/>
      <c r="H931">
        <v>3</v>
      </c>
      <c r="I931" t="s">
        <v>3214</v>
      </c>
    </row>
    <row r="932" spans="1:9" x14ac:dyDescent="0.2">
      <c r="A932" t="s">
        <v>1091</v>
      </c>
      <c r="B932" s="44">
        <v>42586</v>
      </c>
      <c r="C932" t="s">
        <v>4</v>
      </c>
      <c r="D932" t="s">
        <v>3168</v>
      </c>
      <c r="F932"/>
      <c r="G932"/>
      <c r="H932">
        <v>3</v>
      </c>
    </row>
    <row r="933" spans="1:9" x14ac:dyDescent="0.2">
      <c r="A933" t="s">
        <v>1083</v>
      </c>
      <c r="B933" s="44">
        <v>42677</v>
      </c>
      <c r="C933" t="s">
        <v>4</v>
      </c>
      <c r="D933" t="s">
        <v>3168</v>
      </c>
      <c r="F933"/>
      <c r="G933"/>
      <c r="H933">
        <v>3</v>
      </c>
    </row>
    <row r="934" spans="1:9" x14ac:dyDescent="0.2">
      <c r="A934" t="s">
        <v>3022</v>
      </c>
      <c r="B934" s="44">
        <v>42704</v>
      </c>
      <c r="C934" t="s">
        <v>4</v>
      </c>
      <c r="D934" t="s">
        <v>3162</v>
      </c>
      <c r="F934"/>
      <c r="G934"/>
      <c r="H934">
        <v>3</v>
      </c>
      <c r="I934" t="s">
        <v>3214</v>
      </c>
    </row>
    <row r="935" spans="1:9" x14ac:dyDescent="0.2">
      <c r="A935" t="s">
        <v>1148</v>
      </c>
      <c r="B935" s="44">
        <v>42768</v>
      </c>
      <c r="C935" t="s">
        <v>4</v>
      </c>
      <c r="D935" t="s">
        <v>3168</v>
      </c>
      <c r="F935"/>
      <c r="G935"/>
      <c r="H935">
        <v>3</v>
      </c>
    </row>
    <row r="936" spans="1:9" x14ac:dyDescent="0.2">
      <c r="A936" t="s">
        <v>1195</v>
      </c>
      <c r="B936" s="44">
        <v>42866</v>
      </c>
      <c r="C936" t="s">
        <v>4</v>
      </c>
      <c r="D936" t="s">
        <v>3168</v>
      </c>
      <c r="F936"/>
      <c r="G936"/>
      <c r="H936">
        <v>3</v>
      </c>
    </row>
    <row r="937" spans="1:9" x14ac:dyDescent="0.2">
      <c r="A937" t="s">
        <v>1161</v>
      </c>
      <c r="B937" s="44">
        <v>42950</v>
      </c>
      <c r="C937" t="s">
        <v>4</v>
      </c>
      <c r="D937" t="s">
        <v>3168</v>
      </c>
      <c r="F937"/>
      <c r="G937"/>
      <c r="H937">
        <v>3</v>
      </c>
    </row>
    <row r="938" spans="1:9" x14ac:dyDescent="0.2">
      <c r="A938" t="s">
        <v>1186</v>
      </c>
      <c r="B938" s="44">
        <v>42956</v>
      </c>
      <c r="C938" t="s">
        <v>4</v>
      </c>
      <c r="D938" t="s">
        <v>3206</v>
      </c>
      <c r="F938"/>
      <c r="G938"/>
      <c r="H938">
        <v>3</v>
      </c>
    </row>
    <row r="939" spans="1:9" x14ac:dyDescent="0.2">
      <c r="A939" t="s">
        <v>1155</v>
      </c>
      <c r="B939" s="44">
        <v>43041</v>
      </c>
      <c r="C939" t="s">
        <v>4</v>
      </c>
      <c r="D939" t="s">
        <v>3168</v>
      </c>
      <c r="F939"/>
      <c r="G939"/>
      <c r="H939">
        <v>3</v>
      </c>
    </row>
    <row r="940" spans="1:9" x14ac:dyDescent="0.2">
      <c r="A940" t="s">
        <v>1232</v>
      </c>
      <c r="B940" s="44">
        <v>43139</v>
      </c>
      <c r="C940" t="s">
        <v>4</v>
      </c>
      <c r="D940" t="s">
        <v>3168</v>
      </c>
      <c r="F940"/>
      <c r="G940"/>
      <c r="H940">
        <v>3</v>
      </c>
    </row>
    <row r="941" spans="1:9" x14ac:dyDescent="0.2">
      <c r="A941" t="s">
        <v>1797</v>
      </c>
      <c r="B941" s="44">
        <v>43187</v>
      </c>
      <c r="C941" t="s">
        <v>4</v>
      </c>
      <c r="D941" t="s">
        <v>3206</v>
      </c>
      <c r="F941"/>
      <c r="G941"/>
      <c r="H941">
        <v>3</v>
      </c>
    </row>
    <row r="942" spans="1:9" x14ac:dyDescent="0.2">
      <c r="A942" t="s">
        <v>1239</v>
      </c>
      <c r="B942" s="44">
        <v>43230</v>
      </c>
      <c r="C942" t="s">
        <v>4</v>
      </c>
      <c r="D942" t="s">
        <v>3168</v>
      </c>
      <c r="F942"/>
      <c r="G942"/>
      <c r="H942">
        <v>3</v>
      </c>
    </row>
    <row r="943" spans="1:9" x14ac:dyDescent="0.2">
      <c r="A943" t="s">
        <v>2280</v>
      </c>
      <c r="B943" s="44">
        <v>43279</v>
      </c>
      <c r="C943" t="s">
        <v>4</v>
      </c>
      <c r="D943" t="s">
        <v>3206</v>
      </c>
      <c r="F943"/>
      <c r="G943"/>
      <c r="H943">
        <v>3</v>
      </c>
    </row>
    <row r="944" spans="1:9" x14ac:dyDescent="0.2">
      <c r="A944" t="s">
        <v>1210</v>
      </c>
      <c r="B944" s="44">
        <v>43314</v>
      </c>
      <c r="C944" t="s">
        <v>4</v>
      </c>
      <c r="D944" t="s">
        <v>3168</v>
      </c>
      <c r="F944"/>
      <c r="G944"/>
      <c r="H944">
        <v>3</v>
      </c>
    </row>
    <row r="945" spans="1:9" x14ac:dyDescent="0.2">
      <c r="A945" t="s">
        <v>2474</v>
      </c>
      <c r="B945" s="44">
        <v>43356</v>
      </c>
      <c r="C945" t="s">
        <v>4</v>
      </c>
      <c r="D945" t="s">
        <v>3206</v>
      </c>
      <c r="F945"/>
      <c r="G945"/>
      <c r="H945">
        <v>3</v>
      </c>
    </row>
    <row r="946" spans="1:9" x14ac:dyDescent="0.2">
      <c r="A946" t="s">
        <v>2686</v>
      </c>
      <c r="B946" s="44">
        <v>43390</v>
      </c>
      <c r="C946" t="s">
        <v>4</v>
      </c>
      <c r="D946" t="s">
        <v>3207</v>
      </c>
      <c r="F946"/>
      <c r="G946"/>
      <c r="H946">
        <v>3</v>
      </c>
    </row>
    <row r="947" spans="1:9" x14ac:dyDescent="0.2">
      <c r="A947" t="s">
        <v>1204</v>
      </c>
      <c r="B947" s="44">
        <v>43405</v>
      </c>
      <c r="C947" t="s">
        <v>4</v>
      </c>
      <c r="D947" t="s">
        <v>3168</v>
      </c>
      <c r="F947"/>
      <c r="G947"/>
      <c r="H947">
        <v>3</v>
      </c>
    </row>
    <row r="948" spans="1:9" x14ac:dyDescent="0.2">
      <c r="A948" t="s">
        <v>3007</v>
      </c>
      <c r="B948" s="44">
        <v>43432</v>
      </c>
      <c r="C948" t="s">
        <v>4</v>
      </c>
      <c r="D948" t="s">
        <v>3166</v>
      </c>
      <c r="F948"/>
      <c r="G948"/>
      <c r="H948">
        <v>3</v>
      </c>
      <c r="I948" t="s">
        <v>3214</v>
      </c>
    </row>
    <row r="949" spans="1:9" x14ac:dyDescent="0.2">
      <c r="A949" t="s">
        <v>1269</v>
      </c>
      <c r="B949" s="44">
        <v>43503</v>
      </c>
      <c r="C949" t="s">
        <v>4</v>
      </c>
      <c r="D949" t="s">
        <v>3168</v>
      </c>
      <c r="F949"/>
      <c r="G949"/>
      <c r="H949">
        <v>3</v>
      </c>
    </row>
    <row r="950" spans="1:9" x14ac:dyDescent="0.2">
      <c r="A950" t="s">
        <v>1254</v>
      </c>
      <c r="B950" s="44">
        <v>43587</v>
      </c>
      <c r="C950" t="s">
        <v>4</v>
      </c>
      <c r="D950" t="s">
        <v>3168</v>
      </c>
      <c r="F950"/>
      <c r="G950"/>
      <c r="H950">
        <v>3</v>
      </c>
    </row>
    <row r="951" spans="1:9" x14ac:dyDescent="0.2">
      <c r="A951" t="s">
        <v>1291</v>
      </c>
      <c r="B951" s="44">
        <v>43657</v>
      </c>
      <c r="C951" t="s">
        <v>4</v>
      </c>
      <c r="D951" t="s">
        <v>3162</v>
      </c>
      <c r="F951"/>
      <c r="G951"/>
      <c r="H951">
        <v>3</v>
      </c>
      <c r="I951" t="s">
        <v>3214</v>
      </c>
    </row>
    <row r="952" spans="1:9" x14ac:dyDescent="0.2">
      <c r="A952" t="s">
        <v>1252</v>
      </c>
      <c r="B952" s="44">
        <v>43678</v>
      </c>
      <c r="C952" t="s">
        <v>4</v>
      </c>
      <c r="D952" t="s">
        <v>3168</v>
      </c>
      <c r="F952"/>
      <c r="G952"/>
      <c r="H952">
        <v>3</v>
      </c>
    </row>
    <row r="953" spans="1:9" x14ac:dyDescent="0.2">
      <c r="A953" t="s">
        <v>1274</v>
      </c>
      <c r="B953" s="44">
        <v>43776</v>
      </c>
      <c r="C953" t="s">
        <v>4</v>
      </c>
      <c r="D953" t="s">
        <v>3167</v>
      </c>
      <c r="H953">
        <v>3</v>
      </c>
    </row>
    <row r="954" spans="1:9" x14ac:dyDescent="0.2">
      <c r="A954" t="s">
        <v>3052</v>
      </c>
      <c r="B954" s="44">
        <v>43815</v>
      </c>
      <c r="C954" t="s">
        <v>4</v>
      </c>
      <c r="D954" t="s">
        <v>3163</v>
      </c>
      <c r="F954"/>
      <c r="G954"/>
      <c r="H954">
        <v>3</v>
      </c>
      <c r="I954" t="s">
        <v>3214</v>
      </c>
    </row>
    <row r="955" spans="1:9" x14ac:dyDescent="0.2">
      <c r="A955" t="s">
        <v>1333</v>
      </c>
      <c r="B955" s="44">
        <v>44176</v>
      </c>
      <c r="C955" t="s">
        <v>4</v>
      </c>
      <c r="D955" t="s">
        <v>3162</v>
      </c>
      <c r="F955"/>
      <c r="G955"/>
      <c r="H955">
        <v>3</v>
      </c>
      <c r="I955" t="s">
        <v>3214</v>
      </c>
    </row>
    <row r="956" spans="1:9" x14ac:dyDescent="0.2">
      <c r="A956" t="s">
        <v>1407</v>
      </c>
      <c r="B956" s="44">
        <v>35817</v>
      </c>
      <c r="C956" t="s">
        <v>4</v>
      </c>
      <c r="D956" t="s">
        <v>3229</v>
      </c>
      <c r="F956"/>
      <c r="G956"/>
      <c r="H956">
        <v>4</v>
      </c>
    </row>
    <row r="957" spans="1:9" x14ac:dyDescent="0.2">
      <c r="A957" t="s">
        <v>1470</v>
      </c>
      <c r="B957" s="44">
        <v>35823</v>
      </c>
      <c r="C957" t="s">
        <v>4</v>
      </c>
      <c r="D957" t="s">
        <v>3230</v>
      </c>
      <c r="F957"/>
      <c r="G957"/>
      <c r="H957">
        <v>4</v>
      </c>
    </row>
    <row r="958" spans="1:9" x14ac:dyDescent="0.2">
      <c r="A958" t="s">
        <v>51</v>
      </c>
      <c r="B958" s="44">
        <v>35836</v>
      </c>
      <c r="C958" t="s">
        <v>4</v>
      </c>
      <c r="D958" t="s">
        <v>3230</v>
      </c>
      <c r="F958"/>
      <c r="G958"/>
      <c r="H958">
        <v>4</v>
      </c>
    </row>
    <row r="959" spans="1:9" x14ac:dyDescent="0.2">
      <c r="A959" t="s">
        <v>1539</v>
      </c>
      <c r="B959" s="44">
        <v>35845</v>
      </c>
      <c r="C959" t="s">
        <v>4</v>
      </c>
      <c r="D959" t="s">
        <v>3232</v>
      </c>
      <c r="F959"/>
      <c r="G959"/>
      <c r="H959">
        <v>4</v>
      </c>
    </row>
    <row r="960" spans="1:9" x14ac:dyDescent="0.2">
      <c r="A960" t="s">
        <v>1539</v>
      </c>
      <c r="B960" s="44">
        <v>35845</v>
      </c>
      <c r="C960" t="s">
        <v>4</v>
      </c>
      <c r="D960" t="s">
        <v>3233</v>
      </c>
      <c r="F960"/>
      <c r="G960"/>
      <c r="H960">
        <v>4</v>
      </c>
    </row>
    <row r="961" spans="1:8" x14ac:dyDescent="0.2">
      <c r="A961" t="s">
        <v>1999</v>
      </c>
      <c r="B961" s="44">
        <v>35936</v>
      </c>
      <c r="C961" t="s">
        <v>4</v>
      </c>
      <c r="D961" t="s">
        <v>3234</v>
      </c>
      <c r="F961"/>
      <c r="G961"/>
      <c r="H961">
        <v>4</v>
      </c>
    </row>
    <row r="962" spans="1:8" x14ac:dyDescent="0.2">
      <c r="A962" t="s">
        <v>2114</v>
      </c>
      <c r="B962" s="44">
        <v>35962</v>
      </c>
      <c r="C962" t="s">
        <v>4</v>
      </c>
      <c r="D962" t="s">
        <v>3230</v>
      </c>
      <c r="F962"/>
      <c r="G962"/>
      <c r="H962">
        <v>4</v>
      </c>
    </row>
    <row r="963" spans="1:8" x14ac:dyDescent="0.2">
      <c r="A963" t="s">
        <v>1583</v>
      </c>
      <c r="B963" s="44">
        <v>36214</v>
      </c>
      <c r="C963" t="s">
        <v>4</v>
      </c>
      <c r="D963" t="s">
        <v>3234</v>
      </c>
      <c r="F963"/>
      <c r="G963"/>
      <c r="H963">
        <v>4</v>
      </c>
    </row>
    <row r="964" spans="1:8" x14ac:dyDescent="0.2">
      <c r="A964" t="s">
        <v>2907</v>
      </c>
      <c r="B964" s="44">
        <v>36483</v>
      </c>
      <c r="C964" t="s">
        <v>4</v>
      </c>
      <c r="D964" t="s">
        <v>3244</v>
      </c>
      <c r="F964"/>
      <c r="G964"/>
      <c r="H964">
        <v>4</v>
      </c>
    </row>
    <row r="965" spans="1:8" x14ac:dyDescent="0.2">
      <c r="A965" t="s">
        <v>91</v>
      </c>
      <c r="B965" s="44">
        <v>36501</v>
      </c>
      <c r="C965" t="s">
        <v>4</v>
      </c>
      <c r="D965" t="s">
        <v>3244</v>
      </c>
      <c r="F965"/>
      <c r="G965"/>
      <c r="H965">
        <v>4</v>
      </c>
    </row>
    <row r="966" spans="1:8" x14ac:dyDescent="0.2">
      <c r="A966" t="s">
        <v>1370</v>
      </c>
      <c r="B966" s="44">
        <v>36543</v>
      </c>
      <c r="C966" t="s">
        <v>4</v>
      </c>
      <c r="D966" t="s">
        <v>3240</v>
      </c>
      <c r="F966"/>
      <c r="G966"/>
      <c r="H966">
        <v>4</v>
      </c>
    </row>
    <row r="967" spans="1:8" x14ac:dyDescent="0.2">
      <c r="A967" t="s">
        <v>1375</v>
      </c>
      <c r="B967" s="44">
        <v>36544</v>
      </c>
      <c r="C967" t="s">
        <v>4</v>
      </c>
      <c r="D967" t="s">
        <v>3241</v>
      </c>
      <c r="F967"/>
      <c r="G967"/>
      <c r="H967">
        <v>4</v>
      </c>
    </row>
    <row r="968" spans="1:8" x14ac:dyDescent="0.2">
      <c r="A968" t="s">
        <v>1515</v>
      </c>
      <c r="B968" s="44">
        <v>36572</v>
      </c>
      <c r="C968" t="s">
        <v>4</v>
      </c>
      <c r="D968" t="s">
        <v>3242</v>
      </c>
      <c r="F968"/>
      <c r="G968"/>
      <c r="H968">
        <v>4</v>
      </c>
    </row>
    <row r="969" spans="1:8" x14ac:dyDescent="0.2">
      <c r="A969" t="s">
        <v>1680</v>
      </c>
      <c r="B969" s="44">
        <v>36601</v>
      </c>
      <c r="C969" t="s">
        <v>4</v>
      </c>
      <c r="D969" t="s">
        <v>3243</v>
      </c>
      <c r="F969"/>
      <c r="G969"/>
      <c r="H969">
        <v>4</v>
      </c>
    </row>
    <row r="970" spans="1:8" x14ac:dyDescent="0.2">
      <c r="A970" t="s">
        <v>112</v>
      </c>
      <c r="B970" s="44">
        <v>36620</v>
      </c>
      <c r="C970" t="s">
        <v>4</v>
      </c>
      <c r="D970" t="s">
        <v>3230</v>
      </c>
      <c r="F970"/>
      <c r="G970"/>
      <c r="H970">
        <v>4</v>
      </c>
    </row>
    <row r="971" spans="1:8" x14ac:dyDescent="0.2">
      <c r="A971" t="s">
        <v>159</v>
      </c>
      <c r="B971" s="44">
        <v>36627</v>
      </c>
      <c r="C971" t="s">
        <v>4</v>
      </c>
      <c r="D971" t="s">
        <v>3244</v>
      </c>
      <c r="F971"/>
      <c r="G971"/>
      <c r="H971">
        <v>4</v>
      </c>
    </row>
    <row r="972" spans="1:8" x14ac:dyDescent="0.2">
      <c r="A972" t="s">
        <v>151</v>
      </c>
      <c r="B972" s="44">
        <v>36655</v>
      </c>
      <c r="C972" t="s">
        <v>4</v>
      </c>
      <c r="D972" t="s">
        <v>3244</v>
      </c>
      <c r="F972"/>
      <c r="G972"/>
      <c r="H972">
        <v>4</v>
      </c>
    </row>
    <row r="973" spans="1:8" x14ac:dyDescent="0.2">
      <c r="A973" t="s">
        <v>2075</v>
      </c>
      <c r="B973" s="44">
        <v>36676</v>
      </c>
      <c r="C973" t="s">
        <v>4</v>
      </c>
      <c r="D973" t="s">
        <v>3244</v>
      </c>
      <c r="F973"/>
      <c r="G973"/>
      <c r="H973">
        <v>4</v>
      </c>
    </row>
    <row r="974" spans="1:8" x14ac:dyDescent="0.2">
      <c r="A974" t="s">
        <v>2081</v>
      </c>
      <c r="B974" s="44">
        <v>36677</v>
      </c>
      <c r="C974" t="s">
        <v>4</v>
      </c>
      <c r="D974" t="s">
        <v>3244</v>
      </c>
      <c r="F974"/>
      <c r="G974"/>
      <c r="H974">
        <v>4</v>
      </c>
    </row>
    <row r="975" spans="1:8" x14ac:dyDescent="0.2">
      <c r="A975" t="s">
        <v>2087</v>
      </c>
      <c r="B975" s="44">
        <v>36690</v>
      </c>
      <c r="C975" t="s">
        <v>4</v>
      </c>
      <c r="D975" t="s">
        <v>3230</v>
      </c>
      <c r="F975"/>
      <c r="G975"/>
      <c r="H975">
        <v>4</v>
      </c>
    </row>
    <row r="976" spans="1:8" x14ac:dyDescent="0.2">
      <c r="A976" t="s">
        <v>2105</v>
      </c>
      <c r="B976" s="44">
        <v>36692</v>
      </c>
      <c r="C976" t="s">
        <v>4</v>
      </c>
      <c r="D976" t="s">
        <v>3244</v>
      </c>
      <c r="F976"/>
      <c r="G976"/>
      <c r="H976">
        <v>4</v>
      </c>
    </row>
    <row r="977" spans="1:9" x14ac:dyDescent="0.2">
      <c r="A977" t="s">
        <v>2764</v>
      </c>
      <c r="B977" s="44">
        <v>36823</v>
      </c>
      <c r="C977" t="s">
        <v>4</v>
      </c>
      <c r="D977" t="s">
        <v>3231</v>
      </c>
      <c r="F977"/>
      <c r="G977"/>
      <c r="H977">
        <v>4</v>
      </c>
    </row>
    <row r="978" spans="1:9" x14ac:dyDescent="0.2">
      <c r="A978" t="s">
        <v>2872</v>
      </c>
      <c r="B978" s="44">
        <v>36846</v>
      </c>
      <c r="C978" t="s">
        <v>4</v>
      </c>
      <c r="D978" t="s">
        <v>3244</v>
      </c>
      <c r="F978"/>
      <c r="G978"/>
      <c r="H978">
        <v>4</v>
      </c>
    </row>
    <row r="979" spans="1:9" x14ac:dyDescent="0.2">
      <c r="A979" t="s">
        <v>2999</v>
      </c>
      <c r="B979" s="44">
        <v>36858</v>
      </c>
      <c r="C979" t="s">
        <v>4</v>
      </c>
      <c r="D979" t="s">
        <v>3239</v>
      </c>
      <c r="F979"/>
      <c r="G979"/>
      <c r="H979">
        <v>4</v>
      </c>
    </row>
    <row r="980" spans="1:9" x14ac:dyDescent="0.2">
      <c r="A980" t="s">
        <v>3000</v>
      </c>
      <c r="B980" s="44">
        <v>36858</v>
      </c>
      <c r="C980" t="s">
        <v>4</v>
      </c>
      <c r="D980" t="s">
        <v>3239</v>
      </c>
      <c r="F980"/>
      <c r="G980"/>
      <c r="H980">
        <v>4</v>
      </c>
    </row>
    <row r="981" spans="1:9" x14ac:dyDescent="0.2">
      <c r="A981" t="s">
        <v>2176</v>
      </c>
      <c r="B981" s="44">
        <v>37062</v>
      </c>
      <c r="C981" t="s">
        <v>4</v>
      </c>
      <c r="D981" t="s">
        <v>3247</v>
      </c>
      <c r="F981"/>
      <c r="G981"/>
      <c r="H981">
        <v>4</v>
      </c>
      <c r="I981" t="s">
        <v>4492</v>
      </c>
    </row>
    <row r="982" spans="1:9" x14ac:dyDescent="0.2">
      <c r="A982" t="s">
        <v>2469</v>
      </c>
      <c r="B982" s="44">
        <v>37147</v>
      </c>
      <c r="C982" t="s">
        <v>4</v>
      </c>
      <c r="D982" t="s">
        <v>3248</v>
      </c>
      <c r="F982"/>
      <c r="G982"/>
      <c r="H982">
        <v>4</v>
      </c>
    </row>
    <row r="983" spans="1:9" x14ac:dyDescent="0.2">
      <c r="A983" t="s">
        <v>2460</v>
      </c>
      <c r="B983" s="44">
        <v>37497</v>
      </c>
      <c r="C983" t="s">
        <v>4</v>
      </c>
      <c r="D983" t="s">
        <v>3239</v>
      </c>
      <c r="F983"/>
      <c r="G983"/>
      <c r="H983">
        <v>4</v>
      </c>
    </row>
    <row r="984" spans="1:9" x14ac:dyDescent="0.2">
      <c r="A984" t="s">
        <v>2536</v>
      </c>
      <c r="B984" s="44">
        <v>37519</v>
      </c>
      <c r="C984" t="s">
        <v>4</v>
      </c>
      <c r="D984" t="s">
        <v>3249</v>
      </c>
      <c r="F984"/>
      <c r="G984"/>
      <c r="H984">
        <v>4</v>
      </c>
    </row>
    <row r="985" spans="1:9" x14ac:dyDescent="0.2">
      <c r="A985" t="s">
        <v>1384</v>
      </c>
      <c r="B985" s="44">
        <v>37641</v>
      </c>
      <c r="C985" t="s">
        <v>4</v>
      </c>
      <c r="D985" t="s">
        <v>3230</v>
      </c>
      <c r="F985"/>
      <c r="G985"/>
      <c r="H985">
        <v>4</v>
      </c>
    </row>
    <row r="986" spans="1:9" x14ac:dyDescent="0.2">
      <c r="A986" t="s">
        <v>1433</v>
      </c>
      <c r="B986" s="44">
        <v>37645</v>
      </c>
      <c r="C986" t="s">
        <v>4</v>
      </c>
      <c r="D986" t="s">
        <v>3238</v>
      </c>
      <c r="F986"/>
      <c r="G986"/>
      <c r="H986">
        <v>4</v>
      </c>
    </row>
    <row r="987" spans="1:9" x14ac:dyDescent="0.2">
      <c r="A987" t="s">
        <v>1780</v>
      </c>
      <c r="B987" s="44">
        <v>37707</v>
      </c>
      <c r="C987" t="s">
        <v>4</v>
      </c>
      <c r="D987" t="s">
        <v>3148</v>
      </c>
      <c r="F987"/>
      <c r="G987"/>
      <c r="H987">
        <v>4</v>
      </c>
    </row>
    <row r="988" spans="1:9" x14ac:dyDescent="0.2">
      <c r="A988" t="s">
        <v>2151</v>
      </c>
      <c r="B988" s="44">
        <v>37790</v>
      </c>
      <c r="C988" t="s">
        <v>4</v>
      </c>
      <c r="D988" t="s">
        <v>3237</v>
      </c>
      <c r="F988"/>
      <c r="G988"/>
      <c r="H988">
        <v>4</v>
      </c>
      <c r="I988" t="s">
        <v>4492</v>
      </c>
    </row>
    <row r="989" spans="1:9" x14ac:dyDescent="0.2">
      <c r="A989" t="s">
        <v>2318</v>
      </c>
      <c r="B989" s="44">
        <v>37817</v>
      </c>
      <c r="C989" t="s">
        <v>4</v>
      </c>
      <c r="D989" t="s">
        <v>3254</v>
      </c>
      <c r="F989"/>
      <c r="G989"/>
      <c r="H989">
        <v>4</v>
      </c>
    </row>
    <row r="990" spans="1:9" x14ac:dyDescent="0.2">
      <c r="A990" t="s">
        <v>2287</v>
      </c>
      <c r="B990" s="44">
        <v>38167</v>
      </c>
      <c r="C990" t="s">
        <v>4</v>
      </c>
      <c r="D990" t="s">
        <v>3295</v>
      </c>
      <c r="F990"/>
      <c r="G990"/>
      <c r="H990">
        <v>4</v>
      </c>
    </row>
    <row r="991" spans="1:9" x14ac:dyDescent="0.2">
      <c r="A991" t="s">
        <v>363</v>
      </c>
      <c r="B991" s="44">
        <v>38272</v>
      </c>
      <c r="C991" t="s">
        <v>4</v>
      </c>
      <c r="D991" t="s">
        <v>3255</v>
      </c>
      <c r="F991"/>
      <c r="G991"/>
      <c r="H991">
        <v>4</v>
      </c>
    </row>
    <row r="992" spans="1:9" x14ac:dyDescent="0.2">
      <c r="A992" t="s">
        <v>357</v>
      </c>
      <c r="B992" s="44">
        <v>38301</v>
      </c>
      <c r="C992" t="s">
        <v>4</v>
      </c>
      <c r="D992" t="s">
        <v>3256</v>
      </c>
      <c r="F992"/>
      <c r="G992"/>
      <c r="H992">
        <v>4</v>
      </c>
    </row>
    <row r="993" spans="1:9" x14ac:dyDescent="0.2">
      <c r="A993" t="s">
        <v>3019</v>
      </c>
      <c r="B993" s="44">
        <v>38321</v>
      </c>
      <c r="C993" t="s">
        <v>4</v>
      </c>
      <c r="D993" t="s">
        <v>3257</v>
      </c>
      <c r="F993"/>
      <c r="G993"/>
      <c r="H993">
        <v>4</v>
      </c>
    </row>
    <row r="994" spans="1:9" x14ac:dyDescent="0.2">
      <c r="A994" t="s">
        <v>1385</v>
      </c>
      <c r="B994" s="44">
        <v>38372</v>
      </c>
      <c r="C994" t="s">
        <v>4</v>
      </c>
      <c r="D994" t="s">
        <v>3258</v>
      </c>
      <c r="F994"/>
      <c r="G994"/>
      <c r="H994">
        <v>4</v>
      </c>
    </row>
    <row r="995" spans="1:9" x14ac:dyDescent="0.2">
      <c r="A995" t="s">
        <v>1516</v>
      </c>
      <c r="B995" s="44">
        <v>38399</v>
      </c>
      <c r="C995" t="s">
        <v>4</v>
      </c>
      <c r="D995" t="s">
        <v>3256</v>
      </c>
      <c r="F995"/>
      <c r="G995"/>
      <c r="H995">
        <v>4</v>
      </c>
    </row>
    <row r="996" spans="1:9" x14ac:dyDescent="0.2">
      <c r="A996" t="s">
        <v>1753</v>
      </c>
      <c r="B996" s="44">
        <v>38435</v>
      </c>
      <c r="C996" t="s">
        <v>4</v>
      </c>
      <c r="D996" t="s">
        <v>3259</v>
      </c>
      <c r="F996"/>
      <c r="G996"/>
      <c r="H996">
        <v>4</v>
      </c>
    </row>
    <row r="997" spans="1:9" x14ac:dyDescent="0.2">
      <c r="A997" t="s">
        <v>414</v>
      </c>
      <c r="B997" s="44">
        <v>38483</v>
      </c>
      <c r="C997" t="s">
        <v>4</v>
      </c>
      <c r="D997" t="s">
        <v>3256</v>
      </c>
      <c r="F997"/>
      <c r="G997"/>
      <c r="H997">
        <v>4</v>
      </c>
    </row>
    <row r="998" spans="1:9" x14ac:dyDescent="0.2">
      <c r="A998" t="s">
        <v>2216</v>
      </c>
      <c r="B998" s="44">
        <v>38525</v>
      </c>
      <c r="C998" t="s">
        <v>912</v>
      </c>
      <c r="D998" t="s">
        <v>3345</v>
      </c>
      <c r="F998"/>
      <c r="G998"/>
      <c r="H998">
        <v>4</v>
      </c>
      <c r="I998" t="s">
        <v>4492</v>
      </c>
    </row>
    <row r="999" spans="1:9" x14ac:dyDescent="0.2">
      <c r="A999" t="s">
        <v>409</v>
      </c>
      <c r="B999" s="44">
        <v>38574</v>
      </c>
      <c r="C999" t="s">
        <v>4</v>
      </c>
      <c r="D999" t="s">
        <v>3256</v>
      </c>
      <c r="F999"/>
      <c r="G999"/>
      <c r="H999">
        <v>4</v>
      </c>
    </row>
    <row r="1000" spans="1:9" x14ac:dyDescent="0.2">
      <c r="A1000" t="s">
        <v>415</v>
      </c>
      <c r="B1000" s="44">
        <v>38636</v>
      </c>
      <c r="C1000" t="s">
        <v>4</v>
      </c>
      <c r="D1000" t="s">
        <v>3260</v>
      </c>
      <c r="F1000"/>
      <c r="G1000"/>
      <c r="H1000">
        <v>4</v>
      </c>
    </row>
    <row r="1001" spans="1:9" x14ac:dyDescent="0.2">
      <c r="A1001" t="s">
        <v>2774</v>
      </c>
      <c r="B1001" s="44">
        <v>38650</v>
      </c>
      <c r="C1001" t="s">
        <v>4</v>
      </c>
      <c r="D1001" t="s">
        <v>3346</v>
      </c>
      <c r="F1001"/>
      <c r="G1001"/>
      <c r="H1001">
        <v>4</v>
      </c>
    </row>
    <row r="1002" spans="1:9" x14ac:dyDescent="0.2">
      <c r="A1002" t="s">
        <v>2774</v>
      </c>
      <c r="B1002" s="44">
        <v>38650</v>
      </c>
      <c r="C1002" t="s">
        <v>4</v>
      </c>
      <c r="D1002" t="s">
        <v>3261</v>
      </c>
      <c r="F1002"/>
      <c r="G1002"/>
      <c r="H1002">
        <v>4</v>
      </c>
    </row>
    <row r="1003" spans="1:9" x14ac:dyDescent="0.2">
      <c r="A1003" t="s">
        <v>2873</v>
      </c>
      <c r="B1003" s="44">
        <v>38672</v>
      </c>
      <c r="C1003" t="s">
        <v>4</v>
      </c>
      <c r="D1003" t="s">
        <v>3256</v>
      </c>
      <c r="F1003"/>
      <c r="G1003"/>
      <c r="H1003">
        <v>4</v>
      </c>
    </row>
    <row r="1004" spans="1:9" x14ac:dyDescent="0.2">
      <c r="A1004" t="s">
        <v>2967</v>
      </c>
      <c r="B1004" s="44">
        <v>38680</v>
      </c>
      <c r="C1004" t="s">
        <v>4</v>
      </c>
      <c r="D1004" t="s">
        <v>3348</v>
      </c>
      <c r="F1004"/>
      <c r="G1004"/>
      <c r="H1004">
        <v>4</v>
      </c>
    </row>
    <row r="1005" spans="1:9" x14ac:dyDescent="0.2">
      <c r="A1005" t="s">
        <v>1357</v>
      </c>
      <c r="B1005" s="44">
        <v>38733</v>
      </c>
      <c r="C1005" t="s">
        <v>4</v>
      </c>
      <c r="D1005" t="s">
        <v>3262</v>
      </c>
      <c r="F1005"/>
      <c r="G1005"/>
      <c r="H1005">
        <v>4</v>
      </c>
    </row>
    <row r="1006" spans="1:9" x14ac:dyDescent="0.2">
      <c r="A1006" t="s">
        <v>1550</v>
      </c>
      <c r="B1006" s="44">
        <v>38768</v>
      </c>
      <c r="C1006" t="s">
        <v>4</v>
      </c>
      <c r="D1006" t="s">
        <v>3349</v>
      </c>
      <c r="F1006"/>
      <c r="G1006"/>
      <c r="H1006">
        <v>4</v>
      </c>
    </row>
    <row r="1007" spans="1:9" x14ac:dyDescent="0.2">
      <c r="A1007" t="s">
        <v>1682</v>
      </c>
      <c r="B1007" s="44">
        <v>38792</v>
      </c>
      <c r="C1007" t="s">
        <v>4</v>
      </c>
      <c r="D1007" t="s">
        <v>3296</v>
      </c>
      <c r="F1007"/>
      <c r="G1007"/>
      <c r="H1007">
        <v>4</v>
      </c>
    </row>
    <row r="1008" spans="1:9" x14ac:dyDescent="0.2">
      <c r="A1008" t="s">
        <v>1900</v>
      </c>
      <c r="B1008" s="44">
        <v>38834</v>
      </c>
      <c r="C1008" t="s">
        <v>4</v>
      </c>
      <c r="D1008" t="s">
        <v>3263</v>
      </c>
      <c r="F1008"/>
      <c r="G1008"/>
      <c r="H1008">
        <v>4</v>
      </c>
    </row>
    <row r="1009" spans="1:8" x14ac:dyDescent="0.2">
      <c r="A1009" t="s">
        <v>485</v>
      </c>
      <c r="B1009" s="44">
        <v>38847</v>
      </c>
      <c r="C1009" t="s">
        <v>4</v>
      </c>
      <c r="D1009" t="s">
        <v>3264</v>
      </c>
      <c r="F1009"/>
      <c r="G1009"/>
      <c r="H1009">
        <v>4</v>
      </c>
    </row>
    <row r="1010" spans="1:8" x14ac:dyDescent="0.2">
      <c r="A1010" t="s">
        <v>496</v>
      </c>
      <c r="B1010" s="44">
        <v>38880</v>
      </c>
      <c r="C1010" t="s">
        <v>4</v>
      </c>
      <c r="D1010" t="s">
        <v>3280</v>
      </c>
      <c r="F1010"/>
      <c r="G1010"/>
      <c r="H1010">
        <v>4</v>
      </c>
    </row>
    <row r="1011" spans="1:8" x14ac:dyDescent="0.2">
      <c r="A1011" t="s">
        <v>473</v>
      </c>
      <c r="B1011" s="44">
        <v>38937</v>
      </c>
      <c r="C1011" t="s">
        <v>4</v>
      </c>
      <c r="D1011" t="s">
        <v>3356</v>
      </c>
      <c r="F1011"/>
      <c r="G1011"/>
      <c r="H1011">
        <v>4</v>
      </c>
    </row>
    <row r="1012" spans="1:8" x14ac:dyDescent="0.2">
      <c r="A1012" t="s">
        <v>481</v>
      </c>
      <c r="B1012" s="44">
        <v>38938</v>
      </c>
      <c r="C1012" t="s">
        <v>4</v>
      </c>
      <c r="D1012" t="s">
        <v>3356</v>
      </c>
      <c r="F1012"/>
      <c r="G1012"/>
      <c r="H1012">
        <v>4</v>
      </c>
    </row>
    <row r="1013" spans="1:8" x14ac:dyDescent="0.2">
      <c r="A1013" t="s">
        <v>486</v>
      </c>
      <c r="B1013" s="44">
        <v>39000</v>
      </c>
      <c r="C1013" t="s">
        <v>4</v>
      </c>
      <c r="D1013" t="s">
        <v>3281</v>
      </c>
      <c r="F1013"/>
      <c r="G1013"/>
      <c r="H1013">
        <v>4</v>
      </c>
    </row>
    <row r="1014" spans="1:8" x14ac:dyDescent="0.2">
      <c r="A1014" t="s">
        <v>2805</v>
      </c>
      <c r="B1014" s="44">
        <v>39019</v>
      </c>
      <c r="C1014" t="s">
        <v>4</v>
      </c>
      <c r="D1014" t="s">
        <v>3282</v>
      </c>
      <c r="F1014"/>
      <c r="G1014"/>
      <c r="H1014">
        <v>4</v>
      </c>
    </row>
    <row r="1015" spans="1:8" x14ac:dyDescent="0.2">
      <c r="A1015" t="s">
        <v>2831</v>
      </c>
      <c r="B1015" s="44">
        <v>39021</v>
      </c>
      <c r="C1015" t="s">
        <v>4</v>
      </c>
      <c r="D1015" t="s">
        <v>3357</v>
      </c>
      <c r="F1015"/>
      <c r="G1015"/>
      <c r="H1015">
        <v>4</v>
      </c>
    </row>
    <row r="1016" spans="1:8" x14ac:dyDescent="0.2">
      <c r="A1016" t="s">
        <v>2861</v>
      </c>
      <c r="B1016" s="44">
        <v>39036</v>
      </c>
      <c r="C1016" t="s">
        <v>4</v>
      </c>
      <c r="D1016" t="s">
        <v>3356</v>
      </c>
      <c r="F1016"/>
      <c r="G1016"/>
      <c r="H1016">
        <v>4</v>
      </c>
    </row>
    <row r="1017" spans="1:8" x14ac:dyDescent="0.2">
      <c r="A1017" t="s">
        <v>3020</v>
      </c>
      <c r="B1017" s="44">
        <v>39051</v>
      </c>
      <c r="C1017" t="s">
        <v>4</v>
      </c>
      <c r="D1017" t="s">
        <v>3284</v>
      </c>
      <c r="F1017"/>
      <c r="G1017"/>
      <c r="H1017">
        <v>4</v>
      </c>
    </row>
    <row r="1018" spans="1:8" x14ac:dyDescent="0.2">
      <c r="A1018" t="s">
        <v>3020</v>
      </c>
      <c r="B1018" s="44">
        <v>39051</v>
      </c>
      <c r="C1018" t="s">
        <v>4</v>
      </c>
      <c r="D1018" t="s">
        <v>3358</v>
      </c>
      <c r="F1018"/>
      <c r="G1018"/>
      <c r="H1018">
        <v>4</v>
      </c>
    </row>
    <row r="1019" spans="1:8" x14ac:dyDescent="0.2">
      <c r="A1019" t="s">
        <v>3092</v>
      </c>
      <c r="B1019" s="44">
        <v>39072</v>
      </c>
      <c r="C1019" t="s">
        <v>4</v>
      </c>
      <c r="D1019" t="s">
        <v>3285</v>
      </c>
      <c r="F1019"/>
      <c r="G1019"/>
      <c r="H1019">
        <v>4</v>
      </c>
    </row>
    <row r="1020" spans="1:8" x14ac:dyDescent="0.2">
      <c r="A1020" t="s">
        <v>1422</v>
      </c>
      <c r="B1020" s="44">
        <v>39105</v>
      </c>
      <c r="C1020" t="s">
        <v>4</v>
      </c>
      <c r="D1020" t="s">
        <v>3350</v>
      </c>
      <c r="F1020"/>
      <c r="G1020"/>
      <c r="H1020">
        <v>4</v>
      </c>
    </row>
    <row r="1021" spans="1:8" x14ac:dyDescent="0.2">
      <c r="A1021" t="s">
        <v>520</v>
      </c>
      <c r="B1021" s="44">
        <v>39118</v>
      </c>
      <c r="C1021" t="s">
        <v>4</v>
      </c>
      <c r="D1021" t="s">
        <v>3356</v>
      </c>
      <c r="F1021"/>
      <c r="G1021"/>
      <c r="H1021">
        <v>4</v>
      </c>
    </row>
    <row r="1022" spans="1:8" x14ac:dyDescent="0.2">
      <c r="A1022" t="s">
        <v>1504</v>
      </c>
      <c r="B1022" s="44">
        <v>39127</v>
      </c>
      <c r="C1022" t="s">
        <v>4</v>
      </c>
      <c r="D1022" t="s">
        <v>3356</v>
      </c>
      <c r="F1022"/>
      <c r="G1022"/>
      <c r="H1022">
        <v>4</v>
      </c>
    </row>
    <row r="1023" spans="1:8" x14ac:dyDescent="0.2">
      <c r="A1023" t="s">
        <v>1781</v>
      </c>
      <c r="B1023" s="44">
        <v>39168</v>
      </c>
      <c r="C1023" t="s">
        <v>4</v>
      </c>
      <c r="D1023" t="s">
        <v>3265</v>
      </c>
      <c r="F1023"/>
      <c r="G1023"/>
      <c r="H1023">
        <v>4</v>
      </c>
    </row>
    <row r="1024" spans="1:8" x14ac:dyDescent="0.2">
      <c r="A1024" t="s">
        <v>504</v>
      </c>
      <c r="B1024" s="44">
        <v>39204</v>
      </c>
      <c r="C1024" t="s">
        <v>4</v>
      </c>
      <c r="D1024" t="s">
        <v>3286</v>
      </c>
      <c r="F1024"/>
      <c r="G1024"/>
      <c r="H1024">
        <v>4</v>
      </c>
    </row>
    <row r="1025" spans="1:9" x14ac:dyDescent="0.2">
      <c r="A1025" t="s">
        <v>1946</v>
      </c>
      <c r="B1025" s="44">
        <v>39218</v>
      </c>
      <c r="C1025" t="s">
        <v>4</v>
      </c>
      <c r="D1025" t="s">
        <v>3356</v>
      </c>
      <c r="F1025"/>
      <c r="G1025"/>
      <c r="H1025">
        <v>4</v>
      </c>
    </row>
    <row r="1026" spans="1:9" x14ac:dyDescent="0.2">
      <c r="A1026" t="s">
        <v>582</v>
      </c>
      <c r="B1026" s="44">
        <v>39244</v>
      </c>
      <c r="C1026" t="s">
        <v>4</v>
      </c>
      <c r="D1026" t="s">
        <v>3351</v>
      </c>
      <c r="F1026"/>
      <c r="G1026"/>
      <c r="H1026">
        <v>4</v>
      </c>
    </row>
    <row r="1027" spans="1:9" x14ac:dyDescent="0.2">
      <c r="A1027" t="s">
        <v>2184</v>
      </c>
      <c r="B1027" s="44">
        <v>39253</v>
      </c>
      <c r="C1027" t="s">
        <v>4</v>
      </c>
      <c r="D1027" t="s">
        <v>3351</v>
      </c>
      <c r="F1027"/>
      <c r="G1027"/>
      <c r="H1027">
        <v>4</v>
      </c>
    </row>
    <row r="1028" spans="1:9" x14ac:dyDescent="0.2">
      <c r="A1028" t="s">
        <v>2273</v>
      </c>
      <c r="B1028" s="44">
        <v>39261</v>
      </c>
      <c r="C1028" t="s">
        <v>4</v>
      </c>
      <c r="D1028" t="s">
        <v>3297</v>
      </c>
      <c r="F1028"/>
      <c r="G1028"/>
      <c r="H1028">
        <v>4</v>
      </c>
    </row>
    <row r="1029" spans="1:9" x14ac:dyDescent="0.2">
      <c r="A1029" t="s">
        <v>2273</v>
      </c>
      <c r="B1029" s="44">
        <v>39261</v>
      </c>
      <c r="C1029" t="s">
        <v>4</v>
      </c>
      <c r="D1029" t="s">
        <v>3359</v>
      </c>
      <c r="F1029"/>
      <c r="G1029"/>
      <c r="H1029">
        <v>4</v>
      </c>
    </row>
    <row r="1030" spans="1:9" x14ac:dyDescent="0.2">
      <c r="A1030" t="s">
        <v>565</v>
      </c>
      <c r="B1030" s="44">
        <v>39302</v>
      </c>
      <c r="C1030" t="s">
        <v>4</v>
      </c>
      <c r="D1030" t="s">
        <v>3356</v>
      </c>
      <c r="F1030"/>
      <c r="G1030"/>
      <c r="H1030">
        <v>4</v>
      </c>
    </row>
    <row r="1031" spans="1:9" x14ac:dyDescent="0.2">
      <c r="A1031" t="s">
        <v>2540</v>
      </c>
      <c r="B1031" s="44">
        <v>39345</v>
      </c>
      <c r="C1031" t="s">
        <v>4</v>
      </c>
      <c r="D1031" t="s">
        <v>3359</v>
      </c>
      <c r="F1031"/>
      <c r="G1031"/>
      <c r="H1031">
        <v>4</v>
      </c>
    </row>
    <row r="1032" spans="1:9" x14ac:dyDescent="0.2">
      <c r="A1032" t="s">
        <v>571</v>
      </c>
      <c r="B1032" s="44">
        <v>39364</v>
      </c>
      <c r="C1032" t="s">
        <v>4</v>
      </c>
      <c r="D1032" t="s">
        <v>3351</v>
      </c>
      <c r="F1032"/>
      <c r="G1032"/>
      <c r="H1032">
        <v>4</v>
      </c>
    </row>
    <row r="1033" spans="1:9" x14ac:dyDescent="0.2">
      <c r="A1033" t="s">
        <v>2661</v>
      </c>
      <c r="B1033" s="44">
        <v>39370</v>
      </c>
      <c r="C1033" t="s">
        <v>4</v>
      </c>
      <c r="D1033" t="s">
        <v>3286</v>
      </c>
      <c r="F1033"/>
      <c r="G1033"/>
      <c r="H1033">
        <v>4</v>
      </c>
    </row>
    <row r="1034" spans="1:9" x14ac:dyDescent="0.2">
      <c r="A1034" t="s">
        <v>2850</v>
      </c>
      <c r="B1034" s="44">
        <v>39400</v>
      </c>
      <c r="C1034" t="s">
        <v>4</v>
      </c>
      <c r="D1034" t="s">
        <v>3356</v>
      </c>
      <c r="F1034"/>
      <c r="G1034"/>
      <c r="H1034">
        <v>4</v>
      </c>
    </row>
    <row r="1035" spans="1:9" x14ac:dyDescent="0.2">
      <c r="A1035" t="s">
        <v>3012</v>
      </c>
      <c r="B1035" s="44">
        <v>39415</v>
      </c>
      <c r="C1035" t="s">
        <v>4</v>
      </c>
      <c r="D1035" t="s">
        <v>3298</v>
      </c>
      <c r="F1035"/>
      <c r="G1035"/>
      <c r="H1035">
        <v>4</v>
      </c>
    </row>
    <row r="1036" spans="1:9" x14ac:dyDescent="0.2">
      <c r="A1036" t="s">
        <v>3064</v>
      </c>
      <c r="B1036" s="44">
        <v>39434</v>
      </c>
      <c r="C1036" t="s">
        <v>4</v>
      </c>
      <c r="D1036" t="s">
        <v>3287</v>
      </c>
      <c r="F1036"/>
      <c r="G1036"/>
      <c r="H1036">
        <v>4</v>
      </c>
      <c r="I1036" t="s">
        <v>3214</v>
      </c>
    </row>
    <row r="1037" spans="1:9" x14ac:dyDescent="0.2">
      <c r="A1037" t="s">
        <v>3065</v>
      </c>
      <c r="B1037" s="44">
        <v>39434</v>
      </c>
      <c r="C1037" t="s">
        <v>4</v>
      </c>
      <c r="D1037" t="s">
        <v>3287</v>
      </c>
      <c r="F1037"/>
      <c r="G1037"/>
      <c r="H1037">
        <v>4</v>
      </c>
      <c r="I1037" t="s">
        <v>3214</v>
      </c>
    </row>
    <row r="1038" spans="1:9" x14ac:dyDescent="0.2">
      <c r="A1038" t="s">
        <v>1411</v>
      </c>
      <c r="B1038" s="44">
        <v>39469</v>
      </c>
      <c r="C1038" t="s">
        <v>4</v>
      </c>
      <c r="D1038" t="s">
        <v>3360</v>
      </c>
      <c r="F1038"/>
      <c r="G1038"/>
      <c r="H1038">
        <v>4</v>
      </c>
    </row>
    <row r="1039" spans="1:9" x14ac:dyDescent="0.2">
      <c r="A1039" t="s">
        <v>1495</v>
      </c>
      <c r="B1039" s="44">
        <v>39491</v>
      </c>
      <c r="C1039" t="s">
        <v>4</v>
      </c>
      <c r="D1039" t="s">
        <v>3356</v>
      </c>
      <c r="F1039"/>
      <c r="G1039"/>
      <c r="H1039">
        <v>4</v>
      </c>
    </row>
    <row r="1040" spans="1:9" x14ac:dyDescent="0.2">
      <c r="A1040" t="s">
        <v>1705</v>
      </c>
      <c r="B1040" s="44">
        <v>39526</v>
      </c>
      <c r="C1040" t="s">
        <v>4</v>
      </c>
      <c r="D1040" t="s">
        <v>3300</v>
      </c>
      <c r="F1040"/>
      <c r="G1040"/>
      <c r="H1040">
        <v>4</v>
      </c>
    </row>
    <row r="1041" spans="1:8" x14ac:dyDescent="0.2">
      <c r="A1041" t="s">
        <v>1769</v>
      </c>
      <c r="B1041" s="44">
        <v>39533</v>
      </c>
      <c r="C1041" t="s">
        <v>4</v>
      </c>
      <c r="D1041" t="s">
        <v>3265</v>
      </c>
      <c r="F1041"/>
      <c r="G1041"/>
      <c r="H1041">
        <v>4</v>
      </c>
    </row>
    <row r="1042" spans="1:8" x14ac:dyDescent="0.2">
      <c r="A1042" t="s">
        <v>1807</v>
      </c>
      <c r="B1042" s="44">
        <v>39538</v>
      </c>
      <c r="C1042" t="s">
        <v>4</v>
      </c>
      <c r="D1042" t="s">
        <v>3288</v>
      </c>
      <c r="F1042"/>
      <c r="G1042"/>
      <c r="H1042">
        <v>4</v>
      </c>
    </row>
    <row r="1043" spans="1:8" x14ac:dyDescent="0.2">
      <c r="A1043" t="s">
        <v>1908</v>
      </c>
      <c r="B1043" s="44">
        <v>39567</v>
      </c>
      <c r="C1043" t="s">
        <v>4</v>
      </c>
      <c r="D1043" t="s">
        <v>3364</v>
      </c>
      <c r="F1043"/>
      <c r="G1043"/>
      <c r="H1043">
        <v>4</v>
      </c>
    </row>
    <row r="1044" spans="1:8" x14ac:dyDescent="0.2">
      <c r="A1044" t="s">
        <v>1931</v>
      </c>
      <c r="B1044" s="44">
        <v>39582</v>
      </c>
      <c r="C1044" t="s">
        <v>4</v>
      </c>
      <c r="D1044" t="s">
        <v>3356</v>
      </c>
      <c r="F1044"/>
      <c r="G1044"/>
      <c r="H1044">
        <v>4</v>
      </c>
    </row>
    <row r="1045" spans="1:8" x14ac:dyDescent="0.2">
      <c r="A1045" t="s">
        <v>636</v>
      </c>
      <c r="B1045" s="44">
        <v>39609</v>
      </c>
      <c r="C1045" t="s">
        <v>4</v>
      </c>
      <c r="D1045" t="s">
        <v>3266</v>
      </c>
      <c r="F1045"/>
      <c r="G1045"/>
      <c r="H1045">
        <v>4</v>
      </c>
    </row>
    <row r="1046" spans="1:8" x14ac:dyDescent="0.2">
      <c r="A1046" t="s">
        <v>2155</v>
      </c>
      <c r="B1046" s="44">
        <v>39617</v>
      </c>
      <c r="C1046" t="s">
        <v>4</v>
      </c>
      <c r="D1046" t="s">
        <v>3365</v>
      </c>
      <c r="F1046"/>
      <c r="G1046"/>
      <c r="H1046">
        <v>4</v>
      </c>
    </row>
    <row r="1047" spans="1:8" x14ac:dyDescent="0.2">
      <c r="A1047" t="s">
        <v>2252</v>
      </c>
      <c r="B1047" s="44">
        <v>39625</v>
      </c>
      <c r="C1047" t="s">
        <v>4</v>
      </c>
      <c r="D1047" t="s">
        <v>3301</v>
      </c>
      <c r="F1047"/>
      <c r="G1047"/>
      <c r="H1047">
        <v>4</v>
      </c>
    </row>
    <row r="1048" spans="1:8" x14ac:dyDescent="0.2">
      <c r="A1048" t="s">
        <v>2376</v>
      </c>
      <c r="B1048" s="44">
        <v>39651</v>
      </c>
      <c r="C1048" t="s">
        <v>4</v>
      </c>
      <c r="D1048" t="s">
        <v>3302</v>
      </c>
      <c r="F1048"/>
      <c r="G1048"/>
      <c r="H1048">
        <v>4</v>
      </c>
    </row>
    <row r="1049" spans="1:8" x14ac:dyDescent="0.2">
      <c r="A1049" t="s">
        <v>2417</v>
      </c>
      <c r="B1049" s="44">
        <v>39673</v>
      </c>
      <c r="C1049" t="s">
        <v>4</v>
      </c>
      <c r="D1049" t="s">
        <v>3356</v>
      </c>
      <c r="F1049"/>
      <c r="G1049"/>
      <c r="H1049">
        <v>4</v>
      </c>
    </row>
    <row r="1050" spans="1:8" x14ac:dyDescent="0.2">
      <c r="A1050" t="s">
        <v>645</v>
      </c>
      <c r="B1050" s="44">
        <v>39702</v>
      </c>
      <c r="C1050" t="s">
        <v>4</v>
      </c>
      <c r="D1050" t="s">
        <v>3304</v>
      </c>
      <c r="F1050"/>
      <c r="G1050"/>
      <c r="H1050">
        <v>4</v>
      </c>
    </row>
    <row r="1051" spans="1:8" x14ac:dyDescent="0.2">
      <c r="A1051" t="s">
        <v>2731</v>
      </c>
      <c r="B1051" s="44">
        <v>39742</v>
      </c>
      <c r="C1051" t="s">
        <v>4</v>
      </c>
      <c r="D1051" t="s">
        <v>3305</v>
      </c>
      <c r="F1051"/>
      <c r="G1051"/>
      <c r="H1051">
        <v>4</v>
      </c>
    </row>
    <row r="1052" spans="1:8" x14ac:dyDescent="0.2">
      <c r="A1052" t="s">
        <v>600</v>
      </c>
      <c r="B1052" s="44">
        <v>39755</v>
      </c>
      <c r="C1052" t="s">
        <v>4</v>
      </c>
      <c r="D1052" t="s">
        <v>3370</v>
      </c>
      <c r="F1052"/>
      <c r="G1052"/>
      <c r="H1052">
        <v>4</v>
      </c>
    </row>
    <row r="1053" spans="1:8" x14ac:dyDescent="0.2">
      <c r="A1053" t="s">
        <v>655</v>
      </c>
      <c r="B1053" s="44">
        <v>39764</v>
      </c>
      <c r="C1053" t="s">
        <v>4</v>
      </c>
      <c r="D1053" t="s">
        <v>3356</v>
      </c>
      <c r="F1053"/>
      <c r="G1053"/>
      <c r="H1053">
        <v>4</v>
      </c>
    </row>
    <row r="1054" spans="1:8" x14ac:dyDescent="0.2">
      <c r="A1054" t="s">
        <v>2980</v>
      </c>
      <c r="B1054" s="44">
        <v>39777</v>
      </c>
      <c r="C1054" t="s">
        <v>4</v>
      </c>
      <c r="D1054" t="s">
        <v>3306</v>
      </c>
      <c r="F1054"/>
      <c r="G1054"/>
      <c r="H1054">
        <v>4</v>
      </c>
    </row>
    <row r="1055" spans="1:8" x14ac:dyDescent="0.2">
      <c r="A1055" t="s">
        <v>2980</v>
      </c>
      <c r="B1055" s="44">
        <v>39777</v>
      </c>
      <c r="C1055" t="s">
        <v>4</v>
      </c>
      <c r="D1055" t="s">
        <v>3307</v>
      </c>
      <c r="F1055"/>
      <c r="G1055"/>
      <c r="H1055">
        <v>4</v>
      </c>
    </row>
    <row r="1056" spans="1:8" x14ac:dyDescent="0.2">
      <c r="A1056" t="s">
        <v>1386</v>
      </c>
      <c r="B1056" s="44">
        <v>39833</v>
      </c>
      <c r="C1056" t="s">
        <v>4</v>
      </c>
      <c r="D1056" t="s">
        <v>3308</v>
      </c>
      <c r="F1056"/>
      <c r="G1056"/>
      <c r="H1056">
        <v>4</v>
      </c>
    </row>
    <row r="1057" spans="1:8" x14ac:dyDescent="0.2">
      <c r="A1057" t="s">
        <v>1387</v>
      </c>
      <c r="B1057" s="44">
        <v>39833</v>
      </c>
      <c r="C1057" t="s">
        <v>4</v>
      </c>
      <c r="D1057" t="s">
        <v>3353</v>
      </c>
      <c r="F1057"/>
      <c r="G1057"/>
      <c r="H1057">
        <v>4</v>
      </c>
    </row>
    <row r="1058" spans="1:8" x14ac:dyDescent="0.2">
      <c r="A1058" t="s">
        <v>1628</v>
      </c>
      <c r="B1058" s="44">
        <v>39870</v>
      </c>
      <c r="C1058" t="s">
        <v>4</v>
      </c>
      <c r="D1058" t="s">
        <v>3267</v>
      </c>
      <c r="F1058"/>
      <c r="G1058"/>
      <c r="H1058">
        <v>4</v>
      </c>
    </row>
    <row r="1059" spans="1:8" x14ac:dyDescent="0.2">
      <c r="A1059" t="s">
        <v>1628</v>
      </c>
      <c r="B1059" s="44">
        <v>39870</v>
      </c>
      <c r="C1059" t="s">
        <v>4</v>
      </c>
      <c r="D1059" t="s">
        <v>3309</v>
      </c>
      <c r="F1059"/>
      <c r="G1059"/>
      <c r="H1059">
        <v>4</v>
      </c>
    </row>
    <row r="1060" spans="1:8" x14ac:dyDescent="0.2">
      <c r="A1060" t="s">
        <v>1691</v>
      </c>
      <c r="B1060" s="44">
        <v>39889</v>
      </c>
      <c r="C1060" t="s">
        <v>4</v>
      </c>
      <c r="D1060" t="s">
        <v>3351</v>
      </c>
      <c r="F1060"/>
      <c r="G1060"/>
      <c r="H1060">
        <v>4</v>
      </c>
    </row>
    <row r="1061" spans="1:8" x14ac:dyDescent="0.2">
      <c r="A1061" t="s">
        <v>1754</v>
      </c>
      <c r="B1061" s="44">
        <v>39896</v>
      </c>
      <c r="C1061" t="s">
        <v>4</v>
      </c>
      <c r="D1061" t="s">
        <v>3309</v>
      </c>
      <c r="F1061"/>
      <c r="G1061"/>
      <c r="H1061">
        <v>4</v>
      </c>
    </row>
    <row r="1062" spans="1:8" x14ac:dyDescent="0.2">
      <c r="A1062" t="s">
        <v>1755</v>
      </c>
      <c r="B1062" s="44">
        <v>39896</v>
      </c>
      <c r="C1062" t="s">
        <v>4</v>
      </c>
      <c r="D1062" t="s">
        <v>3310</v>
      </c>
      <c r="F1062"/>
      <c r="G1062"/>
      <c r="H1062">
        <v>4</v>
      </c>
    </row>
    <row r="1063" spans="1:8" x14ac:dyDescent="0.2">
      <c r="A1063" t="s">
        <v>1756</v>
      </c>
      <c r="B1063" s="44">
        <v>39896</v>
      </c>
      <c r="C1063" t="s">
        <v>4</v>
      </c>
      <c r="D1063" t="s">
        <v>3268</v>
      </c>
      <c r="F1063"/>
      <c r="G1063"/>
      <c r="H1063">
        <v>4</v>
      </c>
    </row>
    <row r="1064" spans="1:8" x14ac:dyDescent="0.2">
      <c r="A1064" t="s">
        <v>2134</v>
      </c>
      <c r="B1064" s="44">
        <v>39981</v>
      </c>
      <c r="C1064" t="s">
        <v>4</v>
      </c>
      <c r="D1064" t="s">
        <v>3311</v>
      </c>
      <c r="F1064"/>
      <c r="G1064"/>
      <c r="H1064">
        <v>4</v>
      </c>
    </row>
    <row r="1065" spans="1:8" x14ac:dyDescent="0.2">
      <c r="A1065" t="s">
        <v>2135</v>
      </c>
      <c r="B1065" s="44">
        <v>39981</v>
      </c>
      <c r="C1065" t="s">
        <v>4</v>
      </c>
      <c r="D1065" t="s">
        <v>3351</v>
      </c>
      <c r="F1065"/>
      <c r="G1065"/>
      <c r="H1065">
        <v>4</v>
      </c>
    </row>
    <row r="1066" spans="1:8" x14ac:dyDescent="0.2">
      <c r="A1066" t="s">
        <v>2235</v>
      </c>
      <c r="B1066" s="44">
        <v>39988</v>
      </c>
      <c r="C1066" t="s">
        <v>4</v>
      </c>
      <c r="D1066" t="s">
        <v>3269</v>
      </c>
      <c r="F1066"/>
      <c r="G1066"/>
      <c r="H1066">
        <v>4</v>
      </c>
    </row>
    <row r="1067" spans="1:8" x14ac:dyDescent="0.2">
      <c r="A1067" t="s">
        <v>2236</v>
      </c>
      <c r="B1067" s="44">
        <v>39988</v>
      </c>
      <c r="C1067" t="s">
        <v>4</v>
      </c>
      <c r="D1067" t="s">
        <v>3270</v>
      </c>
      <c r="F1067"/>
      <c r="G1067"/>
      <c r="H1067">
        <v>4</v>
      </c>
    </row>
    <row r="1068" spans="1:8" x14ac:dyDescent="0.2">
      <c r="A1068" t="s">
        <v>681</v>
      </c>
      <c r="B1068" s="44">
        <v>40002</v>
      </c>
      <c r="C1068" t="s">
        <v>4</v>
      </c>
      <c r="D1068" t="s">
        <v>3311</v>
      </c>
      <c r="F1068"/>
      <c r="G1068"/>
      <c r="H1068">
        <v>4</v>
      </c>
    </row>
    <row r="1069" spans="1:8" x14ac:dyDescent="0.2">
      <c r="A1069" t="s">
        <v>682</v>
      </c>
      <c r="B1069" s="44">
        <v>40064</v>
      </c>
      <c r="C1069" t="s">
        <v>4</v>
      </c>
      <c r="D1069" t="s">
        <v>3311</v>
      </c>
      <c r="F1069"/>
      <c r="G1069"/>
      <c r="H1069">
        <v>4</v>
      </c>
    </row>
    <row r="1070" spans="1:8" x14ac:dyDescent="0.2">
      <c r="A1070" t="s">
        <v>2492</v>
      </c>
      <c r="B1070" s="44">
        <v>40071</v>
      </c>
      <c r="C1070" t="s">
        <v>4</v>
      </c>
      <c r="D1070" t="s">
        <v>3312</v>
      </c>
      <c r="F1070"/>
      <c r="G1070"/>
      <c r="H1070">
        <v>4</v>
      </c>
    </row>
    <row r="1071" spans="1:8" x14ac:dyDescent="0.2">
      <c r="A1071" t="s">
        <v>2492</v>
      </c>
      <c r="B1071" s="44">
        <v>40071</v>
      </c>
      <c r="C1071" t="s">
        <v>4</v>
      </c>
      <c r="D1071" t="s">
        <v>3307</v>
      </c>
      <c r="F1071"/>
      <c r="G1071"/>
      <c r="H1071">
        <v>4</v>
      </c>
    </row>
    <row r="1072" spans="1:8" x14ac:dyDescent="0.2">
      <c r="A1072" t="s">
        <v>2722</v>
      </c>
      <c r="B1072" s="44">
        <v>40106</v>
      </c>
      <c r="C1072" t="s">
        <v>4</v>
      </c>
      <c r="D1072" t="s">
        <v>3351</v>
      </c>
      <c r="F1072"/>
      <c r="G1072"/>
      <c r="H1072">
        <v>4</v>
      </c>
    </row>
    <row r="1073" spans="1:8" x14ac:dyDescent="0.2">
      <c r="A1073" t="s">
        <v>2969</v>
      </c>
      <c r="B1073" s="44">
        <v>40141</v>
      </c>
      <c r="C1073" t="s">
        <v>4</v>
      </c>
      <c r="D1073" t="s">
        <v>3271</v>
      </c>
      <c r="F1073"/>
      <c r="G1073"/>
      <c r="H1073">
        <v>4</v>
      </c>
    </row>
    <row r="1074" spans="1:8" x14ac:dyDescent="0.2">
      <c r="A1074" t="s">
        <v>2969</v>
      </c>
      <c r="B1074" s="44">
        <v>40141</v>
      </c>
      <c r="C1074" t="s">
        <v>4</v>
      </c>
      <c r="D1074" t="s">
        <v>3307</v>
      </c>
      <c r="F1074"/>
      <c r="G1074"/>
      <c r="H1074">
        <v>4</v>
      </c>
    </row>
    <row r="1075" spans="1:8" x14ac:dyDescent="0.2">
      <c r="A1075" t="s">
        <v>2970</v>
      </c>
      <c r="B1075" s="44">
        <v>40141</v>
      </c>
      <c r="C1075" t="s">
        <v>4</v>
      </c>
      <c r="D1075" t="s">
        <v>3272</v>
      </c>
      <c r="F1075"/>
      <c r="G1075"/>
      <c r="H1075">
        <v>4</v>
      </c>
    </row>
    <row r="1076" spans="1:8" x14ac:dyDescent="0.2">
      <c r="A1076" t="s">
        <v>1380</v>
      </c>
      <c r="B1076" s="44">
        <v>40197</v>
      </c>
      <c r="C1076" t="s">
        <v>4</v>
      </c>
      <c r="D1076" t="s">
        <v>3273</v>
      </c>
      <c r="F1076"/>
      <c r="G1076"/>
      <c r="H1076">
        <v>4</v>
      </c>
    </row>
    <row r="1077" spans="1:8" x14ac:dyDescent="0.2">
      <c r="A1077" t="s">
        <v>1459</v>
      </c>
      <c r="B1077" s="44">
        <v>40204</v>
      </c>
      <c r="C1077" t="s">
        <v>4</v>
      </c>
      <c r="D1077" t="s">
        <v>3313</v>
      </c>
      <c r="F1077"/>
      <c r="G1077"/>
      <c r="H1077">
        <v>4</v>
      </c>
    </row>
    <row r="1078" spans="1:8" x14ac:dyDescent="0.2">
      <c r="A1078" t="s">
        <v>1586</v>
      </c>
      <c r="B1078" s="44">
        <v>40232</v>
      </c>
      <c r="C1078" t="s">
        <v>4</v>
      </c>
      <c r="D1078" t="s">
        <v>3307</v>
      </c>
      <c r="F1078"/>
      <c r="G1078"/>
      <c r="H1078">
        <v>4</v>
      </c>
    </row>
    <row r="1079" spans="1:8" x14ac:dyDescent="0.2">
      <c r="A1079" t="s">
        <v>1607</v>
      </c>
      <c r="B1079" s="44">
        <v>40234</v>
      </c>
      <c r="C1079" t="s">
        <v>4</v>
      </c>
      <c r="D1079" t="s">
        <v>3314</v>
      </c>
      <c r="F1079"/>
      <c r="G1079"/>
      <c r="H1079">
        <v>4</v>
      </c>
    </row>
    <row r="1080" spans="1:8" x14ac:dyDescent="0.2">
      <c r="A1080" t="s">
        <v>1607</v>
      </c>
      <c r="B1080" s="44">
        <v>40234</v>
      </c>
      <c r="C1080" t="s">
        <v>4</v>
      </c>
      <c r="D1080" t="s">
        <v>3307</v>
      </c>
      <c r="F1080"/>
      <c r="G1080"/>
      <c r="H1080">
        <v>4</v>
      </c>
    </row>
    <row r="1081" spans="1:8" x14ac:dyDescent="0.2">
      <c r="A1081" t="s">
        <v>1608</v>
      </c>
      <c r="B1081" s="44">
        <v>40234</v>
      </c>
      <c r="C1081" t="s">
        <v>4</v>
      </c>
      <c r="D1081" t="s">
        <v>3307</v>
      </c>
      <c r="F1081"/>
      <c r="G1081"/>
      <c r="H1081">
        <v>4</v>
      </c>
    </row>
    <row r="1082" spans="1:8" x14ac:dyDescent="0.2">
      <c r="A1082" t="s">
        <v>1739</v>
      </c>
      <c r="B1082" s="44">
        <v>40259</v>
      </c>
      <c r="C1082" t="s">
        <v>4</v>
      </c>
      <c r="D1082" t="s">
        <v>3366</v>
      </c>
      <c r="F1082"/>
      <c r="G1082"/>
      <c r="H1082">
        <v>4</v>
      </c>
    </row>
    <row r="1083" spans="1:8" x14ac:dyDescent="0.2">
      <c r="A1083" t="s">
        <v>2121</v>
      </c>
      <c r="B1083" s="44">
        <v>40345</v>
      </c>
      <c r="C1083" t="s">
        <v>4</v>
      </c>
      <c r="D1083" t="s">
        <v>3289</v>
      </c>
      <c r="F1083"/>
      <c r="G1083"/>
      <c r="H1083">
        <v>4</v>
      </c>
    </row>
    <row r="1084" spans="1:8" x14ac:dyDescent="0.2">
      <c r="A1084" t="s">
        <v>2405</v>
      </c>
      <c r="B1084" s="44">
        <v>40387</v>
      </c>
      <c r="C1084" t="s">
        <v>4</v>
      </c>
      <c r="D1084" t="s">
        <v>3315</v>
      </c>
      <c r="F1084"/>
      <c r="G1084"/>
      <c r="H1084">
        <v>4</v>
      </c>
    </row>
    <row r="1085" spans="1:8" x14ac:dyDescent="0.2">
      <c r="A1085" t="s">
        <v>2406</v>
      </c>
      <c r="B1085" s="44">
        <v>40387</v>
      </c>
      <c r="C1085" t="s">
        <v>4</v>
      </c>
      <c r="D1085" t="s">
        <v>3316</v>
      </c>
      <c r="F1085"/>
      <c r="G1085"/>
      <c r="H1085">
        <v>4</v>
      </c>
    </row>
    <row r="1086" spans="1:8" x14ac:dyDescent="0.2">
      <c r="A1086" t="s">
        <v>2493</v>
      </c>
      <c r="B1086" s="44">
        <v>40436</v>
      </c>
      <c r="C1086" t="s">
        <v>4</v>
      </c>
      <c r="D1086" t="s">
        <v>3258</v>
      </c>
      <c r="F1086"/>
      <c r="G1086"/>
      <c r="H1086">
        <v>4</v>
      </c>
    </row>
    <row r="1087" spans="1:8" x14ac:dyDescent="0.2">
      <c r="A1087" t="s">
        <v>738</v>
      </c>
      <c r="B1087" s="44">
        <v>40462</v>
      </c>
      <c r="C1087" t="s">
        <v>4</v>
      </c>
      <c r="D1087" t="s">
        <v>3317</v>
      </c>
      <c r="F1087"/>
      <c r="G1087"/>
      <c r="H1087">
        <v>4</v>
      </c>
    </row>
    <row r="1088" spans="1:8" x14ac:dyDescent="0.2">
      <c r="A1088" t="s">
        <v>2707</v>
      </c>
      <c r="B1088" s="44">
        <v>40470</v>
      </c>
      <c r="C1088" t="s">
        <v>4</v>
      </c>
      <c r="D1088" t="s">
        <v>3362</v>
      </c>
      <c r="F1088"/>
      <c r="G1088"/>
      <c r="H1088">
        <v>4</v>
      </c>
    </row>
    <row r="1089" spans="1:9" x14ac:dyDescent="0.2">
      <c r="A1089" t="s">
        <v>2778</v>
      </c>
      <c r="B1089" s="44">
        <v>40476</v>
      </c>
      <c r="C1089" t="s">
        <v>4</v>
      </c>
      <c r="D1089" t="s">
        <v>3318</v>
      </c>
      <c r="F1089"/>
      <c r="G1089"/>
      <c r="H1089">
        <v>4</v>
      </c>
    </row>
    <row r="1090" spans="1:9" x14ac:dyDescent="0.2">
      <c r="A1090" t="s">
        <v>2878</v>
      </c>
      <c r="B1090" s="44">
        <v>40498</v>
      </c>
      <c r="C1090" t="s">
        <v>4</v>
      </c>
      <c r="D1090" t="s">
        <v>3319</v>
      </c>
      <c r="F1090"/>
      <c r="G1090"/>
      <c r="H1090">
        <v>4</v>
      </c>
    </row>
    <row r="1091" spans="1:9" x14ac:dyDescent="0.2">
      <c r="A1091" t="s">
        <v>2981</v>
      </c>
      <c r="B1091" s="44">
        <v>40507</v>
      </c>
      <c r="C1091" t="s">
        <v>4</v>
      </c>
      <c r="D1091" t="s">
        <v>3347</v>
      </c>
      <c r="F1091"/>
      <c r="G1091"/>
      <c r="H1091">
        <v>4</v>
      </c>
    </row>
    <row r="1092" spans="1:9" x14ac:dyDescent="0.2">
      <c r="A1092" t="s">
        <v>2981</v>
      </c>
      <c r="B1092" s="44">
        <v>40507</v>
      </c>
      <c r="C1092" t="s">
        <v>4</v>
      </c>
      <c r="D1092" t="s">
        <v>3307</v>
      </c>
      <c r="F1092"/>
      <c r="G1092"/>
      <c r="H1092">
        <v>4</v>
      </c>
    </row>
    <row r="1093" spans="1:9" x14ac:dyDescent="0.2">
      <c r="A1093" t="s">
        <v>1391</v>
      </c>
      <c r="B1093" s="44">
        <v>40563</v>
      </c>
      <c r="C1093" t="s">
        <v>5834</v>
      </c>
      <c r="D1093" t="s">
        <v>3320</v>
      </c>
      <c r="F1093"/>
      <c r="G1093"/>
      <c r="H1093">
        <v>4</v>
      </c>
    </row>
    <row r="1094" spans="1:9" x14ac:dyDescent="0.2">
      <c r="A1094" t="s">
        <v>1453</v>
      </c>
      <c r="B1094" s="44">
        <v>40568</v>
      </c>
      <c r="C1094" t="s">
        <v>4</v>
      </c>
      <c r="D1094" t="s">
        <v>3371</v>
      </c>
      <c r="F1094"/>
      <c r="G1094"/>
      <c r="H1094">
        <v>4</v>
      </c>
    </row>
    <row r="1095" spans="1:9" x14ac:dyDescent="0.2">
      <c r="A1095" t="s">
        <v>744</v>
      </c>
      <c r="B1095" s="44">
        <v>40603</v>
      </c>
      <c r="C1095" t="s">
        <v>4</v>
      </c>
      <c r="D1095" t="s">
        <v>3321</v>
      </c>
      <c r="F1095"/>
      <c r="G1095"/>
      <c r="H1095">
        <v>4</v>
      </c>
    </row>
    <row r="1096" spans="1:9" x14ac:dyDescent="0.2">
      <c r="A1096" t="s">
        <v>745</v>
      </c>
      <c r="B1096" s="44">
        <v>40603</v>
      </c>
      <c r="C1096" t="s">
        <v>4</v>
      </c>
      <c r="D1096" t="s">
        <v>3322</v>
      </c>
      <c r="F1096"/>
      <c r="G1096"/>
      <c r="H1096">
        <v>4</v>
      </c>
    </row>
    <row r="1097" spans="1:9" x14ac:dyDescent="0.2">
      <c r="A1097" t="s">
        <v>761</v>
      </c>
      <c r="B1097" s="44">
        <v>40669</v>
      </c>
      <c r="C1097" t="s">
        <v>4</v>
      </c>
      <c r="D1097" t="s">
        <v>3323</v>
      </c>
      <c r="F1097"/>
      <c r="G1097"/>
      <c r="H1097">
        <v>4</v>
      </c>
    </row>
    <row r="1098" spans="1:9" x14ac:dyDescent="0.2">
      <c r="A1098" t="s">
        <v>2109</v>
      </c>
      <c r="B1098" s="44">
        <v>40709</v>
      </c>
      <c r="C1098" t="s">
        <v>4</v>
      </c>
      <c r="D1098" t="s">
        <v>3324</v>
      </c>
      <c r="F1098"/>
      <c r="G1098"/>
      <c r="H1098">
        <v>4</v>
      </c>
      <c r="I1098" t="s">
        <v>4492</v>
      </c>
    </row>
    <row r="1099" spans="1:9" x14ac:dyDescent="0.2">
      <c r="A1099" t="s">
        <v>2218</v>
      </c>
      <c r="B1099" s="44">
        <v>40716</v>
      </c>
      <c r="C1099" t="s">
        <v>5834</v>
      </c>
      <c r="D1099" t="s">
        <v>3373</v>
      </c>
      <c r="F1099"/>
      <c r="G1099"/>
      <c r="H1099">
        <v>4</v>
      </c>
    </row>
    <row r="1100" spans="1:9" x14ac:dyDescent="0.2">
      <c r="A1100" t="s">
        <v>2238</v>
      </c>
      <c r="B1100" s="44">
        <v>40718</v>
      </c>
      <c r="C1100" t="s">
        <v>4</v>
      </c>
      <c r="D1100" t="s">
        <v>3325</v>
      </c>
      <c r="F1100"/>
      <c r="G1100"/>
      <c r="H1100">
        <v>4</v>
      </c>
    </row>
    <row r="1101" spans="1:9" x14ac:dyDescent="0.2">
      <c r="A1101" t="s">
        <v>2274</v>
      </c>
      <c r="B1101" s="44">
        <v>40722</v>
      </c>
      <c r="C1101" t="s">
        <v>4</v>
      </c>
      <c r="D1101" t="s">
        <v>3326</v>
      </c>
      <c r="F1101"/>
      <c r="G1101"/>
      <c r="H1101">
        <v>4</v>
      </c>
    </row>
    <row r="1102" spans="1:9" x14ac:dyDescent="0.2">
      <c r="A1102" t="s">
        <v>2275</v>
      </c>
      <c r="B1102" s="44">
        <v>40722</v>
      </c>
      <c r="C1102" t="s">
        <v>4</v>
      </c>
      <c r="D1102" t="s">
        <v>3327</v>
      </c>
      <c r="F1102"/>
      <c r="G1102"/>
      <c r="H1102">
        <v>4</v>
      </c>
    </row>
    <row r="1103" spans="1:9" x14ac:dyDescent="0.2">
      <c r="A1103" t="s">
        <v>2696</v>
      </c>
      <c r="B1103" s="44">
        <v>40834</v>
      </c>
      <c r="C1103" t="s">
        <v>4</v>
      </c>
      <c r="D1103" t="s">
        <v>3274</v>
      </c>
      <c r="F1103"/>
      <c r="G1103"/>
      <c r="H1103">
        <v>4</v>
      </c>
    </row>
    <row r="1104" spans="1:9" x14ac:dyDescent="0.2">
      <c r="A1104" t="s">
        <v>2779</v>
      </c>
      <c r="B1104" s="44">
        <v>40841</v>
      </c>
      <c r="C1104" t="s">
        <v>4</v>
      </c>
      <c r="D1104" t="s">
        <v>3374</v>
      </c>
      <c r="F1104"/>
      <c r="G1104"/>
      <c r="H1104">
        <v>4</v>
      </c>
    </row>
    <row r="1105" spans="1:8" x14ac:dyDescent="0.2">
      <c r="A1105" t="s">
        <v>2779</v>
      </c>
      <c r="B1105" s="44">
        <v>40841</v>
      </c>
      <c r="C1105" t="s">
        <v>4</v>
      </c>
      <c r="D1105" t="s">
        <v>3328</v>
      </c>
      <c r="F1105"/>
      <c r="G1105"/>
      <c r="H1105">
        <v>4</v>
      </c>
    </row>
    <row r="1106" spans="1:8" x14ac:dyDescent="0.2">
      <c r="A1106" t="s">
        <v>753</v>
      </c>
      <c r="B1106" s="44">
        <v>40850</v>
      </c>
      <c r="C1106" t="s">
        <v>4</v>
      </c>
      <c r="D1106" t="s">
        <v>3329</v>
      </c>
      <c r="F1106"/>
      <c r="G1106"/>
      <c r="H1106">
        <v>4</v>
      </c>
    </row>
    <row r="1107" spans="1:8" x14ac:dyDescent="0.2">
      <c r="A1107" t="s">
        <v>3002</v>
      </c>
      <c r="B1107" s="44">
        <v>40875</v>
      </c>
      <c r="C1107" t="s">
        <v>4</v>
      </c>
      <c r="D1107" t="s">
        <v>3330</v>
      </c>
      <c r="F1107"/>
      <c r="G1107"/>
      <c r="H1107">
        <v>4</v>
      </c>
    </row>
    <row r="1108" spans="1:8" x14ac:dyDescent="0.2">
      <c r="A1108" t="s">
        <v>3002</v>
      </c>
      <c r="B1108" s="44">
        <v>40875</v>
      </c>
      <c r="C1108" t="s">
        <v>4</v>
      </c>
      <c r="D1108" t="s">
        <v>3331</v>
      </c>
      <c r="F1108"/>
      <c r="G1108"/>
      <c r="H1108">
        <v>4</v>
      </c>
    </row>
    <row r="1109" spans="1:8" x14ac:dyDescent="0.2">
      <c r="A1109" t="s">
        <v>3050</v>
      </c>
      <c r="B1109" s="44">
        <v>40893</v>
      </c>
      <c r="C1109" t="s">
        <v>4</v>
      </c>
      <c r="D1109" t="s">
        <v>3363</v>
      </c>
      <c r="F1109"/>
      <c r="G1109"/>
      <c r="H1109">
        <v>4</v>
      </c>
    </row>
    <row r="1110" spans="1:8" x14ac:dyDescent="0.2">
      <c r="A1110" t="s">
        <v>3048</v>
      </c>
      <c r="B1110" s="44">
        <v>40893</v>
      </c>
      <c r="C1110" t="s">
        <v>3049</v>
      </c>
      <c r="D1110" t="s">
        <v>4486</v>
      </c>
      <c r="F1110"/>
      <c r="G1110"/>
      <c r="H1110">
        <v>4</v>
      </c>
    </row>
    <row r="1111" spans="1:8" x14ac:dyDescent="0.2">
      <c r="A1111" t="s">
        <v>3098</v>
      </c>
      <c r="B1111" s="44">
        <v>40899</v>
      </c>
      <c r="C1111" t="s">
        <v>5834</v>
      </c>
      <c r="D1111" t="s">
        <v>3375</v>
      </c>
      <c r="F1111"/>
      <c r="G1111"/>
      <c r="H1111">
        <v>4</v>
      </c>
    </row>
    <row r="1112" spans="1:8" x14ac:dyDescent="0.2">
      <c r="A1112" t="s">
        <v>1365</v>
      </c>
      <c r="B1112" s="44">
        <v>40925</v>
      </c>
      <c r="C1112" t="s">
        <v>4</v>
      </c>
      <c r="D1112" t="s">
        <v>3332</v>
      </c>
      <c r="F1112"/>
      <c r="G1112"/>
      <c r="H1112">
        <v>4</v>
      </c>
    </row>
    <row r="1113" spans="1:8" x14ac:dyDescent="0.2">
      <c r="A1113" t="s">
        <v>1439</v>
      </c>
      <c r="B1113" s="44">
        <v>40932</v>
      </c>
      <c r="C1113" t="s">
        <v>4</v>
      </c>
      <c r="D1113" t="s">
        <v>3367</v>
      </c>
      <c r="F1113"/>
      <c r="G1113"/>
      <c r="H1113">
        <v>4</v>
      </c>
    </row>
    <row r="1114" spans="1:8" x14ac:dyDescent="0.2">
      <c r="A1114" t="s">
        <v>1512</v>
      </c>
      <c r="B1114" s="44">
        <v>40954</v>
      </c>
      <c r="C1114" t="s">
        <v>4</v>
      </c>
      <c r="D1114" t="s">
        <v>3333</v>
      </c>
      <c r="F1114"/>
      <c r="G1114"/>
      <c r="H1114">
        <v>4</v>
      </c>
    </row>
    <row r="1115" spans="1:8" x14ac:dyDescent="0.2">
      <c r="A1115" t="s">
        <v>1760</v>
      </c>
      <c r="B1115" s="44">
        <v>40992</v>
      </c>
      <c r="C1115" t="s">
        <v>4</v>
      </c>
      <c r="D1115" t="s">
        <v>3275</v>
      </c>
      <c r="F1115"/>
      <c r="G1115"/>
      <c r="H1115">
        <v>4</v>
      </c>
    </row>
    <row r="1116" spans="1:8" x14ac:dyDescent="0.2">
      <c r="A1116" t="s">
        <v>1784</v>
      </c>
      <c r="B1116" s="44">
        <v>40995</v>
      </c>
      <c r="C1116" t="s">
        <v>4</v>
      </c>
      <c r="D1116" t="s">
        <v>3376</v>
      </c>
      <c r="F1116"/>
      <c r="G1116"/>
      <c r="H1116">
        <v>4</v>
      </c>
    </row>
    <row r="1117" spans="1:8" x14ac:dyDescent="0.2">
      <c r="A1117" t="s">
        <v>2101</v>
      </c>
      <c r="B1117" s="44">
        <v>41074</v>
      </c>
      <c r="C1117" t="s">
        <v>4</v>
      </c>
      <c r="D1117" t="s">
        <v>3290</v>
      </c>
      <c r="F1117"/>
      <c r="G1117"/>
      <c r="H1117">
        <v>4</v>
      </c>
    </row>
    <row r="1118" spans="1:8" x14ac:dyDescent="0.2">
      <c r="A1118" t="s">
        <v>2334</v>
      </c>
      <c r="B1118" s="44">
        <v>41107</v>
      </c>
      <c r="C1118" t="s">
        <v>4</v>
      </c>
      <c r="D1118" t="s">
        <v>3377</v>
      </c>
      <c r="F1118"/>
      <c r="G1118"/>
      <c r="H1118">
        <v>4</v>
      </c>
    </row>
    <row r="1119" spans="1:8" x14ac:dyDescent="0.2">
      <c r="A1119" t="s">
        <v>2334</v>
      </c>
      <c r="B1119" s="44">
        <v>41107</v>
      </c>
      <c r="C1119" t="s">
        <v>4</v>
      </c>
      <c r="D1119" t="s">
        <v>3335</v>
      </c>
      <c r="F1119"/>
      <c r="G1119"/>
      <c r="H1119">
        <v>4</v>
      </c>
    </row>
    <row r="1120" spans="1:8" x14ac:dyDescent="0.2">
      <c r="A1120" t="s">
        <v>821</v>
      </c>
      <c r="B1120" s="44">
        <v>41129</v>
      </c>
      <c r="C1120" t="s">
        <v>4</v>
      </c>
      <c r="D1120" t="s">
        <v>3368</v>
      </c>
      <c r="F1120"/>
      <c r="G1120"/>
      <c r="H1120">
        <v>4</v>
      </c>
    </row>
    <row r="1121" spans="1:9" x14ac:dyDescent="0.2">
      <c r="A1121" t="s">
        <v>827</v>
      </c>
      <c r="B1121" s="44">
        <v>41191</v>
      </c>
      <c r="C1121" t="s">
        <v>4</v>
      </c>
      <c r="D1121" t="s">
        <v>3291</v>
      </c>
      <c r="F1121"/>
      <c r="G1121"/>
      <c r="H1121">
        <v>4</v>
      </c>
    </row>
    <row r="1122" spans="1:9" x14ac:dyDescent="0.2">
      <c r="A1122" t="s">
        <v>2757</v>
      </c>
      <c r="B1122" s="44">
        <v>41205</v>
      </c>
      <c r="C1122" t="s">
        <v>4</v>
      </c>
      <c r="D1122" t="s">
        <v>3378</v>
      </c>
      <c r="F1122"/>
      <c r="G1122"/>
      <c r="H1122">
        <v>4</v>
      </c>
    </row>
    <row r="1123" spans="1:9" x14ac:dyDescent="0.2">
      <c r="A1123" t="s">
        <v>2852</v>
      </c>
      <c r="B1123" s="44">
        <v>41227</v>
      </c>
      <c r="C1123" t="s">
        <v>4</v>
      </c>
      <c r="D1123" t="s">
        <v>3354</v>
      </c>
      <c r="F1123"/>
      <c r="G1123"/>
      <c r="H1123">
        <v>4</v>
      </c>
    </row>
    <row r="1124" spans="1:9" x14ac:dyDescent="0.2">
      <c r="A1124" t="s">
        <v>2996</v>
      </c>
      <c r="B1124" s="44">
        <v>41240</v>
      </c>
      <c r="C1124" t="s">
        <v>4</v>
      </c>
      <c r="D1124" t="s">
        <v>3337</v>
      </c>
      <c r="F1124"/>
      <c r="G1124"/>
      <c r="H1124">
        <v>4</v>
      </c>
    </row>
    <row r="1125" spans="1:9" x14ac:dyDescent="0.2">
      <c r="A1125" t="s">
        <v>2996</v>
      </c>
      <c r="B1125" s="44">
        <v>41240</v>
      </c>
      <c r="C1125" t="s">
        <v>4</v>
      </c>
      <c r="D1125" t="s">
        <v>3338</v>
      </c>
      <c r="F1125"/>
      <c r="G1125"/>
      <c r="H1125">
        <v>4</v>
      </c>
    </row>
    <row r="1126" spans="1:9" x14ac:dyDescent="0.2">
      <c r="A1126" t="s">
        <v>813</v>
      </c>
      <c r="B1126" s="44">
        <v>41249</v>
      </c>
      <c r="C1126" t="s">
        <v>4</v>
      </c>
      <c r="D1126" t="s">
        <v>3339</v>
      </c>
      <c r="F1126"/>
      <c r="G1126"/>
      <c r="H1126">
        <v>4</v>
      </c>
    </row>
    <row r="1127" spans="1:9" x14ac:dyDescent="0.2">
      <c r="A1127" t="s">
        <v>838</v>
      </c>
      <c r="B1127" s="44">
        <v>41253</v>
      </c>
      <c r="C1127" t="s">
        <v>4</v>
      </c>
      <c r="D1127" t="s">
        <v>3355</v>
      </c>
      <c r="F1127"/>
      <c r="G1127"/>
      <c r="H1127">
        <v>4</v>
      </c>
    </row>
    <row r="1128" spans="1:9" x14ac:dyDescent="0.2">
      <c r="A1128" t="s">
        <v>893</v>
      </c>
      <c r="B1128" s="44">
        <v>41280</v>
      </c>
      <c r="C1128" t="s">
        <v>4</v>
      </c>
      <c r="D1128" t="s">
        <v>3276</v>
      </c>
      <c r="F1128"/>
      <c r="G1128"/>
      <c r="H1128">
        <v>4</v>
      </c>
    </row>
    <row r="1129" spans="1:9" x14ac:dyDescent="0.2">
      <c r="A1129" t="s">
        <v>1412</v>
      </c>
      <c r="B1129" s="44">
        <v>41296</v>
      </c>
      <c r="C1129" t="s">
        <v>4</v>
      </c>
      <c r="D1129" t="s">
        <v>3277</v>
      </c>
      <c r="F1129"/>
      <c r="G1129"/>
      <c r="H1129">
        <v>4</v>
      </c>
    </row>
    <row r="1130" spans="1:9" x14ac:dyDescent="0.2">
      <c r="A1130" t="s">
        <v>1762</v>
      </c>
      <c r="B1130" s="44">
        <v>41358</v>
      </c>
      <c r="C1130" t="s">
        <v>4</v>
      </c>
      <c r="D1130" t="s">
        <v>3340</v>
      </c>
      <c r="F1130"/>
      <c r="G1130"/>
      <c r="H1130">
        <v>4</v>
      </c>
    </row>
    <row r="1131" spans="1:9" x14ac:dyDescent="0.2">
      <c r="A1131" t="s">
        <v>1825</v>
      </c>
      <c r="B1131" s="44">
        <v>41380</v>
      </c>
      <c r="C1131" t="s">
        <v>4</v>
      </c>
      <c r="D1131" t="s">
        <v>3341</v>
      </c>
      <c r="F1131"/>
      <c r="G1131"/>
      <c r="H1131">
        <v>4</v>
      </c>
    </row>
    <row r="1132" spans="1:9" x14ac:dyDescent="0.2">
      <c r="A1132" t="s">
        <v>2041</v>
      </c>
      <c r="B1132" s="44">
        <v>41418</v>
      </c>
      <c r="C1132" t="s">
        <v>2042</v>
      </c>
      <c r="D1132" t="s">
        <v>3380</v>
      </c>
      <c r="F1132"/>
      <c r="G1132"/>
      <c r="H1132">
        <v>4</v>
      </c>
    </row>
    <row r="1133" spans="1:9" x14ac:dyDescent="0.2">
      <c r="A1133" t="s">
        <v>931</v>
      </c>
      <c r="B1133" s="44">
        <v>41437</v>
      </c>
      <c r="C1133" t="s">
        <v>4</v>
      </c>
      <c r="D1133" t="s">
        <v>3342</v>
      </c>
      <c r="F1133"/>
      <c r="G1133"/>
      <c r="H1133">
        <v>4</v>
      </c>
    </row>
    <row r="1134" spans="1:9" x14ac:dyDescent="0.2">
      <c r="A1134" t="s">
        <v>2169</v>
      </c>
      <c r="B1134" s="44">
        <v>41444</v>
      </c>
      <c r="C1134" t="s">
        <v>4</v>
      </c>
      <c r="D1134" t="s">
        <v>3381</v>
      </c>
      <c r="F1134"/>
      <c r="G1134"/>
      <c r="H1134">
        <v>4</v>
      </c>
      <c r="I1134" t="s">
        <v>3382</v>
      </c>
    </row>
    <row r="1135" spans="1:9" x14ac:dyDescent="0.2">
      <c r="A1135" t="s">
        <v>2246</v>
      </c>
      <c r="B1135" s="44">
        <v>41450</v>
      </c>
      <c r="C1135" t="s">
        <v>4</v>
      </c>
      <c r="D1135" t="s">
        <v>3343</v>
      </c>
      <c r="F1135"/>
      <c r="G1135"/>
      <c r="H1135">
        <v>4</v>
      </c>
    </row>
    <row r="1136" spans="1:9" x14ac:dyDescent="0.2">
      <c r="A1136" t="s">
        <v>858</v>
      </c>
      <c r="B1136" s="44">
        <v>41456</v>
      </c>
      <c r="C1136" t="s">
        <v>778</v>
      </c>
      <c r="D1136" t="s">
        <v>3469</v>
      </c>
      <c r="F1136"/>
      <c r="G1136"/>
      <c r="H1136">
        <v>4</v>
      </c>
    </row>
    <row r="1137" spans="1:9" x14ac:dyDescent="0.2">
      <c r="A1137" t="s">
        <v>902</v>
      </c>
      <c r="B1137" s="44">
        <v>41493</v>
      </c>
      <c r="C1137" t="s">
        <v>4</v>
      </c>
      <c r="D1137" t="s">
        <v>3464</v>
      </c>
      <c r="F1137"/>
      <c r="G1137"/>
      <c r="H1137">
        <v>4</v>
      </c>
    </row>
    <row r="1138" spans="1:9" x14ac:dyDescent="0.2">
      <c r="A1138" t="s">
        <v>2457</v>
      </c>
      <c r="B1138" s="44">
        <v>41514</v>
      </c>
      <c r="C1138" t="s">
        <v>4</v>
      </c>
      <c r="D1138" t="s">
        <v>3394</v>
      </c>
      <c r="F1138"/>
      <c r="G1138"/>
      <c r="H1138">
        <v>4</v>
      </c>
    </row>
    <row r="1139" spans="1:9" x14ac:dyDescent="0.2">
      <c r="A1139" t="s">
        <v>870</v>
      </c>
      <c r="B1139" s="44">
        <v>41519</v>
      </c>
      <c r="C1139" t="s">
        <v>4</v>
      </c>
      <c r="D1139" t="s">
        <v>4487</v>
      </c>
      <c r="F1139"/>
      <c r="G1139"/>
      <c r="H1139">
        <v>4</v>
      </c>
    </row>
    <row r="1140" spans="1:9" x14ac:dyDescent="0.2">
      <c r="A1140" t="s">
        <v>932</v>
      </c>
      <c r="B1140" s="44">
        <v>41529</v>
      </c>
      <c r="C1140" t="s">
        <v>4</v>
      </c>
      <c r="D1140" t="s">
        <v>3470</v>
      </c>
      <c r="F1140"/>
      <c r="G1140"/>
      <c r="H1140">
        <v>4</v>
      </c>
    </row>
    <row r="1141" spans="1:9" x14ac:dyDescent="0.2">
      <c r="A1141" t="s">
        <v>2770</v>
      </c>
      <c r="B1141" s="44">
        <v>41571</v>
      </c>
      <c r="C1141" t="s">
        <v>4</v>
      </c>
      <c r="D1141" t="s">
        <v>3471</v>
      </c>
      <c r="F1141"/>
      <c r="G1141"/>
      <c r="H1141">
        <v>4</v>
      </c>
    </row>
    <row r="1142" spans="1:9" x14ac:dyDescent="0.2">
      <c r="A1142" t="s">
        <v>3003</v>
      </c>
      <c r="B1142" s="44">
        <v>41606</v>
      </c>
      <c r="C1142" t="s">
        <v>4</v>
      </c>
      <c r="D1142" t="s">
        <v>3547</v>
      </c>
      <c r="F1142"/>
      <c r="G1142"/>
      <c r="H1142">
        <v>4</v>
      </c>
      <c r="I1142" t="s">
        <v>3214</v>
      </c>
    </row>
    <row r="1143" spans="1:9" x14ac:dyDescent="0.2">
      <c r="A1143" t="s">
        <v>911</v>
      </c>
      <c r="B1143" s="44">
        <v>41617</v>
      </c>
      <c r="C1143" t="s">
        <v>912</v>
      </c>
      <c r="D1143" t="s">
        <v>3472</v>
      </c>
      <c r="F1143"/>
      <c r="G1143"/>
      <c r="H1143">
        <v>4</v>
      </c>
    </row>
    <row r="1144" spans="1:9" x14ac:dyDescent="0.2">
      <c r="A1144" t="s">
        <v>3028</v>
      </c>
      <c r="B1144" s="44">
        <v>41621</v>
      </c>
      <c r="C1144" t="s">
        <v>4</v>
      </c>
      <c r="D1144" t="s">
        <v>3473</v>
      </c>
      <c r="F1144"/>
      <c r="G1144"/>
      <c r="H1144">
        <v>4</v>
      </c>
    </row>
    <row r="1145" spans="1:9" x14ac:dyDescent="0.2">
      <c r="A1145" t="s">
        <v>3059</v>
      </c>
      <c r="B1145" s="44">
        <v>41625</v>
      </c>
      <c r="C1145" t="s">
        <v>4</v>
      </c>
      <c r="D1145" t="s">
        <v>3548</v>
      </c>
      <c r="F1145"/>
      <c r="G1145"/>
      <c r="H1145">
        <v>4</v>
      </c>
    </row>
    <row r="1146" spans="1:9" x14ac:dyDescent="0.2">
      <c r="A1146" t="s">
        <v>1354</v>
      </c>
      <c r="B1146" s="44">
        <v>41654</v>
      </c>
      <c r="C1146" t="s">
        <v>4</v>
      </c>
      <c r="D1146" t="s">
        <v>3474</v>
      </c>
      <c r="F1146"/>
      <c r="G1146"/>
      <c r="H1146">
        <v>4</v>
      </c>
      <c r="I1146" t="s">
        <v>3214</v>
      </c>
    </row>
    <row r="1147" spans="1:9" x14ac:dyDescent="0.2">
      <c r="A1147" t="s">
        <v>1442</v>
      </c>
      <c r="B1147" s="44">
        <v>41663</v>
      </c>
      <c r="C1147" t="s">
        <v>4</v>
      </c>
      <c r="D1147" t="s">
        <v>3475</v>
      </c>
      <c r="F1147"/>
      <c r="G1147"/>
      <c r="H1147">
        <v>4</v>
      </c>
    </row>
    <row r="1148" spans="1:9" x14ac:dyDescent="0.2">
      <c r="A1148" t="s">
        <v>1455</v>
      </c>
      <c r="B1148" s="44">
        <v>41664</v>
      </c>
      <c r="C1148" t="s">
        <v>4</v>
      </c>
      <c r="D1148" t="s">
        <v>3476</v>
      </c>
      <c r="F1148"/>
      <c r="G1148"/>
      <c r="H1148">
        <v>4</v>
      </c>
    </row>
    <row r="1149" spans="1:9" x14ac:dyDescent="0.2">
      <c r="A1149" t="s">
        <v>1455</v>
      </c>
      <c r="B1149" s="44">
        <v>41664</v>
      </c>
      <c r="C1149" t="s">
        <v>5834</v>
      </c>
      <c r="D1149" t="s">
        <v>3477</v>
      </c>
      <c r="F1149"/>
      <c r="G1149"/>
      <c r="H1149">
        <v>4</v>
      </c>
    </row>
    <row r="1150" spans="1:9" x14ac:dyDescent="0.2">
      <c r="A1150" t="s">
        <v>1479</v>
      </c>
      <c r="B1150" s="44">
        <v>41668</v>
      </c>
      <c r="C1150" t="s">
        <v>4</v>
      </c>
      <c r="D1150" t="s">
        <v>3396</v>
      </c>
      <c r="F1150"/>
      <c r="G1150"/>
      <c r="H1150">
        <v>4</v>
      </c>
    </row>
    <row r="1151" spans="1:9" x14ac:dyDescent="0.2">
      <c r="A1151" t="s">
        <v>1001</v>
      </c>
      <c r="B1151" s="44">
        <v>41682</v>
      </c>
      <c r="C1151" t="s">
        <v>4</v>
      </c>
      <c r="D1151" t="s">
        <v>3478</v>
      </c>
      <c r="F1151"/>
      <c r="G1151"/>
      <c r="H1151">
        <v>4</v>
      </c>
    </row>
    <row r="1152" spans="1:9" x14ac:dyDescent="0.2">
      <c r="A1152" t="s">
        <v>1519</v>
      </c>
      <c r="B1152" s="44">
        <v>41686</v>
      </c>
      <c r="C1152" t="s">
        <v>4</v>
      </c>
      <c r="D1152" t="s">
        <v>3397</v>
      </c>
      <c r="F1152"/>
      <c r="G1152"/>
      <c r="H1152">
        <v>4</v>
      </c>
    </row>
    <row r="1153" spans="1:9" x14ac:dyDescent="0.2">
      <c r="A1153" t="s">
        <v>1654</v>
      </c>
      <c r="B1153" s="44">
        <v>41698</v>
      </c>
      <c r="C1153" t="s">
        <v>5834</v>
      </c>
      <c r="D1153" t="s">
        <v>1655</v>
      </c>
      <c r="F1153"/>
      <c r="G1153"/>
      <c r="H1153">
        <v>4</v>
      </c>
    </row>
    <row r="1154" spans="1:9" x14ac:dyDescent="0.2">
      <c r="A1154" t="s">
        <v>993</v>
      </c>
      <c r="B1154" s="44">
        <v>41709</v>
      </c>
      <c r="C1154" t="s">
        <v>4</v>
      </c>
      <c r="D1154" t="s">
        <v>3479</v>
      </c>
      <c r="F1154"/>
      <c r="G1154"/>
      <c r="H1154">
        <v>4</v>
      </c>
    </row>
    <row r="1155" spans="1:9" x14ac:dyDescent="0.2">
      <c r="A1155" t="s">
        <v>1702</v>
      </c>
      <c r="B1155" s="44">
        <v>41716</v>
      </c>
      <c r="C1155" t="s">
        <v>4</v>
      </c>
      <c r="D1155" t="s">
        <v>3480</v>
      </c>
      <c r="F1155"/>
      <c r="G1155"/>
      <c r="H1155">
        <v>4</v>
      </c>
    </row>
    <row r="1156" spans="1:9" x14ac:dyDescent="0.2">
      <c r="A1156" t="s">
        <v>1811</v>
      </c>
      <c r="B1156" s="44">
        <v>41729</v>
      </c>
      <c r="C1156" t="s">
        <v>4</v>
      </c>
      <c r="D1156" t="s">
        <v>3549</v>
      </c>
      <c r="F1156"/>
      <c r="G1156"/>
      <c r="H1156">
        <v>4</v>
      </c>
    </row>
    <row r="1157" spans="1:9" x14ac:dyDescent="0.2">
      <c r="A1157" t="s">
        <v>1968</v>
      </c>
      <c r="B1157" s="44">
        <v>41777</v>
      </c>
      <c r="C1157" t="s">
        <v>4</v>
      </c>
      <c r="D1157" t="s">
        <v>3399</v>
      </c>
      <c r="F1157"/>
      <c r="G1157"/>
      <c r="H1157">
        <v>4</v>
      </c>
    </row>
    <row r="1158" spans="1:9" x14ac:dyDescent="0.2">
      <c r="A1158" t="s">
        <v>2063</v>
      </c>
      <c r="B1158" s="44">
        <v>41786</v>
      </c>
      <c r="C1158" t="s">
        <v>4</v>
      </c>
      <c r="D1158" t="s">
        <v>3429</v>
      </c>
      <c r="F1158"/>
      <c r="G1158"/>
      <c r="H1158">
        <v>4</v>
      </c>
    </row>
    <row r="1159" spans="1:9" x14ac:dyDescent="0.2">
      <c r="A1159" t="s">
        <v>1002</v>
      </c>
      <c r="B1159" s="44">
        <v>41802</v>
      </c>
      <c r="C1159" t="s">
        <v>4</v>
      </c>
      <c r="D1159" t="s">
        <v>3550</v>
      </c>
      <c r="F1159"/>
      <c r="G1159"/>
      <c r="H1159">
        <v>4</v>
      </c>
      <c r="I1159" t="s">
        <v>4492</v>
      </c>
    </row>
    <row r="1160" spans="1:9" x14ac:dyDescent="0.2">
      <c r="A1160" t="s">
        <v>2258</v>
      </c>
      <c r="B1160" s="44">
        <v>41816</v>
      </c>
      <c r="C1160" t="s">
        <v>4</v>
      </c>
      <c r="D1160" t="s">
        <v>3481</v>
      </c>
      <c r="F1160"/>
      <c r="G1160"/>
      <c r="H1160">
        <v>4</v>
      </c>
      <c r="I1160" t="s">
        <v>3214</v>
      </c>
    </row>
    <row r="1161" spans="1:9" x14ac:dyDescent="0.2">
      <c r="A1161" t="s">
        <v>2320</v>
      </c>
      <c r="B1161" s="44">
        <v>41835</v>
      </c>
      <c r="C1161" t="s">
        <v>4</v>
      </c>
      <c r="D1161" t="s">
        <v>3482</v>
      </c>
      <c r="F1161"/>
      <c r="G1161"/>
      <c r="H1161">
        <v>4</v>
      </c>
      <c r="I1161" t="s">
        <v>3214</v>
      </c>
    </row>
    <row r="1162" spans="1:9" x14ac:dyDescent="0.2">
      <c r="A1162" t="s">
        <v>2387</v>
      </c>
      <c r="B1162" s="44">
        <v>41843</v>
      </c>
      <c r="C1162" t="s">
        <v>4</v>
      </c>
      <c r="D1162" t="s">
        <v>3401</v>
      </c>
      <c r="F1162"/>
      <c r="G1162"/>
      <c r="H1162">
        <v>4</v>
      </c>
    </row>
    <row r="1163" spans="1:9" x14ac:dyDescent="0.2">
      <c r="A1163" t="s">
        <v>2418</v>
      </c>
      <c r="B1163" s="44">
        <v>41864</v>
      </c>
      <c r="C1163" t="s">
        <v>4</v>
      </c>
      <c r="D1163" t="s">
        <v>3465</v>
      </c>
      <c r="F1163"/>
      <c r="G1163"/>
      <c r="H1163">
        <v>4</v>
      </c>
    </row>
    <row r="1164" spans="1:9" x14ac:dyDescent="0.2">
      <c r="A1164" t="s">
        <v>980</v>
      </c>
      <c r="B1164" s="44">
        <v>41891</v>
      </c>
      <c r="C1164" t="s">
        <v>4</v>
      </c>
      <c r="D1164" t="s">
        <v>3507</v>
      </c>
      <c r="F1164"/>
      <c r="G1164"/>
      <c r="H1164">
        <v>4</v>
      </c>
    </row>
    <row r="1165" spans="1:9" x14ac:dyDescent="0.2">
      <c r="A1165" t="s">
        <v>986</v>
      </c>
      <c r="B1165" s="44">
        <v>41892</v>
      </c>
      <c r="C1165" t="s">
        <v>4</v>
      </c>
      <c r="D1165" t="s">
        <v>3552</v>
      </c>
      <c r="F1165"/>
      <c r="G1165"/>
      <c r="H1165">
        <v>4</v>
      </c>
    </row>
    <row r="1166" spans="1:9" x14ac:dyDescent="0.2">
      <c r="A1166" t="s">
        <v>2586</v>
      </c>
      <c r="B1166" s="44">
        <v>41907</v>
      </c>
      <c r="C1166" t="s">
        <v>4</v>
      </c>
      <c r="D1166" t="s">
        <v>3483</v>
      </c>
      <c r="F1166"/>
      <c r="G1166"/>
      <c r="H1166">
        <v>4</v>
      </c>
    </row>
    <row r="1167" spans="1:9" x14ac:dyDescent="0.2">
      <c r="A1167" t="s">
        <v>1004</v>
      </c>
      <c r="B1167" s="44">
        <v>41924</v>
      </c>
      <c r="C1167" t="s">
        <v>4</v>
      </c>
      <c r="D1167" t="s">
        <v>3484</v>
      </c>
      <c r="F1167"/>
      <c r="G1167"/>
      <c r="H1167">
        <v>4</v>
      </c>
    </row>
    <row r="1168" spans="1:9" x14ac:dyDescent="0.2">
      <c r="A1168" t="s">
        <v>972</v>
      </c>
      <c r="B1168" s="44">
        <v>41950</v>
      </c>
      <c r="C1168" t="s">
        <v>4</v>
      </c>
      <c r="D1168" t="s">
        <v>3553</v>
      </c>
      <c r="F1168"/>
      <c r="G1168"/>
      <c r="H1168">
        <v>4</v>
      </c>
    </row>
    <row r="1169" spans="1:9" x14ac:dyDescent="0.2">
      <c r="A1169" t="s">
        <v>991</v>
      </c>
      <c r="B1169" s="44">
        <v>41953</v>
      </c>
      <c r="C1169" t="s">
        <v>4</v>
      </c>
      <c r="D1169" t="s">
        <v>3573</v>
      </c>
      <c r="F1169"/>
      <c r="G1169"/>
      <c r="H1169">
        <v>4</v>
      </c>
    </row>
    <row r="1170" spans="1:9" x14ac:dyDescent="0.2">
      <c r="A1170" t="s">
        <v>2891</v>
      </c>
      <c r="B1170" s="44">
        <v>41960</v>
      </c>
      <c r="C1170" t="s">
        <v>4</v>
      </c>
      <c r="D1170" t="s">
        <v>3574</v>
      </c>
      <c r="F1170"/>
      <c r="G1170"/>
      <c r="H1170">
        <v>4</v>
      </c>
    </row>
    <row r="1171" spans="1:9" x14ac:dyDescent="0.2">
      <c r="A1171" t="s">
        <v>2983</v>
      </c>
      <c r="B1171" s="44">
        <v>41968</v>
      </c>
      <c r="C1171" t="s">
        <v>4</v>
      </c>
      <c r="D1171" t="s">
        <v>3429</v>
      </c>
      <c r="F1171"/>
      <c r="G1171"/>
      <c r="H1171">
        <v>4</v>
      </c>
    </row>
    <row r="1172" spans="1:9" x14ac:dyDescent="0.2">
      <c r="A1172" t="s">
        <v>998</v>
      </c>
      <c r="B1172" s="44">
        <v>41984</v>
      </c>
      <c r="C1172" t="s">
        <v>4</v>
      </c>
      <c r="D1172" t="s">
        <v>3485</v>
      </c>
      <c r="F1172"/>
      <c r="G1172"/>
      <c r="H1172">
        <v>4</v>
      </c>
    </row>
    <row r="1173" spans="1:9" x14ac:dyDescent="0.2">
      <c r="A1173" t="s">
        <v>3051</v>
      </c>
      <c r="B1173" s="44">
        <v>41989</v>
      </c>
      <c r="C1173" t="s">
        <v>4</v>
      </c>
      <c r="D1173" t="s">
        <v>3486</v>
      </c>
      <c r="F1173"/>
      <c r="G1173"/>
      <c r="H1173">
        <v>4</v>
      </c>
      <c r="I1173" t="s">
        <v>3212</v>
      </c>
    </row>
    <row r="1174" spans="1:9" x14ac:dyDescent="0.2">
      <c r="A1174" t="s">
        <v>3051</v>
      </c>
      <c r="B1174" s="44">
        <v>41989</v>
      </c>
      <c r="C1174" t="s">
        <v>4</v>
      </c>
      <c r="D1174" t="s">
        <v>3554</v>
      </c>
      <c r="F1174"/>
      <c r="G1174"/>
      <c r="H1174">
        <v>4</v>
      </c>
    </row>
    <row r="1175" spans="1:9" x14ac:dyDescent="0.2">
      <c r="A1175" t="s">
        <v>1347</v>
      </c>
      <c r="B1175" s="44">
        <v>42018</v>
      </c>
      <c r="C1175" t="s">
        <v>4</v>
      </c>
      <c r="D1175" t="s">
        <v>3403</v>
      </c>
      <c r="F1175"/>
      <c r="G1175"/>
      <c r="H1175">
        <v>4</v>
      </c>
      <c r="I1175" t="s">
        <v>3214</v>
      </c>
    </row>
    <row r="1176" spans="1:9" x14ac:dyDescent="0.2">
      <c r="A1176" t="s">
        <v>1427</v>
      </c>
      <c r="B1176" s="44">
        <v>42027</v>
      </c>
      <c r="C1176" t="s">
        <v>4</v>
      </c>
      <c r="D1176" t="s">
        <v>3575</v>
      </c>
      <c r="F1176"/>
      <c r="G1176"/>
      <c r="H1176">
        <v>4</v>
      </c>
    </row>
    <row r="1177" spans="1:9" x14ac:dyDescent="0.2">
      <c r="A1177" t="s">
        <v>1443</v>
      </c>
      <c r="B1177" s="44">
        <v>42028</v>
      </c>
      <c r="C1177" t="s">
        <v>4</v>
      </c>
      <c r="D1177" t="s">
        <v>3487</v>
      </c>
      <c r="F1177"/>
      <c r="G1177"/>
      <c r="H1177">
        <v>4</v>
      </c>
    </row>
    <row r="1178" spans="1:9" x14ac:dyDescent="0.2">
      <c r="A1178" t="s">
        <v>1471</v>
      </c>
      <c r="B1178" s="44">
        <v>42032</v>
      </c>
      <c r="C1178" t="s">
        <v>4</v>
      </c>
      <c r="D1178" t="s">
        <v>3404</v>
      </c>
      <c r="F1178"/>
      <c r="G1178"/>
      <c r="H1178">
        <v>4</v>
      </c>
    </row>
    <row r="1179" spans="1:9" x14ac:dyDescent="0.2">
      <c r="A1179" t="s">
        <v>1033</v>
      </c>
      <c r="B1179" s="44">
        <v>42044</v>
      </c>
      <c r="C1179" t="s">
        <v>4</v>
      </c>
      <c r="D1179" t="s">
        <v>3555</v>
      </c>
      <c r="F1179"/>
      <c r="G1179"/>
      <c r="H1179">
        <v>4</v>
      </c>
    </row>
    <row r="1180" spans="1:9" x14ac:dyDescent="0.2">
      <c r="A1180" t="s">
        <v>1065</v>
      </c>
      <c r="B1180" s="44">
        <v>42047</v>
      </c>
      <c r="C1180" t="s">
        <v>4</v>
      </c>
      <c r="D1180" t="s">
        <v>3478</v>
      </c>
      <c r="F1180"/>
      <c r="G1180"/>
      <c r="H1180">
        <v>4</v>
      </c>
    </row>
    <row r="1181" spans="1:9" x14ac:dyDescent="0.2">
      <c r="A1181" t="s">
        <v>1616</v>
      </c>
      <c r="B1181" s="44">
        <v>42060</v>
      </c>
      <c r="C1181" t="s">
        <v>4</v>
      </c>
      <c r="D1181" t="s">
        <v>3488</v>
      </c>
      <c r="F1181"/>
      <c r="G1181"/>
      <c r="H1181">
        <v>4</v>
      </c>
    </row>
    <row r="1182" spans="1:9" x14ac:dyDescent="0.2">
      <c r="A1182" t="s">
        <v>1014</v>
      </c>
      <c r="B1182" s="44">
        <v>42066</v>
      </c>
      <c r="C1182" t="s">
        <v>4</v>
      </c>
      <c r="D1182" t="s">
        <v>3577</v>
      </c>
      <c r="F1182"/>
      <c r="G1182"/>
      <c r="H1182">
        <v>4</v>
      </c>
    </row>
    <row r="1183" spans="1:9" x14ac:dyDescent="0.2">
      <c r="A1183" t="s">
        <v>1040</v>
      </c>
      <c r="B1183" s="44">
        <v>42073</v>
      </c>
      <c r="C1183" t="s">
        <v>4</v>
      </c>
      <c r="D1183" t="s">
        <v>3489</v>
      </c>
      <c r="F1183"/>
      <c r="G1183"/>
      <c r="H1183">
        <v>4</v>
      </c>
    </row>
    <row r="1184" spans="1:9" x14ac:dyDescent="0.2">
      <c r="A1184" t="s">
        <v>1072</v>
      </c>
      <c r="B1184" s="44">
        <v>42075</v>
      </c>
      <c r="C1184" t="s">
        <v>4</v>
      </c>
      <c r="D1184" t="s">
        <v>3490</v>
      </c>
      <c r="F1184"/>
      <c r="G1184"/>
      <c r="H1184">
        <v>4</v>
      </c>
    </row>
    <row r="1185" spans="1:9" x14ac:dyDescent="0.2">
      <c r="A1185" t="s">
        <v>1791</v>
      </c>
      <c r="B1185" s="44">
        <v>42090</v>
      </c>
      <c r="C1185" t="s">
        <v>4</v>
      </c>
      <c r="D1185" t="s">
        <v>3578</v>
      </c>
      <c r="F1185"/>
      <c r="G1185"/>
      <c r="H1185">
        <v>4</v>
      </c>
    </row>
    <row r="1186" spans="1:9" x14ac:dyDescent="0.2">
      <c r="A1186" t="s">
        <v>1791</v>
      </c>
      <c r="B1186" s="44">
        <v>42090</v>
      </c>
      <c r="C1186" t="s">
        <v>5834</v>
      </c>
      <c r="D1186" t="s">
        <v>3491</v>
      </c>
      <c r="F1186"/>
      <c r="G1186"/>
      <c r="H1186">
        <v>4</v>
      </c>
    </row>
    <row r="1187" spans="1:9" x14ac:dyDescent="0.2">
      <c r="A1187" t="s">
        <v>1928</v>
      </c>
      <c r="B1187" s="44">
        <v>42137</v>
      </c>
      <c r="C1187" t="s">
        <v>4</v>
      </c>
      <c r="D1187" t="s">
        <v>3406</v>
      </c>
      <c r="F1187"/>
      <c r="G1187"/>
      <c r="H1187">
        <v>4</v>
      </c>
    </row>
    <row r="1188" spans="1:9" x14ac:dyDescent="0.2">
      <c r="A1188" t="s">
        <v>2023</v>
      </c>
      <c r="B1188" s="44">
        <v>42146</v>
      </c>
      <c r="C1188" t="s">
        <v>5834</v>
      </c>
      <c r="D1188" t="s">
        <v>3556</v>
      </c>
      <c r="F1188"/>
      <c r="G1188"/>
      <c r="H1188">
        <v>4</v>
      </c>
    </row>
    <row r="1189" spans="1:9" x14ac:dyDescent="0.2">
      <c r="A1189" t="s">
        <v>1044</v>
      </c>
      <c r="B1189" s="44">
        <v>42165</v>
      </c>
      <c r="C1189" t="s">
        <v>4</v>
      </c>
      <c r="D1189" t="s">
        <v>3492</v>
      </c>
      <c r="F1189"/>
      <c r="G1189"/>
      <c r="H1189">
        <v>4</v>
      </c>
    </row>
    <row r="1190" spans="1:9" x14ac:dyDescent="0.2">
      <c r="A1190" t="s">
        <v>2260</v>
      </c>
      <c r="B1190" s="44">
        <v>42181</v>
      </c>
      <c r="C1190" t="s">
        <v>4</v>
      </c>
      <c r="D1190" t="s">
        <v>3493</v>
      </c>
      <c r="F1190"/>
      <c r="G1190"/>
      <c r="H1190">
        <v>4</v>
      </c>
    </row>
    <row r="1191" spans="1:9" x14ac:dyDescent="0.2">
      <c r="A1191" t="s">
        <v>1006</v>
      </c>
      <c r="B1191" s="44">
        <v>42186</v>
      </c>
      <c r="C1191" t="s">
        <v>4</v>
      </c>
      <c r="D1191" t="s">
        <v>3494</v>
      </c>
      <c r="F1191"/>
      <c r="G1191"/>
      <c r="H1191">
        <v>4</v>
      </c>
      <c r="I1191" t="s">
        <v>3214</v>
      </c>
    </row>
    <row r="1192" spans="1:9" x14ac:dyDescent="0.2">
      <c r="A1192" t="s">
        <v>2330</v>
      </c>
      <c r="B1192" s="44">
        <v>42201</v>
      </c>
      <c r="C1192" t="s">
        <v>4</v>
      </c>
      <c r="D1192" t="s">
        <v>3579</v>
      </c>
      <c r="F1192"/>
      <c r="G1192"/>
      <c r="H1192">
        <v>4</v>
      </c>
    </row>
    <row r="1193" spans="1:9" x14ac:dyDescent="0.2">
      <c r="A1193" t="s">
        <v>1022</v>
      </c>
      <c r="B1193" s="44">
        <v>42222</v>
      </c>
      <c r="C1193" t="s">
        <v>4</v>
      </c>
      <c r="D1193" t="s">
        <v>3408</v>
      </c>
      <c r="F1193"/>
      <c r="G1193"/>
      <c r="H1193">
        <v>4</v>
      </c>
    </row>
    <row r="1194" spans="1:9" x14ac:dyDescent="0.2">
      <c r="A1194" t="s">
        <v>2461</v>
      </c>
      <c r="B1194" s="44">
        <v>42245</v>
      </c>
      <c r="C1194" t="s">
        <v>4</v>
      </c>
      <c r="D1194" t="s">
        <v>3576</v>
      </c>
      <c r="F1194"/>
      <c r="G1194"/>
      <c r="H1194">
        <v>4</v>
      </c>
    </row>
    <row r="1195" spans="1:9" x14ac:dyDescent="0.2">
      <c r="A1195" t="s">
        <v>2555</v>
      </c>
      <c r="B1195" s="44">
        <v>42268</v>
      </c>
      <c r="C1195" t="s">
        <v>4</v>
      </c>
      <c r="D1195" t="s">
        <v>3429</v>
      </c>
      <c r="F1195"/>
      <c r="G1195"/>
      <c r="H1195">
        <v>4</v>
      </c>
    </row>
    <row r="1196" spans="1:9" x14ac:dyDescent="0.2">
      <c r="A1196" t="s">
        <v>2621</v>
      </c>
      <c r="B1196" s="44">
        <v>42276</v>
      </c>
      <c r="C1196" t="s">
        <v>4</v>
      </c>
      <c r="D1196" t="s">
        <v>3429</v>
      </c>
      <c r="F1196"/>
      <c r="G1196"/>
      <c r="H1196">
        <v>4</v>
      </c>
    </row>
    <row r="1197" spans="1:9" x14ac:dyDescent="0.2">
      <c r="A1197" t="s">
        <v>1032</v>
      </c>
      <c r="B1197" s="44">
        <v>42285</v>
      </c>
      <c r="C1197" t="s">
        <v>4</v>
      </c>
      <c r="D1197" t="s">
        <v>3557</v>
      </c>
      <c r="F1197"/>
      <c r="G1197"/>
      <c r="H1197">
        <v>4</v>
      </c>
    </row>
    <row r="1198" spans="1:9" x14ac:dyDescent="0.2">
      <c r="A1198" t="s">
        <v>2727</v>
      </c>
      <c r="B1198" s="44">
        <v>42297</v>
      </c>
      <c r="C1198" t="s">
        <v>4</v>
      </c>
      <c r="D1198" t="s">
        <v>3495</v>
      </c>
      <c r="F1198"/>
      <c r="G1198"/>
      <c r="H1198">
        <v>4</v>
      </c>
    </row>
    <row r="1199" spans="1:9" x14ac:dyDescent="0.2">
      <c r="A1199" t="s">
        <v>2735</v>
      </c>
      <c r="B1199" s="44">
        <v>42298</v>
      </c>
      <c r="C1199" t="s">
        <v>4</v>
      </c>
      <c r="D1199" t="s">
        <v>3581</v>
      </c>
      <c r="F1199"/>
      <c r="G1199"/>
      <c r="H1199">
        <v>4</v>
      </c>
    </row>
    <row r="1200" spans="1:9" x14ac:dyDescent="0.2">
      <c r="A1200" t="s">
        <v>1020</v>
      </c>
      <c r="B1200" s="44">
        <v>42313</v>
      </c>
      <c r="C1200" t="s">
        <v>4</v>
      </c>
      <c r="D1200" t="s">
        <v>3582</v>
      </c>
      <c r="F1200"/>
      <c r="G1200"/>
      <c r="H1200">
        <v>4</v>
      </c>
    </row>
    <row r="1201" spans="1:8" x14ac:dyDescent="0.2">
      <c r="A1201" t="s">
        <v>1056</v>
      </c>
      <c r="B1201" s="44">
        <v>42319</v>
      </c>
      <c r="C1201" t="s">
        <v>4</v>
      </c>
      <c r="D1201" t="s">
        <v>3583</v>
      </c>
      <c r="F1201"/>
      <c r="G1201"/>
      <c r="H1201">
        <v>4</v>
      </c>
    </row>
    <row r="1202" spans="1:8" x14ac:dyDescent="0.2">
      <c r="A1202" t="s">
        <v>1061</v>
      </c>
      <c r="B1202" s="44">
        <v>42319</v>
      </c>
      <c r="C1202" t="s">
        <v>4</v>
      </c>
      <c r="D1202" t="s">
        <v>3583</v>
      </c>
      <c r="F1202"/>
      <c r="G1202"/>
      <c r="H1202">
        <v>4</v>
      </c>
    </row>
    <row r="1203" spans="1:8" x14ac:dyDescent="0.2">
      <c r="A1203" t="s">
        <v>2975</v>
      </c>
      <c r="B1203" s="44">
        <v>42332</v>
      </c>
      <c r="C1203" t="s">
        <v>4</v>
      </c>
      <c r="D1203" t="s">
        <v>3496</v>
      </c>
      <c r="F1203"/>
      <c r="G1203"/>
      <c r="H1203">
        <v>4</v>
      </c>
    </row>
    <row r="1204" spans="1:8" x14ac:dyDescent="0.2">
      <c r="A1204" t="s">
        <v>1011</v>
      </c>
      <c r="B1204" s="44">
        <v>42339</v>
      </c>
      <c r="C1204" t="s">
        <v>4</v>
      </c>
      <c r="D1204" t="s">
        <v>3584</v>
      </c>
      <c r="F1204"/>
      <c r="G1204"/>
      <c r="H1204">
        <v>4</v>
      </c>
    </row>
    <row r="1205" spans="1:8" x14ac:dyDescent="0.2">
      <c r="A1205" t="s">
        <v>1049</v>
      </c>
      <c r="B1205" s="44">
        <v>42348</v>
      </c>
      <c r="C1205" t="s">
        <v>4</v>
      </c>
      <c r="D1205" t="s">
        <v>3558</v>
      </c>
      <c r="F1205"/>
      <c r="G1205"/>
      <c r="H1205">
        <v>4</v>
      </c>
    </row>
    <row r="1206" spans="1:8" x14ac:dyDescent="0.2">
      <c r="A1206" t="s">
        <v>1133</v>
      </c>
      <c r="B1206" s="44">
        <v>42381</v>
      </c>
      <c r="C1206" t="s">
        <v>4</v>
      </c>
      <c r="D1206" t="s">
        <v>3588</v>
      </c>
      <c r="F1206"/>
      <c r="G1206"/>
      <c r="H1206">
        <v>4</v>
      </c>
    </row>
    <row r="1207" spans="1:8" x14ac:dyDescent="0.2">
      <c r="A1207" t="s">
        <v>1382</v>
      </c>
      <c r="B1207" s="44">
        <v>42388</v>
      </c>
      <c r="C1207" t="s">
        <v>4</v>
      </c>
      <c r="D1207" t="s">
        <v>3429</v>
      </c>
      <c r="F1207"/>
      <c r="G1207"/>
      <c r="H1207">
        <v>4</v>
      </c>
    </row>
    <row r="1208" spans="1:8" x14ac:dyDescent="0.2">
      <c r="A1208" t="s">
        <v>1461</v>
      </c>
      <c r="B1208" s="44">
        <v>42395</v>
      </c>
      <c r="C1208" t="s">
        <v>4</v>
      </c>
      <c r="D1208" t="s">
        <v>3591</v>
      </c>
      <c r="F1208"/>
      <c r="G1208"/>
      <c r="H1208">
        <v>4</v>
      </c>
    </row>
    <row r="1209" spans="1:8" x14ac:dyDescent="0.2">
      <c r="A1209" t="s">
        <v>1591</v>
      </c>
      <c r="B1209" s="44">
        <v>42423</v>
      </c>
      <c r="C1209" t="s">
        <v>4</v>
      </c>
      <c r="D1209" t="s">
        <v>3497</v>
      </c>
      <c r="F1209"/>
      <c r="G1209"/>
      <c r="H1209">
        <v>4</v>
      </c>
    </row>
    <row r="1210" spans="1:8" x14ac:dyDescent="0.2">
      <c r="A1210" t="s">
        <v>1591</v>
      </c>
      <c r="B1210" s="44">
        <v>42423</v>
      </c>
      <c r="C1210" t="s">
        <v>4</v>
      </c>
      <c r="D1210" t="s">
        <v>3585</v>
      </c>
      <c r="F1210"/>
      <c r="G1210"/>
      <c r="H1210">
        <v>4</v>
      </c>
    </row>
    <row r="1211" spans="1:8" x14ac:dyDescent="0.2">
      <c r="A1211" t="s">
        <v>1812</v>
      </c>
      <c r="B1211" s="44">
        <v>42460</v>
      </c>
      <c r="C1211" t="s">
        <v>4</v>
      </c>
      <c r="D1211" t="s">
        <v>3559</v>
      </c>
      <c r="F1211"/>
      <c r="G1211"/>
      <c r="H1211">
        <v>4</v>
      </c>
    </row>
    <row r="1212" spans="1:8" x14ac:dyDescent="0.2">
      <c r="A1212" t="s">
        <v>1820</v>
      </c>
      <c r="B1212" s="44">
        <v>42474</v>
      </c>
      <c r="C1212" t="s">
        <v>4</v>
      </c>
      <c r="D1212" t="s">
        <v>3415</v>
      </c>
      <c r="F1212"/>
      <c r="G1212"/>
      <c r="H1212">
        <v>4</v>
      </c>
    </row>
    <row r="1213" spans="1:8" x14ac:dyDescent="0.2">
      <c r="A1213" t="s">
        <v>1865</v>
      </c>
      <c r="B1213" s="44">
        <v>42481</v>
      </c>
      <c r="C1213" t="s">
        <v>4</v>
      </c>
      <c r="D1213" t="s">
        <v>3592</v>
      </c>
      <c r="F1213"/>
      <c r="G1213"/>
      <c r="H1213">
        <v>4</v>
      </c>
    </row>
    <row r="1214" spans="1:8" x14ac:dyDescent="0.2">
      <c r="A1214" t="s">
        <v>1138</v>
      </c>
      <c r="B1214" s="44">
        <v>42502</v>
      </c>
      <c r="C1214" t="s">
        <v>4</v>
      </c>
      <c r="D1214" t="s">
        <v>3593</v>
      </c>
      <c r="F1214"/>
      <c r="G1214"/>
      <c r="H1214">
        <v>4</v>
      </c>
    </row>
    <row r="1215" spans="1:8" x14ac:dyDescent="0.2">
      <c r="A1215" t="s">
        <v>1077</v>
      </c>
      <c r="B1215" s="44">
        <v>42523</v>
      </c>
      <c r="C1215" t="s">
        <v>4</v>
      </c>
      <c r="D1215" t="s">
        <v>3594</v>
      </c>
      <c r="F1215"/>
      <c r="G1215"/>
      <c r="H1215">
        <v>4</v>
      </c>
    </row>
    <row r="1216" spans="1:8" x14ac:dyDescent="0.2">
      <c r="A1216" t="s">
        <v>1110</v>
      </c>
      <c r="B1216" s="44">
        <v>42528</v>
      </c>
      <c r="C1216" t="s">
        <v>778</v>
      </c>
      <c r="D1216" t="s">
        <v>3466</v>
      </c>
      <c r="F1216"/>
      <c r="G1216"/>
      <c r="H1216">
        <v>4</v>
      </c>
    </row>
    <row r="1217" spans="1:9" x14ac:dyDescent="0.2">
      <c r="A1217" t="s">
        <v>2126</v>
      </c>
      <c r="B1217" s="44">
        <v>42537</v>
      </c>
      <c r="C1217" t="s">
        <v>4</v>
      </c>
      <c r="D1217" t="s">
        <v>3500</v>
      </c>
      <c r="F1217"/>
      <c r="G1217"/>
      <c r="H1217">
        <v>4</v>
      </c>
      <c r="I1217" t="s">
        <v>4492</v>
      </c>
    </row>
    <row r="1218" spans="1:9" x14ac:dyDescent="0.2">
      <c r="A1218" t="s">
        <v>2296</v>
      </c>
      <c r="B1218" s="44">
        <v>42551</v>
      </c>
      <c r="C1218" t="s">
        <v>4</v>
      </c>
      <c r="D1218" t="s">
        <v>3416</v>
      </c>
      <c r="F1218"/>
      <c r="G1218"/>
      <c r="H1218">
        <v>4</v>
      </c>
    </row>
    <row r="1219" spans="1:9" x14ac:dyDescent="0.2">
      <c r="A1219" t="s">
        <v>1099</v>
      </c>
      <c r="B1219" s="44">
        <v>42556</v>
      </c>
      <c r="C1219" t="s">
        <v>4</v>
      </c>
      <c r="D1219" t="s">
        <v>3561</v>
      </c>
      <c r="F1219"/>
      <c r="G1219"/>
      <c r="H1219">
        <v>4</v>
      </c>
    </row>
    <row r="1220" spans="1:9" x14ac:dyDescent="0.2">
      <c r="A1220" t="s">
        <v>2323</v>
      </c>
      <c r="B1220" s="44">
        <v>42566</v>
      </c>
      <c r="C1220" t="s">
        <v>778</v>
      </c>
      <c r="D1220" t="s">
        <v>3501</v>
      </c>
      <c r="F1220"/>
      <c r="G1220"/>
      <c r="H1220">
        <v>4</v>
      </c>
    </row>
    <row r="1221" spans="1:9" x14ac:dyDescent="0.2">
      <c r="A1221" t="s">
        <v>2380</v>
      </c>
      <c r="B1221" s="44">
        <v>42573</v>
      </c>
      <c r="C1221" t="s">
        <v>4</v>
      </c>
      <c r="D1221" t="s">
        <v>3502</v>
      </c>
      <c r="F1221"/>
      <c r="G1221"/>
      <c r="H1221">
        <v>4</v>
      </c>
    </row>
    <row r="1222" spans="1:9" x14ac:dyDescent="0.2">
      <c r="A1222" t="s">
        <v>1092</v>
      </c>
      <c r="B1222" s="44">
        <v>42586</v>
      </c>
      <c r="C1222" t="s">
        <v>4</v>
      </c>
      <c r="D1222" t="s">
        <v>3586</v>
      </c>
      <c r="F1222"/>
      <c r="G1222"/>
      <c r="H1222">
        <v>4</v>
      </c>
    </row>
    <row r="1223" spans="1:9" x14ac:dyDescent="0.2">
      <c r="A1223" t="s">
        <v>1111</v>
      </c>
      <c r="B1223" s="44">
        <v>42620</v>
      </c>
      <c r="C1223" t="s">
        <v>4</v>
      </c>
      <c r="D1223" t="s">
        <v>3503</v>
      </c>
      <c r="F1223"/>
      <c r="G1223"/>
      <c r="H1223">
        <v>4</v>
      </c>
    </row>
    <row r="1224" spans="1:9" x14ac:dyDescent="0.2">
      <c r="A1224" t="s">
        <v>2566</v>
      </c>
      <c r="B1224" s="44">
        <v>42635</v>
      </c>
      <c r="C1224" t="s">
        <v>4</v>
      </c>
      <c r="D1224" t="s">
        <v>3504</v>
      </c>
      <c r="F1224"/>
      <c r="G1224"/>
      <c r="H1224">
        <v>4</v>
      </c>
    </row>
    <row r="1225" spans="1:9" x14ac:dyDescent="0.2">
      <c r="A1225" t="s">
        <v>2655</v>
      </c>
      <c r="B1225" s="44">
        <v>42657</v>
      </c>
      <c r="C1225" t="s">
        <v>4</v>
      </c>
      <c r="D1225" t="s">
        <v>3505</v>
      </c>
      <c r="F1225"/>
      <c r="G1225"/>
      <c r="H1225">
        <v>4</v>
      </c>
    </row>
    <row r="1226" spans="1:9" x14ac:dyDescent="0.2">
      <c r="A1226" t="s">
        <v>2657</v>
      </c>
      <c r="B1226" s="44">
        <v>42657</v>
      </c>
      <c r="C1226" t="s">
        <v>4</v>
      </c>
      <c r="D1226" t="s">
        <v>3506</v>
      </c>
      <c r="F1226"/>
      <c r="G1226"/>
      <c r="H1226">
        <v>4</v>
      </c>
    </row>
    <row r="1227" spans="1:9" x14ac:dyDescent="0.2">
      <c r="A1227" t="s">
        <v>2784</v>
      </c>
      <c r="B1227" s="44">
        <v>42668</v>
      </c>
      <c r="C1227" t="s">
        <v>4</v>
      </c>
      <c r="D1227" t="s">
        <v>4485</v>
      </c>
      <c r="F1227"/>
      <c r="G1227"/>
      <c r="H1227">
        <v>4</v>
      </c>
    </row>
    <row r="1228" spans="1:9" x14ac:dyDescent="0.2">
      <c r="A1228" t="s">
        <v>1085</v>
      </c>
      <c r="B1228" s="44">
        <v>42677</v>
      </c>
      <c r="C1228" t="s">
        <v>4</v>
      </c>
      <c r="D1228" t="s">
        <v>3587</v>
      </c>
      <c r="F1228"/>
      <c r="G1228"/>
      <c r="H1228">
        <v>4</v>
      </c>
    </row>
    <row r="1229" spans="1:9" x14ac:dyDescent="0.2">
      <c r="A1229" t="s">
        <v>1104</v>
      </c>
      <c r="B1229" s="44">
        <v>42709</v>
      </c>
      <c r="C1229" t="s">
        <v>4</v>
      </c>
      <c r="D1229" t="s">
        <v>3507</v>
      </c>
      <c r="F1229"/>
      <c r="G1229"/>
      <c r="H1229">
        <v>4</v>
      </c>
    </row>
    <row r="1230" spans="1:9" x14ac:dyDescent="0.2">
      <c r="A1230" t="s">
        <v>3035</v>
      </c>
      <c r="B1230" s="44">
        <v>42718</v>
      </c>
      <c r="C1230" t="s">
        <v>4</v>
      </c>
      <c r="D1230" t="s">
        <v>3429</v>
      </c>
      <c r="F1230"/>
      <c r="G1230"/>
      <c r="H1230">
        <v>4</v>
      </c>
    </row>
    <row r="1231" spans="1:9" x14ac:dyDescent="0.2">
      <c r="A1231" t="s">
        <v>1191</v>
      </c>
      <c r="B1231" s="44">
        <v>42746</v>
      </c>
      <c r="C1231" t="s">
        <v>4</v>
      </c>
      <c r="D1231" t="s">
        <v>3417</v>
      </c>
      <c r="F1231"/>
      <c r="G1231"/>
      <c r="H1231">
        <v>4</v>
      </c>
    </row>
    <row r="1232" spans="1:9" x14ac:dyDescent="0.2">
      <c r="A1232" t="s">
        <v>1361</v>
      </c>
      <c r="B1232" s="44">
        <v>42751</v>
      </c>
      <c r="C1232" t="s">
        <v>4</v>
      </c>
      <c r="D1232" t="s">
        <v>3596</v>
      </c>
      <c r="F1232"/>
      <c r="G1232"/>
      <c r="H1232">
        <v>4</v>
      </c>
    </row>
    <row r="1233" spans="1:9" x14ac:dyDescent="0.2">
      <c r="A1233" t="s">
        <v>1457</v>
      </c>
      <c r="B1233" s="44">
        <v>42760</v>
      </c>
      <c r="C1233" t="s">
        <v>4</v>
      </c>
      <c r="D1233" t="s">
        <v>3508</v>
      </c>
      <c r="F1233"/>
      <c r="G1233"/>
      <c r="H1233">
        <v>4</v>
      </c>
    </row>
    <row r="1234" spans="1:9" x14ac:dyDescent="0.2">
      <c r="A1234" t="s">
        <v>1150</v>
      </c>
      <c r="B1234" s="44">
        <v>42768</v>
      </c>
      <c r="C1234" t="s">
        <v>4</v>
      </c>
      <c r="D1234" t="s">
        <v>3582</v>
      </c>
      <c r="F1234"/>
      <c r="G1234"/>
      <c r="H1234">
        <v>4</v>
      </c>
    </row>
    <row r="1235" spans="1:9" x14ac:dyDescent="0.2">
      <c r="A1235" t="s">
        <v>1185</v>
      </c>
      <c r="B1235" s="44">
        <v>42775</v>
      </c>
      <c r="C1235" t="s">
        <v>4</v>
      </c>
      <c r="D1235" t="s">
        <v>3429</v>
      </c>
      <c r="F1235"/>
      <c r="G1235"/>
      <c r="H1235">
        <v>4</v>
      </c>
    </row>
    <row r="1236" spans="1:9" x14ac:dyDescent="0.2">
      <c r="A1236" t="s">
        <v>1733</v>
      </c>
      <c r="B1236" s="44">
        <v>42815</v>
      </c>
      <c r="C1236" t="s">
        <v>912</v>
      </c>
      <c r="D1236" t="s">
        <v>3509</v>
      </c>
      <c r="F1236"/>
      <c r="G1236"/>
      <c r="H1236">
        <v>4</v>
      </c>
    </row>
    <row r="1237" spans="1:9" x14ac:dyDescent="0.2">
      <c r="A1237" t="s">
        <v>1178</v>
      </c>
      <c r="B1237" s="44">
        <v>42832</v>
      </c>
      <c r="C1237" t="s">
        <v>4</v>
      </c>
      <c r="D1237" t="s">
        <v>3429</v>
      </c>
      <c r="F1237"/>
      <c r="G1237"/>
      <c r="H1237">
        <v>4</v>
      </c>
    </row>
    <row r="1238" spans="1:9" x14ac:dyDescent="0.2">
      <c r="A1238" t="s">
        <v>1199</v>
      </c>
      <c r="B1238" s="44">
        <v>42837</v>
      </c>
      <c r="C1238" t="s">
        <v>4</v>
      </c>
      <c r="D1238" t="s">
        <v>3418</v>
      </c>
      <c r="F1238"/>
      <c r="G1238"/>
      <c r="H1238">
        <v>4</v>
      </c>
    </row>
    <row r="1239" spans="1:9" x14ac:dyDescent="0.2">
      <c r="A1239" t="s">
        <v>1199</v>
      </c>
      <c r="B1239" s="44">
        <v>42837</v>
      </c>
      <c r="C1239" t="s">
        <v>4</v>
      </c>
      <c r="D1239" t="s">
        <v>3510</v>
      </c>
      <c r="F1239"/>
      <c r="G1239"/>
      <c r="H1239">
        <v>4</v>
      </c>
    </row>
    <row r="1240" spans="1:9" x14ac:dyDescent="0.2">
      <c r="A1240" t="s">
        <v>1856</v>
      </c>
      <c r="B1240" s="44">
        <v>42845</v>
      </c>
      <c r="C1240" t="s">
        <v>4</v>
      </c>
      <c r="D1240" t="s">
        <v>3511</v>
      </c>
      <c r="F1240"/>
      <c r="G1240"/>
      <c r="H1240">
        <v>4</v>
      </c>
    </row>
    <row r="1241" spans="1:9" x14ac:dyDescent="0.2">
      <c r="A1241" t="s">
        <v>1857</v>
      </c>
      <c r="B1241" s="44">
        <v>42845</v>
      </c>
      <c r="C1241" t="s">
        <v>4</v>
      </c>
      <c r="D1241" t="s">
        <v>3512</v>
      </c>
      <c r="F1241"/>
      <c r="G1241"/>
      <c r="H1241">
        <v>4</v>
      </c>
    </row>
    <row r="1242" spans="1:9" x14ac:dyDescent="0.2">
      <c r="A1242" t="s">
        <v>1196</v>
      </c>
      <c r="B1242" s="44">
        <v>42866</v>
      </c>
      <c r="C1242" t="s">
        <v>4</v>
      </c>
      <c r="D1242" t="s">
        <v>3429</v>
      </c>
      <c r="F1242"/>
      <c r="G1242"/>
      <c r="H1242">
        <v>4</v>
      </c>
    </row>
    <row r="1243" spans="1:9" x14ac:dyDescent="0.2">
      <c r="A1243" t="s">
        <v>2190</v>
      </c>
      <c r="B1243" s="44">
        <v>42906</v>
      </c>
      <c r="C1243" t="s">
        <v>4</v>
      </c>
      <c r="D1243" t="s">
        <v>3513</v>
      </c>
      <c r="F1243"/>
      <c r="G1243"/>
      <c r="H1243">
        <v>4</v>
      </c>
      <c r="I1243" t="s">
        <v>4492</v>
      </c>
    </row>
    <row r="1244" spans="1:9" x14ac:dyDescent="0.2">
      <c r="A1244" s="6">
        <v>42912</v>
      </c>
      <c r="B1244" s="44">
        <v>42912</v>
      </c>
      <c r="C1244" t="s">
        <v>5834</v>
      </c>
      <c r="D1244" t="s">
        <v>3514</v>
      </c>
      <c r="F1244"/>
      <c r="G1244"/>
      <c r="H1244">
        <v>4</v>
      </c>
    </row>
    <row r="1245" spans="1:9" x14ac:dyDescent="0.2">
      <c r="A1245" t="s">
        <v>2270</v>
      </c>
      <c r="B1245" s="44">
        <v>42913</v>
      </c>
      <c r="C1245" t="s">
        <v>4</v>
      </c>
      <c r="D1245" t="s">
        <v>3547</v>
      </c>
      <c r="F1245"/>
      <c r="G1245"/>
      <c r="H1245">
        <v>4</v>
      </c>
      <c r="I1245" t="s">
        <v>3214</v>
      </c>
    </row>
    <row r="1246" spans="1:9" x14ac:dyDescent="0.2">
      <c r="A1246" s="6">
        <v>42914</v>
      </c>
      <c r="B1246" s="44">
        <v>42914</v>
      </c>
      <c r="C1246" t="s">
        <v>5834</v>
      </c>
      <c r="D1246" t="s">
        <v>3514</v>
      </c>
      <c r="F1246"/>
      <c r="G1246"/>
      <c r="H1246">
        <v>4</v>
      </c>
    </row>
    <row r="1247" spans="1:9" x14ac:dyDescent="0.2">
      <c r="A1247" t="s">
        <v>2279</v>
      </c>
      <c r="B1247" s="44">
        <v>42914</v>
      </c>
      <c r="C1247" t="s">
        <v>5834</v>
      </c>
      <c r="D1247" t="s">
        <v>3515</v>
      </c>
      <c r="F1247"/>
      <c r="G1247"/>
      <c r="H1247">
        <v>4</v>
      </c>
    </row>
    <row r="1248" spans="1:9" x14ac:dyDescent="0.2">
      <c r="A1248" t="s">
        <v>1160</v>
      </c>
      <c r="B1248" s="44">
        <v>42919</v>
      </c>
      <c r="C1248" t="s">
        <v>4</v>
      </c>
      <c r="D1248" t="s">
        <v>3563</v>
      </c>
      <c r="F1248"/>
      <c r="G1248"/>
      <c r="H1248">
        <v>4</v>
      </c>
    </row>
    <row r="1249" spans="1:9" x14ac:dyDescent="0.2">
      <c r="A1249" t="s">
        <v>2357</v>
      </c>
      <c r="B1249" s="44">
        <v>42934</v>
      </c>
      <c r="C1249" t="s">
        <v>4</v>
      </c>
      <c r="D1249" t="s">
        <v>3419</v>
      </c>
      <c r="F1249"/>
      <c r="G1249"/>
      <c r="H1249">
        <v>4</v>
      </c>
    </row>
    <row r="1250" spans="1:9" x14ac:dyDescent="0.2">
      <c r="A1250" t="s">
        <v>1162</v>
      </c>
      <c r="B1250" s="44">
        <v>42950</v>
      </c>
      <c r="C1250" t="s">
        <v>4</v>
      </c>
      <c r="D1250" t="s">
        <v>3597</v>
      </c>
      <c r="F1250"/>
      <c r="G1250"/>
      <c r="H1250">
        <v>4</v>
      </c>
    </row>
    <row r="1251" spans="1:9" x14ac:dyDescent="0.2">
      <c r="A1251" t="s">
        <v>2522</v>
      </c>
      <c r="B1251" s="44">
        <v>42996</v>
      </c>
      <c r="C1251" t="s">
        <v>4</v>
      </c>
      <c r="D1251" t="s">
        <v>3420</v>
      </c>
      <c r="F1251"/>
      <c r="G1251"/>
      <c r="H1251">
        <v>4</v>
      </c>
    </row>
    <row r="1252" spans="1:9" x14ac:dyDescent="0.2">
      <c r="A1252" s="6">
        <v>43006</v>
      </c>
      <c r="B1252" s="44">
        <v>43006</v>
      </c>
      <c r="C1252" t="s">
        <v>4</v>
      </c>
      <c r="D1252" t="s">
        <v>3598</v>
      </c>
      <c r="F1252"/>
      <c r="G1252"/>
      <c r="H1252">
        <v>4</v>
      </c>
    </row>
    <row r="1253" spans="1:9" x14ac:dyDescent="0.2">
      <c r="A1253" s="6">
        <v>43007</v>
      </c>
      <c r="B1253" s="44">
        <v>43007</v>
      </c>
      <c r="C1253" t="s">
        <v>4</v>
      </c>
      <c r="D1253" t="s">
        <v>3598</v>
      </c>
      <c r="F1253"/>
      <c r="G1253"/>
      <c r="H1253">
        <v>4</v>
      </c>
    </row>
    <row r="1254" spans="1:9" x14ac:dyDescent="0.2">
      <c r="A1254" t="s">
        <v>2684</v>
      </c>
      <c r="B1254" s="44">
        <v>43025</v>
      </c>
      <c r="C1254" t="s">
        <v>4</v>
      </c>
      <c r="D1254" t="s">
        <v>3417</v>
      </c>
      <c r="F1254"/>
      <c r="G1254"/>
      <c r="H1254">
        <v>4</v>
      </c>
    </row>
    <row r="1255" spans="1:9" x14ac:dyDescent="0.2">
      <c r="A1255" t="s">
        <v>1157</v>
      </c>
      <c r="B1255" s="44">
        <v>43041</v>
      </c>
      <c r="C1255" t="s">
        <v>4</v>
      </c>
      <c r="D1255" t="s">
        <v>3599</v>
      </c>
      <c r="F1255"/>
      <c r="G1255"/>
      <c r="H1255">
        <v>4</v>
      </c>
    </row>
    <row r="1256" spans="1:9" x14ac:dyDescent="0.2">
      <c r="A1256" t="s">
        <v>2855</v>
      </c>
      <c r="B1256" s="44">
        <v>43053</v>
      </c>
      <c r="C1256" t="s">
        <v>5834</v>
      </c>
      <c r="D1256" t="s">
        <v>3600</v>
      </c>
      <c r="F1256"/>
      <c r="G1256"/>
      <c r="H1256">
        <v>4</v>
      </c>
    </row>
    <row r="1257" spans="1:9" x14ac:dyDescent="0.2">
      <c r="A1257" t="s">
        <v>2883</v>
      </c>
      <c r="B1257" s="44">
        <v>43055</v>
      </c>
      <c r="C1257" t="s">
        <v>4</v>
      </c>
      <c r="D1257" t="s">
        <v>3516</v>
      </c>
      <c r="F1257"/>
      <c r="G1257"/>
      <c r="H1257">
        <v>4</v>
      </c>
    </row>
    <row r="1258" spans="1:9" x14ac:dyDescent="0.2">
      <c r="A1258" t="s">
        <v>3006</v>
      </c>
      <c r="B1258" s="44">
        <v>43067</v>
      </c>
      <c r="C1258" t="s">
        <v>4</v>
      </c>
      <c r="D1258" t="s">
        <v>3601</v>
      </c>
      <c r="F1258"/>
      <c r="G1258"/>
      <c r="H1258">
        <v>4</v>
      </c>
      <c r="I1258" t="s">
        <v>3214</v>
      </c>
    </row>
    <row r="1259" spans="1:9" x14ac:dyDescent="0.2">
      <c r="A1259" t="s">
        <v>3015</v>
      </c>
      <c r="B1259" s="44">
        <v>43068</v>
      </c>
      <c r="C1259" t="s">
        <v>4</v>
      </c>
      <c r="D1259" t="s">
        <v>3517</v>
      </c>
      <c r="F1259"/>
      <c r="G1259"/>
      <c r="H1259">
        <v>4</v>
      </c>
    </row>
    <row r="1260" spans="1:9" x14ac:dyDescent="0.2">
      <c r="A1260" t="s">
        <v>1463</v>
      </c>
      <c r="B1260" s="44">
        <v>43126</v>
      </c>
      <c r="C1260" t="s">
        <v>3042</v>
      </c>
      <c r="D1260" t="s">
        <v>3603</v>
      </c>
      <c r="F1260"/>
      <c r="G1260"/>
      <c r="H1260">
        <v>4</v>
      </c>
    </row>
    <row r="1261" spans="1:9" x14ac:dyDescent="0.2">
      <c r="A1261" t="s">
        <v>1464</v>
      </c>
      <c r="B1261" s="44">
        <v>43126</v>
      </c>
      <c r="C1261" t="s">
        <v>4</v>
      </c>
      <c r="D1261" t="s">
        <v>3564</v>
      </c>
      <c r="F1261"/>
      <c r="G1261"/>
      <c r="H1261">
        <v>4</v>
      </c>
    </row>
    <row r="1262" spans="1:9" x14ac:dyDescent="0.2">
      <c r="A1262" t="s">
        <v>1484</v>
      </c>
      <c r="B1262" s="44">
        <v>43130</v>
      </c>
      <c r="C1262" t="s">
        <v>4</v>
      </c>
      <c r="D1262" t="s">
        <v>3467</v>
      </c>
      <c r="F1262"/>
      <c r="G1262"/>
      <c r="H1262">
        <v>4</v>
      </c>
    </row>
    <row r="1263" spans="1:9" x14ac:dyDescent="0.2">
      <c r="A1263" t="s">
        <v>1233</v>
      </c>
      <c r="B1263" s="44">
        <v>43139</v>
      </c>
      <c r="C1263" t="s">
        <v>4</v>
      </c>
      <c r="D1263" t="s">
        <v>3599</v>
      </c>
      <c r="F1263"/>
      <c r="G1263"/>
      <c r="H1263">
        <v>4</v>
      </c>
    </row>
    <row r="1264" spans="1:9" x14ac:dyDescent="0.2">
      <c r="A1264" t="s">
        <v>1545</v>
      </c>
      <c r="B1264" s="44">
        <v>43150</v>
      </c>
      <c r="C1264" t="s">
        <v>4</v>
      </c>
      <c r="D1264" t="s">
        <v>3418</v>
      </c>
      <c r="F1264"/>
      <c r="G1264"/>
      <c r="H1264">
        <v>4</v>
      </c>
    </row>
    <row r="1265" spans="1:9" x14ac:dyDescent="0.2">
      <c r="A1265" t="s">
        <v>1572</v>
      </c>
      <c r="B1265" s="44">
        <v>43152</v>
      </c>
      <c r="C1265" t="s">
        <v>4</v>
      </c>
      <c r="D1265" t="s">
        <v>3518</v>
      </c>
      <c r="F1265"/>
      <c r="G1265"/>
      <c r="H1265">
        <v>4</v>
      </c>
    </row>
    <row r="1266" spans="1:9" x14ac:dyDescent="0.2">
      <c r="A1266" t="s">
        <v>1207</v>
      </c>
      <c r="B1266" s="44">
        <v>43161</v>
      </c>
      <c r="C1266" t="s">
        <v>4</v>
      </c>
      <c r="D1266" t="s">
        <v>3604</v>
      </c>
      <c r="F1266"/>
      <c r="G1266"/>
      <c r="H1266">
        <v>4</v>
      </c>
    </row>
    <row r="1267" spans="1:9" x14ac:dyDescent="0.2">
      <c r="A1267" t="s">
        <v>1227</v>
      </c>
      <c r="B1267" s="44">
        <v>43196</v>
      </c>
      <c r="C1267" t="s">
        <v>4</v>
      </c>
      <c r="D1267" t="s">
        <v>3421</v>
      </c>
      <c r="F1267"/>
      <c r="G1267"/>
      <c r="H1267">
        <v>4</v>
      </c>
    </row>
    <row r="1268" spans="1:9" x14ac:dyDescent="0.2">
      <c r="A1268" t="s">
        <v>1248</v>
      </c>
      <c r="B1268" s="44">
        <v>43202</v>
      </c>
      <c r="C1268" t="s">
        <v>778</v>
      </c>
      <c r="D1268" t="s">
        <v>3589</v>
      </c>
      <c r="F1268"/>
      <c r="G1268"/>
      <c r="H1268">
        <v>4</v>
      </c>
    </row>
    <row r="1269" spans="1:9" x14ac:dyDescent="0.2">
      <c r="A1269" t="s">
        <v>1904</v>
      </c>
      <c r="B1269" s="44">
        <v>43217</v>
      </c>
      <c r="C1269" t="s">
        <v>4</v>
      </c>
      <c r="D1269" t="s">
        <v>3429</v>
      </c>
      <c r="F1269"/>
      <c r="G1269"/>
      <c r="H1269">
        <v>4</v>
      </c>
    </row>
    <row r="1270" spans="1:9" x14ac:dyDescent="0.2">
      <c r="A1270" t="s">
        <v>1240</v>
      </c>
      <c r="B1270" s="44">
        <v>43230</v>
      </c>
      <c r="C1270" t="s">
        <v>4</v>
      </c>
      <c r="D1270" t="s">
        <v>3565</v>
      </c>
      <c r="F1270"/>
      <c r="G1270"/>
      <c r="H1270">
        <v>4</v>
      </c>
    </row>
    <row r="1271" spans="1:9" x14ac:dyDescent="0.2">
      <c r="A1271" t="s">
        <v>2024</v>
      </c>
      <c r="B1271" s="44">
        <v>43242</v>
      </c>
      <c r="C1271" t="s">
        <v>4</v>
      </c>
      <c r="D1271" t="s">
        <v>3519</v>
      </c>
      <c r="F1271"/>
      <c r="G1271"/>
      <c r="H1271">
        <v>4</v>
      </c>
    </row>
    <row r="1272" spans="1:9" x14ac:dyDescent="0.2">
      <c r="A1272" t="s">
        <v>2046</v>
      </c>
      <c r="B1272" s="44">
        <v>43244</v>
      </c>
      <c r="C1272" t="s">
        <v>4</v>
      </c>
      <c r="D1272" t="s">
        <v>3605</v>
      </c>
      <c r="F1272"/>
      <c r="G1272"/>
      <c r="H1272">
        <v>4</v>
      </c>
    </row>
    <row r="1273" spans="1:9" x14ac:dyDescent="0.2">
      <c r="A1273" t="s">
        <v>2047</v>
      </c>
      <c r="B1273" s="44">
        <v>43244</v>
      </c>
      <c r="C1273" t="s">
        <v>4</v>
      </c>
      <c r="D1273" t="s">
        <v>3418</v>
      </c>
      <c r="F1273"/>
      <c r="G1273"/>
      <c r="H1273">
        <v>4</v>
      </c>
    </row>
    <row r="1274" spans="1:9" x14ac:dyDescent="0.2">
      <c r="A1274" t="s">
        <v>2051</v>
      </c>
      <c r="B1274" s="44">
        <v>43245</v>
      </c>
      <c r="C1274" t="s">
        <v>5840</v>
      </c>
      <c r="D1274" t="s">
        <v>5839</v>
      </c>
      <c r="F1274"/>
      <c r="G1274"/>
      <c r="H1274">
        <v>4</v>
      </c>
    </row>
    <row r="1275" spans="1:9" x14ac:dyDescent="0.2">
      <c r="A1275" t="s">
        <v>2207</v>
      </c>
      <c r="B1275" s="44">
        <v>43272</v>
      </c>
      <c r="C1275" t="s">
        <v>4</v>
      </c>
      <c r="D1275" t="s">
        <v>3566</v>
      </c>
      <c r="F1275"/>
      <c r="G1275"/>
      <c r="H1275">
        <v>4</v>
      </c>
      <c r="I1275" t="s">
        <v>4492</v>
      </c>
    </row>
    <row r="1276" spans="1:9" x14ac:dyDescent="0.2">
      <c r="A1276" t="s">
        <v>2271</v>
      </c>
      <c r="B1276" s="44">
        <v>43278</v>
      </c>
      <c r="C1276" t="s">
        <v>4</v>
      </c>
      <c r="D1276" t="s">
        <v>3520</v>
      </c>
      <c r="F1276"/>
      <c r="G1276"/>
      <c r="H1276">
        <v>4</v>
      </c>
      <c r="I1276" t="s">
        <v>3214</v>
      </c>
    </row>
    <row r="1277" spans="1:9" x14ac:dyDescent="0.2">
      <c r="A1277" t="s">
        <v>1225</v>
      </c>
      <c r="B1277" s="44">
        <v>43286</v>
      </c>
      <c r="C1277" t="s">
        <v>4</v>
      </c>
      <c r="D1277" t="s">
        <v>3423</v>
      </c>
      <c r="F1277"/>
      <c r="G1277"/>
      <c r="H1277">
        <v>4</v>
      </c>
    </row>
    <row r="1278" spans="1:9" x14ac:dyDescent="0.2">
      <c r="A1278" t="s">
        <v>2342</v>
      </c>
      <c r="B1278" s="44">
        <v>43298</v>
      </c>
      <c r="C1278" t="s">
        <v>4</v>
      </c>
      <c r="D1278" t="s">
        <v>3521</v>
      </c>
      <c r="F1278"/>
      <c r="G1278"/>
      <c r="H1278">
        <v>4</v>
      </c>
      <c r="I1278" t="s">
        <v>3214</v>
      </c>
    </row>
    <row r="1279" spans="1:9" x14ac:dyDescent="0.2">
      <c r="A1279" t="s">
        <v>1211</v>
      </c>
      <c r="B1279" s="44">
        <v>43314</v>
      </c>
      <c r="C1279" t="s">
        <v>4</v>
      </c>
      <c r="D1279" t="s">
        <v>3522</v>
      </c>
      <c r="F1279"/>
      <c r="G1279"/>
      <c r="H1279">
        <v>4</v>
      </c>
    </row>
    <row r="1280" spans="1:9" x14ac:dyDescent="0.2">
      <c r="A1280" t="s">
        <v>1221</v>
      </c>
      <c r="B1280" s="44">
        <v>43347</v>
      </c>
      <c r="C1280" t="s">
        <v>4</v>
      </c>
      <c r="D1280" t="s">
        <v>3523</v>
      </c>
      <c r="F1280"/>
      <c r="G1280"/>
      <c r="H1280">
        <v>4</v>
      </c>
    </row>
    <row r="1281" spans="1:9" x14ac:dyDescent="0.2">
      <c r="A1281" t="s">
        <v>2491</v>
      </c>
      <c r="B1281" s="44">
        <v>43357</v>
      </c>
      <c r="C1281" t="s">
        <v>4</v>
      </c>
      <c r="D1281" t="s">
        <v>3524</v>
      </c>
      <c r="F1281"/>
      <c r="G1281"/>
      <c r="H1281">
        <v>4</v>
      </c>
    </row>
    <row r="1282" spans="1:9" x14ac:dyDescent="0.2">
      <c r="A1282" t="s">
        <v>2605</v>
      </c>
      <c r="B1282" s="44">
        <v>43370</v>
      </c>
      <c r="C1282" t="s">
        <v>4</v>
      </c>
      <c r="D1282" t="s">
        <v>3525</v>
      </c>
      <c r="F1282"/>
      <c r="G1282"/>
      <c r="H1282">
        <v>4</v>
      </c>
    </row>
    <row r="1283" spans="1:9" x14ac:dyDescent="0.2">
      <c r="A1283" t="s">
        <v>1244</v>
      </c>
      <c r="B1283" s="44">
        <v>43384</v>
      </c>
      <c r="C1283" t="s">
        <v>4</v>
      </c>
      <c r="D1283" t="s">
        <v>3526</v>
      </c>
      <c r="F1283"/>
      <c r="G1283"/>
      <c r="H1283">
        <v>4</v>
      </c>
    </row>
    <row r="1284" spans="1:9" x14ac:dyDescent="0.2">
      <c r="A1284" t="s">
        <v>2715</v>
      </c>
      <c r="B1284" s="44">
        <v>43392</v>
      </c>
      <c r="C1284" t="s">
        <v>4</v>
      </c>
      <c r="D1284" t="s">
        <v>3424</v>
      </c>
      <c r="F1284"/>
      <c r="G1284"/>
      <c r="H1284">
        <v>4</v>
      </c>
    </row>
    <row r="1285" spans="1:9" x14ac:dyDescent="0.2">
      <c r="A1285" t="s">
        <v>2762</v>
      </c>
      <c r="B1285" s="44">
        <v>43396</v>
      </c>
      <c r="C1285" t="s">
        <v>4</v>
      </c>
      <c r="D1285" t="s">
        <v>3606</v>
      </c>
      <c r="F1285"/>
      <c r="G1285"/>
      <c r="H1285">
        <v>4</v>
      </c>
    </row>
    <row r="1286" spans="1:9" x14ac:dyDescent="0.2">
      <c r="A1286" t="s">
        <v>1206</v>
      </c>
      <c r="B1286" s="44">
        <v>43405</v>
      </c>
      <c r="C1286" t="s">
        <v>4</v>
      </c>
      <c r="D1286" t="s">
        <v>3522</v>
      </c>
      <c r="F1286"/>
      <c r="G1286"/>
      <c r="H1286">
        <v>4</v>
      </c>
    </row>
    <row r="1287" spans="1:9" x14ac:dyDescent="0.2">
      <c r="A1287" t="s">
        <v>2936</v>
      </c>
      <c r="B1287" s="44">
        <v>43424</v>
      </c>
      <c r="C1287" t="s">
        <v>4</v>
      </c>
      <c r="D1287" t="s">
        <v>3527</v>
      </c>
      <c r="F1287"/>
      <c r="G1287"/>
      <c r="H1287">
        <v>4</v>
      </c>
    </row>
    <row r="1288" spans="1:9" x14ac:dyDescent="0.2">
      <c r="A1288" t="s">
        <v>2946</v>
      </c>
      <c r="B1288" s="44">
        <v>43425</v>
      </c>
      <c r="C1288" t="s">
        <v>4</v>
      </c>
      <c r="D1288" t="s">
        <v>3468</v>
      </c>
      <c r="F1288"/>
      <c r="G1288"/>
      <c r="H1288">
        <v>4</v>
      </c>
    </row>
    <row r="1289" spans="1:9" x14ac:dyDescent="0.2">
      <c r="A1289" t="s">
        <v>2991</v>
      </c>
      <c r="B1289" s="44">
        <v>43430</v>
      </c>
      <c r="C1289" t="s">
        <v>4</v>
      </c>
      <c r="D1289" t="s">
        <v>3425</v>
      </c>
      <c r="F1289"/>
      <c r="G1289"/>
      <c r="H1289">
        <v>4</v>
      </c>
    </row>
    <row r="1290" spans="1:9" x14ac:dyDescent="0.2">
      <c r="A1290" t="s">
        <v>3008</v>
      </c>
      <c r="B1290" s="44">
        <v>43432</v>
      </c>
      <c r="C1290" t="s">
        <v>4</v>
      </c>
      <c r="D1290" t="s">
        <v>3528</v>
      </c>
      <c r="F1290"/>
      <c r="G1290"/>
      <c r="H1290">
        <v>4</v>
      </c>
    </row>
    <row r="1291" spans="1:9" x14ac:dyDescent="0.2">
      <c r="A1291" t="s">
        <v>1279</v>
      </c>
      <c r="B1291" s="44">
        <v>43474</v>
      </c>
      <c r="C1291" t="s">
        <v>4</v>
      </c>
      <c r="D1291" t="s">
        <v>3427</v>
      </c>
      <c r="F1291"/>
      <c r="G1291"/>
      <c r="H1291">
        <v>4</v>
      </c>
    </row>
    <row r="1292" spans="1:9" x14ac:dyDescent="0.2">
      <c r="A1292" t="s">
        <v>1364</v>
      </c>
      <c r="B1292" s="44">
        <v>43481</v>
      </c>
      <c r="C1292" t="s">
        <v>4</v>
      </c>
      <c r="D1292" t="s">
        <v>3428</v>
      </c>
      <c r="F1292"/>
      <c r="G1292"/>
      <c r="H1292">
        <v>4</v>
      </c>
      <c r="I1292" t="s">
        <v>3214</v>
      </c>
    </row>
    <row r="1293" spans="1:9" x14ac:dyDescent="0.2">
      <c r="A1293" t="s">
        <v>1472</v>
      </c>
      <c r="B1293" s="44">
        <v>43493</v>
      </c>
      <c r="C1293" t="s">
        <v>4</v>
      </c>
      <c r="D1293" t="s">
        <v>3529</v>
      </c>
      <c r="F1293"/>
      <c r="G1293"/>
      <c r="H1293">
        <v>4</v>
      </c>
    </row>
    <row r="1294" spans="1:9" x14ac:dyDescent="0.2">
      <c r="A1294" t="s">
        <v>1270</v>
      </c>
      <c r="B1294" s="44">
        <v>43503</v>
      </c>
      <c r="C1294" t="s">
        <v>4</v>
      </c>
      <c r="D1294" t="s">
        <v>3522</v>
      </c>
      <c r="F1294"/>
      <c r="G1294"/>
      <c r="H1294">
        <v>4</v>
      </c>
    </row>
    <row r="1295" spans="1:9" x14ac:dyDescent="0.2">
      <c r="A1295" t="s">
        <v>1293</v>
      </c>
      <c r="B1295" s="44">
        <v>43508</v>
      </c>
      <c r="C1295" t="s">
        <v>4</v>
      </c>
      <c r="D1295" t="s">
        <v>3429</v>
      </c>
      <c r="F1295"/>
      <c r="G1295"/>
      <c r="H1295">
        <v>4</v>
      </c>
    </row>
    <row r="1296" spans="1:9" x14ac:dyDescent="0.2">
      <c r="A1296" t="s">
        <v>1620</v>
      </c>
      <c r="B1296" s="44">
        <v>43521</v>
      </c>
      <c r="C1296" t="s">
        <v>4</v>
      </c>
      <c r="D1296" t="s">
        <v>4477</v>
      </c>
      <c r="F1296"/>
      <c r="G1296"/>
      <c r="H1296">
        <v>4</v>
      </c>
    </row>
    <row r="1297" spans="1:9" x14ac:dyDescent="0.2">
      <c r="A1297" t="s">
        <v>1263</v>
      </c>
      <c r="B1297" s="44">
        <v>43529</v>
      </c>
      <c r="C1297" t="s">
        <v>4</v>
      </c>
      <c r="D1297" t="s">
        <v>3567</v>
      </c>
      <c r="F1297"/>
      <c r="G1297"/>
      <c r="H1297">
        <v>4</v>
      </c>
    </row>
    <row r="1298" spans="1:9" x14ac:dyDescent="0.2">
      <c r="A1298" t="s">
        <v>1736</v>
      </c>
      <c r="B1298" s="44">
        <v>43545</v>
      </c>
      <c r="C1298" t="s">
        <v>4</v>
      </c>
      <c r="D1298" t="s">
        <v>3530</v>
      </c>
      <c r="F1298"/>
      <c r="G1298"/>
      <c r="H1298">
        <v>4</v>
      </c>
    </row>
    <row r="1299" spans="1:9" x14ac:dyDescent="0.2">
      <c r="A1299" t="s">
        <v>1798</v>
      </c>
      <c r="B1299" s="44">
        <v>43552</v>
      </c>
      <c r="C1299" t="s">
        <v>4</v>
      </c>
      <c r="D1299" t="s">
        <v>3531</v>
      </c>
      <c r="F1299"/>
      <c r="G1299"/>
      <c r="H1299">
        <v>4</v>
      </c>
    </row>
    <row r="1300" spans="1:9" x14ac:dyDescent="0.2">
      <c r="A1300" t="s">
        <v>1282</v>
      </c>
      <c r="B1300" s="44">
        <v>43565</v>
      </c>
      <c r="C1300" t="s">
        <v>4</v>
      </c>
      <c r="D1300" t="s">
        <v>3532</v>
      </c>
      <c r="F1300"/>
      <c r="G1300"/>
      <c r="H1300">
        <v>4</v>
      </c>
    </row>
    <row r="1301" spans="1:9" x14ac:dyDescent="0.2">
      <c r="A1301" t="s">
        <v>1288</v>
      </c>
      <c r="B1301" s="44">
        <v>43566</v>
      </c>
      <c r="C1301" t="s">
        <v>4</v>
      </c>
      <c r="D1301" t="s">
        <v>3568</v>
      </c>
      <c r="F1301"/>
      <c r="G1301"/>
      <c r="H1301">
        <v>4</v>
      </c>
    </row>
    <row r="1302" spans="1:9" x14ac:dyDescent="0.2">
      <c r="A1302" t="s">
        <v>1294</v>
      </c>
      <c r="B1302" s="44">
        <v>43567</v>
      </c>
      <c r="C1302" t="s">
        <v>4</v>
      </c>
      <c r="D1302" t="s">
        <v>3569</v>
      </c>
      <c r="F1302"/>
      <c r="G1302"/>
      <c r="H1302">
        <v>4</v>
      </c>
    </row>
    <row r="1303" spans="1:9" x14ac:dyDescent="0.2">
      <c r="A1303" t="s">
        <v>1831</v>
      </c>
      <c r="B1303" s="44">
        <v>43572</v>
      </c>
      <c r="C1303" t="s">
        <v>4</v>
      </c>
      <c r="D1303" t="s">
        <v>3533</v>
      </c>
      <c r="F1303"/>
      <c r="G1303"/>
      <c r="H1303">
        <v>4</v>
      </c>
    </row>
    <row r="1304" spans="1:9" x14ac:dyDescent="0.2">
      <c r="A1304" t="s">
        <v>1913</v>
      </c>
      <c r="B1304" s="44">
        <v>43584</v>
      </c>
      <c r="C1304" t="s">
        <v>4</v>
      </c>
      <c r="D1304" t="s">
        <v>3429</v>
      </c>
      <c r="F1304"/>
      <c r="G1304"/>
      <c r="H1304">
        <v>4</v>
      </c>
    </row>
    <row r="1305" spans="1:9" x14ac:dyDescent="0.2">
      <c r="A1305" t="s">
        <v>1256</v>
      </c>
      <c r="B1305" s="44">
        <v>43587</v>
      </c>
      <c r="C1305" t="s">
        <v>4</v>
      </c>
      <c r="D1305" t="s">
        <v>3522</v>
      </c>
      <c r="F1305"/>
      <c r="G1305"/>
      <c r="H1305">
        <v>4</v>
      </c>
    </row>
    <row r="1306" spans="1:9" x14ac:dyDescent="0.2">
      <c r="A1306" t="s">
        <v>1268</v>
      </c>
      <c r="B1306" s="44">
        <v>43622</v>
      </c>
      <c r="C1306" t="s">
        <v>4</v>
      </c>
      <c r="D1306" t="s">
        <v>3570</v>
      </c>
      <c r="F1306"/>
      <c r="G1306"/>
      <c r="H1306">
        <v>4</v>
      </c>
    </row>
    <row r="1307" spans="1:9" x14ac:dyDescent="0.2">
      <c r="A1307" t="s">
        <v>2104</v>
      </c>
      <c r="B1307" s="44">
        <v>43630</v>
      </c>
      <c r="C1307" t="s">
        <v>4</v>
      </c>
      <c r="D1307" t="s">
        <v>3571</v>
      </c>
      <c r="F1307"/>
      <c r="G1307"/>
      <c r="H1307">
        <v>4</v>
      </c>
    </row>
    <row r="1308" spans="1:9" x14ac:dyDescent="0.2">
      <c r="A1308" t="s">
        <v>2162</v>
      </c>
      <c r="B1308" s="44">
        <v>43634</v>
      </c>
      <c r="C1308" t="s">
        <v>4</v>
      </c>
      <c r="D1308" t="s">
        <v>3430</v>
      </c>
      <c r="F1308"/>
      <c r="G1308"/>
      <c r="H1308">
        <v>4</v>
      </c>
    </row>
    <row r="1309" spans="1:9" x14ac:dyDescent="0.2">
      <c r="A1309" t="s">
        <v>2193</v>
      </c>
      <c r="B1309" s="44">
        <v>43636</v>
      </c>
      <c r="C1309" t="s">
        <v>4</v>
      </c>
      <c r="D1309" t="s">
        <v>3431</v>
      </c>
      <c r="F1309"/>
      <c r="G1309"/>
      <c r="H1309">
        <v>4</v>
      </c>
      <c r="I1309" t="s">
        <v>4492</v>
      </c>
    </row>
    <row r="1310" spans="1:9" x14ac:dyDescent="0.2">
      <c r="A1310" t="s">
        <v>2263</v>
      </c>
      <c r="B1310" s="44">
        <v>43642</v>
      </c>
      <c r="C1310" t="s">
        <v>4</v>
      </c>
      <c r="D1310" t="s">
        <v>3534</v>
      </c>
      <c r="F1310"/>
      <c r="G1310"/>
      <c r="H1310">
        <v>4</v>
      </c>
    </row>
    <row r="1311" spans="1:9" x14ac:dyDescent="0.2">
      <c r="A1311" t="s">
        <v>1257</v>
      </c>
      <c r="B1311" s="44">
        <v>43648</v>
      </c>
      <c r="C1311" t="s">
        <v>4</v>
      </c>
      <c r="D1311" t="s">
        <v>3535</v>
      </c>
      <c r="F1311"/>
      <c r="G1311"/>
      <c r="H1311">
        <v>4</v>
      </c>
    </row>
    <row r="1312" spans="1:9" x14ac:dyDescent="0.2">
      <c r="A1312" t="s">
        <v>1292</v>
      </c>
      <c r="B1312" s="44">
        <v>43657</v>
      </c>
      <c r="C1312" t="s">
        <v>4</v>
      </c>
      <c r="D1312" t="s">
        <v>3432</v>
      </c>
      <c r="F1312"/>
      <c r="G1312"/>
      <c r="H1312">
        <v>4</v>
      </c>
    </row>
    <row r="1313" spans="1:8" x14ac:dyDescent="0.2">
      <c r="A1313" t="s">
        <v>2331</v>
      </c>
      <c r="B1313" s="44">
        <v>43662</v>
      </c>
      <c r="C1313" t="s">
        <v>4</v>
      </c>
      <c r="D1313" t="s">
        <v>3536</v>
      </c>
      <c r="F1313"/>
      <c r="G1313"/>
      <c r="H1313">
        <v>4</v>
      </c>
    </row>
    <row r="1314" spans="1:8" x14ac:dyDescent="0.2">
      <c r="A1314" t="s">
        <v>1253</v>
      </c>
      <c r="B1314" s="44">
        <v>43678</v>
      </c>
      <c r="C1314" t="s">
        <v>4</v>
      </c>
      <c r="D1314" t="s">
        <v>3522</v>
      </c>
      <c r="F1314"/>
      <c r="G1314"/>
      <c r="H1314">
        <v>4</v>
      </c>
    </row>
    <row r="1315" spans="1:8" x14ac:dyDescent="0.2">
      <c r="A1315" t="s">
        <v>2448</v>
      </c>
      <c r="B1315" s="44">
        <v>43700</v>
      </c>
      <c r="C1315" t="s">
        <v>4</v>
      </c>
      <c r="D1315" t="s">
        <v>3537</v>
      </c>
      <c r="F1315"/>
      <c r="G1315"/>
      <c r="H1315">
        <v>4</v>
      </c>
    </row>
    <row r="1316" spans="1:8" x14ac:dyDescent="0.2">
      <c r="A1316" t="s">
        <v>1286</v>
      </c>
      <c r="B1316" s="44">
        <v>43718</v>
      </c>
      <c r="C1316" t="s">
        <v>4</v>
      </c>
      <c r="D1316" t="s">
        <v>3539</v>
      </c>
      <c r="F1316"/>
      <c r="G1316"/>
      <c r="H1316">
        <v>4</v>
      </c>
    </row>
    <row r="1317" spans="1:8" x14ac:dyDescent="0.2">
      <c r="A1317" t="s">
        <v>2589</v>
      </c>
      <c r="B1317" s="44">
        <v>43733</v>
      </c>
      <c r="C1317" t="s">
        <v>4</v>
      </c>
      <c r="D1317" t="s">
        <v>3433</v>
      </c>
      <c r="F1317"/>
      <c r="G1317"/>
      <c r="H1317">
        <v>4</v>
      </c>
    </row>
    <row r="1318" spans="1:8" x14ac:dyDescent="0.2">
      <c r="A1318" t="s">
        <v>2590</v>
      </c>
      <c r="B1318" s="44">
        <v>43733</v>
      </c>
      <c r="C1318" t="s">
        <v>4</v>
      </c>
      <c r="D1318" t="s">
        <v>3434</v>
      </c>
      <c r="F1318"/>
      <c r="G1318"/>
      <c r="H1318">
        <v>4</v>
      </c>
    </row>
    <row r="1319" spans="1:8" x14ac:dyDescent="0.2">
      <c r="A1319" t="s">
        <v>1277</v>
      </c>
      <c r="B1319" s="44">
        <v>43746</v>
      </c>
      <c r="C1319" t="s">
        <v>4</v>
      </c>
      <c r="D1319" t="s">
        <v>3540</v>
      </c>
      <c r="F1319"/>
      <c r="G1319"/>
      <c r="H1319">
        <v>4</v>
      </c>
    </row>
    <row r="1320" spans="1:8" x14ac:dyDescent="0.2">
      <c r="A1320" t="s">
        <v>2673</v>
      </c>
      <c r="B1320" s="44">
        <v>43754</v>
      </c>
      <c r="C1320" t="s">
        <v>4</v>
      </c>
      <c r="D1320" t="s">
        <v>3541</v>
      </c>
      <c r="F1320"/>
      <c r="G1320"/>
      <c r="H1320">
        <v>4</v>
      </c>
    </row>
    <row r="1321" spans="1:8" x14ac:dyDescent="0.2">
      <c r="A1321" t="s">
        <v>2689</v>
      </c>
      <c r="B1321" s="44">
        <v>43755</v>
      </c>
      <c r="C1321" t="s">
        <v>4</v>
      </c>
      <c r="D1321" t="s">
        <v>3542</v>
      </c>
      <c r="F1321"/>
      <c r="G1321"/>
      <c r="H1321">
        <v>4</v>
      </c>
    </row>
    <row r="1322" spans="1:8" x14ac:dyDescent="0.2">
      <c r="A1322" t="s">
        <v>2700</v>
      </c>
      <c r="B1322" s="44">
        <v>43756</v>
      </c>
      <c r="C1322" t="s">
        <v>4</v>
      </c>
      <c r="D1322" t="s">
        <v>3435</v>
      </c>
      <c r="F1322"/>
      <c r="G1322"/>
      <c r="H1322">
        <v>4</v>
      </c>
    </row>
    <row r="1323" spans="1:8" x14ac:dyDescent="0.2">
      <c r="A1323" t="s">
        <v>2814</v>
      </c>
      <c r="B1323" s="44">
        <v>43767</v>
      </c>
      <c r="C1323" t="s">
        <v>4</v>
      </c>
      <c r="D1323" t="s">
        <v>3607</v>
      </c>
      <c r="F1323"/>
      <c r="G1323"/>
      <c r="H1323">
        <v>4</v>
      </c>
    </row>
    <row r="1324" spans="1:8" x14ac:dyDescent="0.2">
      <c r="A1324" t="s">
        <v>1275</v>
      </c>
      <c r="B1324" s="44">
        <v>43776</v>
      </c>
      <c r="C1324" t="s">
        <v>4</v>
      </c>
      <c r="D1324" t="s">
        <v>3522</v>
      </c>
      <c r="F1324"/>
      <c r="G1324"/>
      <c r="H1324">
        <v>4</v>
      </c>
    </row>
    <row r="1325" spans="1:8" x14ac:dyDescent="0.2">
      <c r="A1325" t="s">
        <v>3053</v>
      </c>
      <c r="B1325" s="44">
        <v>43815</v>
      </c>
      <c r="C1325" t="s">
        <v>4</v>
      </c>
      <c r="D1325" t="s">
        <v>3528</v>
      </c>
      <c r="F1325"/>
      <c r="G1325"/>
      <c r="H1325">
        <v>4</v>
      </c>
    </row>
    <row r="1326" spans="1:8" x14ac:dyDescent="0.2">
      <c r="A1326" t="s">
        <v>3061</v>
      </c>
      <c r="B1326" s="44">
        <v>43816</v>
      </c>
      <c r="C1326" t="s">
        <v>4</v>
      </c>
      <c r="D1326" t="s">
        <v>3543</v>
      </c>
      <c r="F1326"/>
      <c r="G1326"/>
      <c r="H1326">
        <v>4</v>
      </c>
    </row>
    <row r="1327" spans="1:8" x14ac:dyDescent="0.2">
      <c r="A1327" t="s">
        <v>1322</v>
      </c>
      <c r="B1327" s="44">
        <v>43839</v>
      </c>
      <c r="C1327" t="s">
        <v>4</v>
      </c>
      <c r="D1327" t="s">
        <v>3429</v>
      </c>
      <c r="F1327"/>
      <c r="G1327"/>
      <c r="H1327">
        <v>4</v>
      </c>
    </row>
    <row r="1328" spans="1:8" x14ac:dyDescent="0.2">
      <c r="A1328" t="s">
        <v>1406</v>
      </c>
      <c r="B1328" s="44">
        <v>43851</v>
      </c>
      <c r="C1328" t="s">
        <v>4</v>
      </c>
      <c r="D1328" t="s">
        <v>3436</v>
      </c>
      <c r="F1328"/>
      <c r="G1328"/>
      <c r="H1328">
        <v>4</v>
      </c>
    </row>
    <row r="1329" spans="1:8" x14ac:dyDescent="0.2">
      <c r="A1329" t="s">
        <v>1418</v>
      </c>
      <c r="B1329" s="44">
        <v>43852</v>
      </c>
      <c r="C1329" t="s">
        <v>4</v>
      </c>
      <c r="D1329" t="s">
        <v>3544</v>
      </c>
      <c r="F1329"/>
      <c r="G1329"/>
      <c r="H1329">
        <v>4</v>
      </c>
    </row>
    <row r="1330" spans="1:8" x14ac:dyDescent="0.2">
      <c r="A1330" t="s">
        <v>1487</v>
      </c>
      <c r="B1330" s="44">
        <v>43860</v>
      </c>
      <c r="C1330" t="s">
        <v>4</v>
      </c>
      <c r="D1330" t="s">
        <v>3522</v>
      </c>
      <c r="F1330"/>
      <c r="G1330"/>
      <c r="H1330">
        <v>4</v>
      </c>
    </row>
    <row r="1331" spans="1:8" x14ac:dyDescent="0.2">
      <c r="A1331" t="s">
        <v>1328</v>
      </c>
      <c r="B1331" s="44">
        <v>43872</v>
      </c>
      <c r="C1331" t="s">
        <v>4</v>
      </c>
      <c r="D1331" t="s">
        <v>3437</v>
      </c>
      <c r="F1331"/>
      <c r="G1331"/>
      <c r="H1331">
        <v>4</v>
      </c>
    </row>
    <row r="1332" spans="1:8" x14ac:dyDescent="0.2">
      <c r="A1332" t="s">
        <v>1310</v>
      </c>
      <c r="B1332" s="44">
        <v>43895</v>
      </c>
      <c r="C1332" t="s">
        <v>4</v>
      </c>
      <c r="D1332" t="s">
        <v>3546</v>
      </c>
      <c r="F1332"/>
      <c r="G1332"/>
      <c r="H1332">
        <v>4</v>
      </c>
    </row>
    <row r="1333" spans="1:8" x14ac:dyDescent="0.2">
      <c r="A1333" t="s">
        <v>1317</v>
      </c>
      <c r="B1333" s="44">
        <v>43958</v>
      </c>
      <c r="C1333" t="s">
        <v>4</v>
      </c>
      <c r="D1333" t="s">
        <v>3438</v>
      </c>
      <c r="F1333"/>
      <c r="G1333"/>
      <c r="H1333">
        <v>4</v>
      </c>
    </row>
    <row r="1334" spans="1:8" x14ac:dyDescent="0.2">
      <c r="A1334" t="s">
        <v>1936</v>
      </c>
      <c r="B1334" s="44">
        <v>43965</v>
      </c>
      <c r="C1334" t="s">
        <v>4</v>
      </c>
      <c r="D1334" t="s">
        <v>3439</v>
      </c>
      <c r="F1334"/>
      <c r="G1334"/>
      <c r="H1334">
        <v>4</v>
      </c>
    </row>
    <row r="1335" spans="1:8" x14ac:dyDescent="0.2">
      <c r="A1335" t="s">
        <v>1997</v>
      </c>
      <c r="B1335" s="44">
        <v>43971</v>
      </c>
      <c r="C1335" t="s">
        <v>4</v>
      </c>
      <c r="D1335" t="s">
        <v>3452</v>
      </c>
      <c r="F1335"/>
      <c r="G1335"/>
      <c r="H1335">
        <v>4</v>
      </c>
    </row>
    <row r="1336" spans="1:8" x14ac:dyDescent="0.2">
      <c r="A1336" t="s">
        <v>2231</v>
      </c>
      <c r="B1336" s="44">
        <v>44005</v>
      </c>
      <c r="C1336" t="s">
        <v>4</v>
      </c>
      <c r="D1336" t="s">
        <v>3440</v>
      </c>
      <c r="F1336"/>
      <c r="G1336"/>
      <c r="H1336">
        <v>4</v>
      </c>
    </row>
    <row r="1337" spans="1:8" x14ac:dyDescent="0.2">
      <c r="A1337" t="s">
        <v>2291</v>
      </c>
      <c r="B1337" s="44">
        <v>44011</v>
      </c>
      <c r="C1337" t="s">
        <v>4</v>
      </c>
      <c r="D1337" t="s">
        <v>3453</v>
      </c>
      <c r="F1337"/>
      <c r="G1337"/>
      <c r="H1337">
        <v>4</v>
      </c>
    </row>
    <row r="1338" spans="1:8" x14ac:dyDescent="0.2">
      <c r="A1338" t="s">
        <v>2291</v>
      </c>
      <c r="B1338" s="44">
        <v>44011</v>
      </c>
      <c r="C1338" t="s">
        <v>4</v>
      </c>
      <c r="D1338" t="s">
        <v>3448</v>
      </c>
      <c r="F1338"/>
      <c r="G1338"/>
      <c r="H1338">
        <v>4</v>
      </c>
    </row>
    <row r="1339" spans="1:8" x14ac:dyDescent="0.2">
      <c r="A1339" t="s">
        <v>2310</v>
      </c>
      <c r="B1339" s="44">
        <v>44025</v>
      </c>
      <c r="C1339" t="s">
        <v>4</v>
      </c>
      <c r="D1339" t="s">
        <v>3441</v>
      </c>
      <c r="F1339"/>
      <c r="G1339"/>
      <c r="H1339">
        <v>4</v>
      </c>
    </row>
    <row r="1340" spans="1:8" x14ac:dyDescent="0.2">
      <c r="A1340" t="s">
        <v>2311</v>
      </c>
      <c r="B1340" s="44">
        <v>44025</v>
      </c>
      <c r="C1340" t="s">
        <v>4</v>
      </c>
      <c r="D1340" t="s">
        <v>3442</v>
      </c>
      <c r="F1340"/>
      <c r="G1340"/>
      <c r="H1340">
        <v>4</v>
      </c>
    </row>
    <row r="1341" spans="1:8" x14ac:dyDescent="0.2">
      <c r="A1341" t="s">
        <v>2332</v>
      </c>
      <c r="B1341" s="44">
        <v>44028</v>
      </c>
      <c r="C1341" t="s">
        <v>4</v>
      </c>
      <c r="D1341" t="s">
        <v>3443</v>
      </c>
      <c r="F1341"/>
      <c r="G1341"/>
      <c r="H1341">
        <v>4</v>
      </c>
    </row>
    <row r="1342" spans="1:8" x14ac:dyDescent="0.2">
      <c r="A1342" t="s">
        <v>2345</v>
      </c>
      <c r="B1342" s="44">
        <v>44029</v>
      </c>
      <c r="C1342" t="s">
        <v>4</v>
      </c>
      <c r="D1342" t="s">
        <v>3439</v>
      </c>
      <c r="F1342"/>
      <c r="G1342"/>
      <c r="H1342">
        <v>4</v>
      </c>
    </row>
    <row r="1343" spans="1:8" x14ac:dyDescent="0.2">
      <c r="A1343" t="s">
        <v>2459</v>
      </c>
      <c r="B1343" s="44">
        <v>44071</v>
      </c>
      <c r="C1343" t="s">
        <v>4</v>
      </c>
      <c r="D1343" t="s">
        <v>3444</v>
      </c>
      <c r="F1343"/>
      <c r="G1343"/>
      <c r="H1343">
        <v>4</v>
      </c>
    </row>
    <row r="1344" spans="1:8" x14ac:dyDescent="0.2">
      <c r="A1344" t="s">
        <v>1299</v>
      </c>
      <c r="B1344" s="44">
        <v>44076</v>
      </c>
      <c r="C1344" t="s">
        <v>4</v>
      </c>
      <c r="D1344" t="s">
        <v>3454</v>
      </c>
      <c r="F1344"/>
      <c r="G1344"/>
      <c r="H1344">
        <v>4</v>
      </c>
    </row>
    <row r="1345" spans="1:8" x14ac:dyDescent="0.2">
      <c r="A1345" t="s">
        <v>1303</v>
      </c>
      <c r="B1345" s="44">
        <v>44077</v>
      </c>
      <c r="C1345" t="s">
        <v>4</v>
      </c>
      <c r="D1345" t="s">
        <v>3455</v>
      </c>
      <c r="F1345"/>
      <c r="G1345"/>
      <c r="H1345">
        <v>4</v>
      </c>
    </row>
    <row r="1346" spans="1:8" x14ac:dyDescent="0.2">
      <c r="A1346" t="s">
        <v>2567</v>
      </c>
      <c r="B1346" s="44">
        <v>44096</v>
      </c>
      <c r="C1346" t="s">
        <v>4</v>
      </c>
      <c r="D1346" t="s">
        <v>3456</v>
      </c>
      <c r="F1346"/>
      <c r="G1346"/>
      <c r="H1346">
        <v>4</v>
      </c>
    </row>
    <row r="1347" spans="1:8" x14ac:dyDescent="0.2">
      <c r="A1347" t="s">
        <v>2581</v>
      </c>
      <c r="B1347" s="44">
        <v>44098</v>
      </c>
      <c r="C1347" t="s">
        <v>4</v>
      </c>
      <c r="D1347" t="s">
        <v>3457</v>
      </c>
      <c r="F1347"/>
      <c r="G1347"/>
      <c r="H1347">
        <v>4</v>
      </c>
    </row>
    <row r="1348" spans="1:8" x14ac:dyDescent="0.2">
      <c r="A1348" t="s">
        <v>2627</v>
      </c>
      <c r="B1348" s="44">
        <v>44103</v>
      </c>
      <c r="C1348" t="s">
        <v>4</v>
      </c>
      <c r="D1348" t="s">
        <v>3458</v>
      </c>
      <c r="F1348"/>
      <c r="G1348"/>
      <c r="H1348">
        <v>4</v>
      </c>
    </row>
    <row r="1349" spans="1:8" x14ac:dyDescent="0.2">
      <c r="A1349" t="s">
        <v>1321</v>
      </c>
      <c r="B1349" s="44">
        <v>44112</v>
      </c>
      <c r="C1349" t="s">
        <v>5834</v>
      </c>
      <c r="D1349" t="s">
        <v>3459</v>
      </c>
      <c r="F1349"/>
      <c r="G1349"/>
      <c r="H1349">
        <v>4</v>
      </c>
    </row>
    <row r="1350" spans="1:8" x14ac:dyDescent="0.2">
      <c r="A1350" t="s">
        <v>1336</v>
      </c>
      <c r="B1350" s="44">
        <v>44116</v>
      </c>
      <c r="C1350" t="s">
        <v>4</v>
      </c>
      <c r="D1350" t="s">
        <v>3446</v>
      </c>
      <c r="F1350"/>
      <c r="G1350"/>
      <c r="H1350">
        <v>4</v>
      </c>
    </row>
    <row r="1351" spans="1:8" x14ac:dyDescent="0.2">
      <c r="A1351" t="s">
        <v>2651</v>
      </c>
      <c r="B1351" s="44">
        <v>44117</v>
      </c>
      <c r="C1351" t="s">
        <v>4</v>
      </c>
      <c r="D1351" t="s">
        <v>4475</v>
      </c>
      <c r="F1351"/>
      <c r="G1351"/>
      <c r="H1351">
        <v>4</v>
      </c>
    </row>
    <row r="1352" spans="1:8" x14ac:dyDescent="0.2">
      <c r="A1352" t="s">
        <v>2702</v>
      </c>
      <c r="B1352" s="44">
        <v>44122</v>
      </c>
      <c r="C1352" t="s">
        <v>4</v>
      </c>
      <c r="D1352" t="s">
        <v>3460</v>
      </c>
      <c r="F1352"/>
      <c r="G1352"/>
      <c r="H1352">
        <v>4</v>
      </c>
    </row>
    <row r="1353" spans="1:8" x14ac:dyDescent="0.2">
      <c r="A1353" t="s">
        <v>2752</v>
      </c>
      <c r="B1353" s="44">
        <v>44126</v>
      </c>
      <c r="C1353" t="s">
        <v>4</v>
      </c>
      <c r="D1353" t="s">
        <v>3461</v>
      </c>
      <c r="F1353"/>
      <c r="G1353"/>
      <c r="H1353">
        <v>4</v>
      </c>
    </row>
    <row r="1354" spans="1:8" x14ac:dyDescent="0.2">
      <c r="A1354" t="s">
        <v>1324</v>
      </c>
      <c r="B1354" s="44">
        <v>44144</v>
      </c>
      <c r="C1354" t="s">
        <v>4</v>
      </c>
      <c r="D1354" t="s">
        <v>3449</v>
      </c>
      <c r="F1354"/>
      <c r="G1354"/>
      <c r="H1354">
        <v>4</v>
      </c>
    </row>
    <row r="1355" spans="1:8" x14ac:dyDescent="0.2">
      <c r="A1355" t="s">
        <v>1337</v>
      </c>
      <c r="B1355" s="44">
        <v>44147</v>
      </c>
      <c r="C1355" t="s">
        <v>4</v>
      </c>
      <c r="D1355" t="s">
        <v>3450</v>
      </c>
      <c r="F1355"/>
      <c r="G1355"/>
      <c r="H1355">
        <v>4</v>
      </c>
    </row>
    <row r="1356" spans="1:8" x14ac:dyDescent="0.2">
      <c r="A1356" t="s">
        <v>1339</v>
      </c>
      <c r="B1356" s="44">
        <v>44147</v>
      </c>
      <c r="C1356" t="s">
        <v>5834</v>
      </c>
      <c r="D1356" t="s">
        <v>3462</v>
      </c>
      <c r="F1356"/>
      <c r="G1356"/>
      <c r="H1356">
        <v>4</v>
      </c>
    </row>
    <row r="1357" spans="1:8" x14ac:dyDescent="0.2">
      <c r="A1357" t="s">
        <v>2893</v>
      </c>
      <c r="B1357" s="44">
        <v>44152</v>
      </c>
      <c r="C1357" t="s">
        <v>4</v>
      </c>
      <c r="D1357" t="s">
        <v>3450</v>
      </c>
      <c r="F1357"/>
      <c r="G1357"/>
      <c r="H1357">
        <v>4</v>
      </c>
    </row>
    <row r="1358" spans="1:8" x14ac:dyDescent="0.2">
      <c r="A1358" t="s">
        <v>2904</v>
      </c>
      <c r="B1358" s="44">
        <v>44153</v>
      </c>
      <c r="C1358" t="s">
        <v>4</v>
      </c>
      <c r="D1358" t="s">
        <v>3445</v>
      </c>
      <c r="F1358"/>
      <c r="G1358"/>
      <c r="H1358">
        <v>4</v>
      </c>
    </row>
    <row r="1359" spans="1:8" x14ac:dyDescent="0.2">
      <c r="A1359" t="s">
        <v>2966</v>
      </c>
      <c r="B1359" s="44">
        <v>44158</v>
      </c>
      <c r="C1359" t="s">
        <v>4</v>
      </c>
      <c r="D1359" t="s">
        <v>3463</v>
      </c>
      <c r="F1359"/>
      <c r="G1359"/>
      <c r="H1359">
        <v>4</v>
      </c>
    </row>
    <row r="1360" spans="1:8" x14ac:dyDescent="0.2">
      <c r="A1360" t="s">
        <v>1298</v>
      </c>
      <c r="B1360" s="44">
        <v>44166</v>
      </c>
      <c r="C1360" t="s">
        <v>4</v>
      </c>
      <c r="D1360" t="s">
        <v>3446</v>
      </c>
      <c r="F1360"/>
      <c r="G1360"/>
      <c r="H1360">
        <v>4</v>
      </c>
    </row>
    <row r="1361" spans="1:8" x14ac:dyDescent="0.2">
      <c r="A1361" t="s">
        <v>1374</v>
      </c>
      <c r="B1361" s="44">
        <v>35814</v>
      </c>
      <c r="C1361" t="s">
        <v>4</v>
      </c>
      <c r="D1361" t="s">
        <v>3608</v>
      </c>
      <c r="F1361"/>
      <c r="G1361"/>
      <c r="H1361">
        <v>5</v>
      </c>
    </row>
    <row r="1362" spans="1:8" x14ac:dyDescent="0.2">
      <c r="A1362" t="s">
        <v>33</v>
      </c>
      <c r="B1362" s="44">
        <v>35832</v>
      </c>
      <c r="C1362" t="s">
        <v>4</v>
      </c>
      <c r="D1362" t="s">
        <v>3609</v>
      </c>
      <c r="F1362"/>
      <c r="G1362"/>
      <c r="H1362">
        <v>5</v>
      </c>
    </row>
    <row r="1363" spans="1:8" x14ac:dyDescent="0.2">
      <c r="A1363" t="s">
        <v>2115</v>
      </c>
      <c r="B1363" s="44">
        <v>35962</v>
      </c>
      <c r="C1363" t="s">
        <v>4</v>
      </c>
      <c r="D1363" t="s">
        <v>2116</v>
      </c>
      <c r="F1363"/>
      <c r="G1363"/>
      <c r="H1363">
        <v>5</v>
      </c>
    </row>
    <row r="1364" spans="1:8" x14ac:dyDescent="0.2">
      <c r="A1364" t="s">
        <v>2113</v>
      </c>
      <c r="B1364" s="44">
        <v>35962</v>
      </c>
      <c r="C1364" t="s">
        <v>4</v>
      </c>
      <c r="D1364" t="s">
        <v>3610</v>
      </c>
      <c r="F1364"/>
      <c r="G1364"/>
      <c r="H1364">
        <v>5</v>
      </c>
    </row>
    <row r="1365" spans="1:8" x14ac:dyDescent="0.2">
      <c r="A1365" t="s">
        <v>2140</v>
      </c>
      <c r="B1365" s="44">
        <v>35964</v>
      </c>
      <c r="C1365" t="s">
        <v>4</v>
      </c>
      <c r="D1365" t="s">
        <v>3611</v>
      </c>
      <c r="F1365"/>
      <c r="G1365"/>
      <c r="H1365">
        <v>5</v>
      </c>
    </row>
    <row r="1366" spans="1:8" x14ac:dyDescent="0.2">
      <c r="A1366" t="s">
        <v>13</v>
      </c>
      <c r="B1366" s="44">
        <v>35978</v>
      </c>
      <c r="C1366" t="s">
        <v>4</v>
      </c>
      <c r="D1366" t="s">
        <v>3612</v>
      </c>
      <c r="F1366"/>
      <c r="G1366"/>
      <c r="H1366">
        <v>5</v>
      </c>
    </row>
    <row r="1367" spans="1:8" x14ac:dyDescent="0.2">
      <c r="A1367" t="s">
        <v>2869</v>
      </c>
      <c r="B1367" s="44">
        <v>36480</v>
      </c>
      <c r="C1367" t="s">
        <v>4</v>
      </c>
      <c r="D1367" t="s">
        <v>3613</v>
      </c>
      <c r="F1367"/>
      <c r="G1367"/>
      <c r="H1367">
        <v>5</v>
      </c>
    </row>
    <row r="1368" spans="1:8" x14ac:dyDescent="0.2">
      <c r="A1368" t="s">
        <v>2906</v>
      </c>
      <c r="B1368" s="44">
        <v>36483</v>
      </c>
      <c r="C1368" t="s">
        <v>4</v>
      </c>
      <c r="D1368" t="s">
        <v>3614</v>
      </c>
      <c r="F1368"/>
      <c r="G1368"/>
      <c r="H1368">
        <v>5</v>
      </c>
    </row>
    <row r="1369" spans="1:8" x14ac:dyDescent="0.2">
      <c r="A1369" t="s">
        <v>2959</v>
      </c>
      <c r="B1369" s="44">
        <v>36487</v>
      </c>
      <c r="C1369" t="s">
        <v>4</v>
      </c>
      <c r="D1369" t="s">
        <v>3615</v>
      </c>
      <c r="F1369"/>
      <c r="G1369"/>
      <c r="H1369">
        <v>5</v>
      </c>
    </row>
    <row r="1370" spans="1:8" x14ac:dyDescent="0.2">
      <c r="A1370" t="s">
        <v>3017</v>
      </c>
      <c r="B1370" s="44">
        <v>36494</v>
      </c>
      <c r="C1370" t="s">
        <v>4</v>
      </c>
      <c r="D1370" t="s">
        <v>3616</v>
      </c>
      <c r="F1370"/>
      <c r="G1370"/>
      <c r="H1370">
        <v>5</v>
      </c>
    </row>
    <row r="1371" spans="1:8" x14ac:dyDescent="0.2">
      <c r="A1371" t="s">
        <v>3018</v>
      </c>
      <c r="B1371" s="44">
        <v>36494</v>
      </c>
      <c r="C1371" t="s">
        <v>4</v>
      </c>
      <c r="D1371" t="s">
        <v>3613</v>
      </c>
      <c r="F1371"/>
      <c r="G1371"/>
      <c r="H1371">
        <v>5</v>
      </c>
    </row>
    <row r="1372" spans="1:8" x14ac:dyDescent="0.2">
      <c r="A1372" t="s">
        <v>67</v>
      </c>
      <c r="B1372" s="44">
        <v>36496</v>
      </c>
      <c r="C1372" t="s">
        <v>4</v>
      </c>
      <c r="D1372" t="s">
        <v>3617</v>
      </c>
      <c r="F1372"/>
      <c r="G1372"/>
      <c r="H1372">
        <v>5</v>
      </c>
    </row>
    <row r="1373" spans="1:8" x14ac:dyDescent="0.2">
      <c r="A1373" t="s">
        <v>68</v>
      </c>
      <c r="B1373" s="44">
        <v>36496</v>
      </c>
      <c r="C1373" t="s">
        <v>4</v>
      </c>
      <c r="D1373" t="s">
        <v>3614</v>
      </c>
      <c r="F1373"/>
      <c r="G1373"/>
      <c r="H1373">
        <v>5</v>
      </c>
    </row>
    <row r="1374" spans="1:8" x14ac:dyDescent="0.2">
      <c r="A1374" t="s">
        <v>3054</v>
      </c>
      <c r="B1374" s="44">
        <v>36511</v>
      </c>
      <c r="C1374" t="s">
        <v>4</v>
      </c>
      <c r="D1374" t="s">
        <v>3614</v>
      </c>
      <c r="F1374"/>
      <c r="G1374"/>
      <c r="H1374">
        <v>5</v>
      </c>
    </row>
    <row r="1375" spans="1:8" x14ac:dyDescent="0.2">
      <c r="A1375" t="s">
        <v>137</v>
      </c>
      <c r="B1375" s="44">
        <v>36532</v>
      </c>
      <c r="C1375" t="s">
        <v>4</v>
      </c>
      <c r="D1375" t="s">
        <v>3250</v>
      </c>
      <c r="F1375"/>
      <c r="G1375"/>
      <c r="H1375">
        <v>5</v>
      </c>
    </row>
    <row r="1376" spans="1:8" x14ac:dyDescent="0.2">
      <c r="A1376" t="s">
        <v>1431</v>
      </c>
      <c r="B1376" s="44">
        <v>36549</v>
      </c>
      <c r="C1376" t="s">
        <v>4</v>
      </c>
      <c r="D1376" t="s">
        <v>3618</v>
      </c>
      <c r="F1376"/>
      <c r="G1376"/>
      <c r="H1376">
        <v>5</v>
      </c>
    </row>
    <row r="1377" spans="1:8" x14ac:dyDescent="0.2">
      <c r="A1377" t="s">
        <v>1675</v>
      </c>
      <c r="B1377" s="44">
        <v>36600</v>
      </c>
      <c r="C1377" t="s">
        <v>4</v>
      </c>
      <c r="D1377" t="s">
        <v>3620</v>
      </c>
      <c r="F1377"/>
      <c r="G1377"/>
      <c r="H1377">
        <v>5</v>
      </c>
    </row>
    <row r="1378" spans="1:8" x14ac:dyDescent="0.2">
      <c r="A1378" t="s">
        <v>1674</v>
      </c>
      <c r="B1378" s="44">
        <v>36600</v>
      </c>
      <c r="C1378" t="s">
        <v>4</v>
      </c>
      <c r="D1378" t="s">
        <v>3619</v>
      </c>
      <c r="F1378"/>
      <c r="G1378"/>
      <c r="H1378">
        <v>5</v>
      </c>
    </row>
    <row r="1379" spans="1:8" x14ac:dyDescent="0.2">
      <c r="A1379" t="s">
        <v>1813</v>
      </c>
      <c r="B1379" s="44">
        <v>36629</v>
      </c>
      <c r="C1379" t="s">
        <v>4</v>
      </c>
      <c r="D1379" t="s">
        <v>3880</v>
      </c>
      <c r="F1379"/>
      <c r="G1379"/>
      <c r="H1379">
        <v>5</v>
      </c>
    </row>
    <row r="1380" spans="1:8" x14ac:dyDescent="0.2">
      <c r="A1380" t="s">
        <v>1815</v>
      </c>
      <c r="B1380" s="44">
        <v>36630</v>
      </c>
      <c r="C1380" t="s">
        <v>4</v>
      </c>
      <c r="D1380" t="s">
        <v>3279</v>
      </c>
      <c r="F1380"/>
      <c r="G1380"/>
      <c r="H1380">
        <v>5</v>
      </c>
    </row>
    <row r="1381" spans="1:8" x14ac:dyDescent="0.2">
      <c r="A1381" t="s">
        <v>1894</v>
      </c>
      <c r="B1381" s="44">
        <v>36642</v>
      </c>
      <c r="C1381" t="s">
        <v>4</v>
      </c>
      <c r="D1381" t="s">
        <v>3616</v>
      </c>
      <c r="F1381"/>
      <c r="G1381"/>
      <c r="H1381">
        <v>5</v>
      </c>
    </row>
    <row r="1382" spans="1:8" x14ac:dyDescent="0.2">
      <c r="A1382" t="s">
        <v>1893</v>
      </c>
      <c r="B1382" s="44">
        <v>36642</v>
      </c>
      <c r="C1382" t="s">
        <v>4</v>
      </c>
      <c r="D1382" t="s">
        <v>3613</v>
      </c>
      <c r="F1382"/>
      <c r="G1382"/>
      <c r="H1382">
        <v>5</v>
      </c>
    </row>
    <row r="1383" spans="1:8" x14ac:dyDescent="0.2">
      <c r="A1383" t="s">
        <v>152</v>
      </c>
      <c r="B1383" s="44">
        <v>36655</v>
      </c>
      <c r="C1383" t="s">
        <v>4</v>
      </c>
      <c r="D1383" t="s">
        <v>3617</v>
      </c>
      <c r="F1383"/>
      <c r="G1383"/>
      <c r="H1383">
        <v>5</v>
      </c>
    </row>
    <row r="1384" spans="1:8" x14ac:dyDescent="0.2">
      <c r="A1384" t="s">
        <v>162</v>
      </c>
      <c r="B1384" s="44">
        <v>36658</v>
      </c>
      <c r="C1384" t="s">
        <v>4</v>
      </c>
      <c r="D1384" t="s">
        <v>3881</v>
      </c>
      <c r="F1384"/>
      <c r="G1384"/>
      <c r="H1384">
        <v>5</v>
      </c>
    </row>
    <row r="1385" spans="1:8" x14ac:dyDescent="0.2">
      <c r="A1385" t="s">
        <v>2014</v>
      </c>
      <c r="B1385" s="44">
        <v>36668</v>
      </c>
      <c r="C1385" t="s">
        <v>4</v>
      </c>
      <c r="D1385" t="s">
        <v>4421</v>
      </c>
      <c r="F1385"/>
      <c r="G1385"/>
      <c r="H1385">
        <v>5</v>
      </c>
    </row>
    <row r="1386" spans="1:8" x14ac:dyDescent="0.2">
      <c r="A1386" t="s">
        <v>2076</v>
      </c>
      <c r="B1386" s="44">
        <v>36676</v>
      </c>
      <c r="C1386" t="s">
        <v>4</v>
      </c>
      <c r="D1386" t="s">
        <v>3614</v>
      </c>
      <c r="F1386"/>
      <c r="G1386"/>
      <c r="H1386">
        <v>5</v>
      </c>
    </row>
    <row r="1387" spans="1:8" x14ac:dyDescent="0.2">
      <c r="A1387" t="s">
        <v>163</v>
      </c>
      <c r="B1387" s="44">
        <v>36689</v>
      </c>
      <c r="C1387" t="s">
        <v>4</v>
      </c>
      <c r="D1387" t="s">
        <v>3251</v>
      </c>
      <c r="F1387"/>
      <c r="G1387"/>
      <c r="H1387">
        <v>5</v>
      </c>
    </row>
    <row r="1388" spans="1:8" x14ac:dyDescent="0.2">
      <c r="A1388" t="s">
        <v>2172</v>
      </c>
      <c r="B1388" s="44">
        <v>36697</v>
      </c>
      <c r="C1388" t="s">
        <v>4</v>
      </c>
      <c r="D1388" t="s">
        <v>3615</v>
      </c>
      <c r="F1388"/>
      <c r="G1388"/>
      <c r="H1388">
        <v>5</v>
      </c>
    </row>
    <row r="1389" spans="1:8" x14ac:dyDescent="0.2">
      <c r="A1389" t="s">
        <v>2209</v>
      </c>
      <c r="B1389" s="44">
        <v>36699</v>
      </c>
      <c r="C1389" t="s">
        <v>4</v>
      </c>
      <c r="D1389" t="s">
        <v>3883</v>
      </c>
      <c r="F1389"/>
      <c r="G1389"/>
      <c r="H1389">
        <v>5</v>
      </c>
    </row>
    <row r="1390" spans="1:8" x14ac:dyDescent="0.2">
      <c r="A1390" t="s">
        <v>2210</v>
      </c>
      <c r="B1390" s="44">
        <v>36699</v>
      </c>
      <c r="C1390" t="s">
        <v>4</v>
      </c>
      <c r="D1390" t="s">
        <v>3614</v>
      </c>
      <c r="F1390"/>
      <c r="G1390"/>
      <c r="H1390">
        <v>5</v>
      </c>
    </row>
    <row r="1391" spans="1:8" x14ac:dyDescent="0.2">
      <c r="A1391" t="s">
        <v>160</v>
      </c>
      <c r="B1391" s="44">
        <v>36718</v>
      </c>
      <c r="C1391" t="s">
        <v>4</v>
      </c>
      <c r="D1391" t="s">
        <v>3884</v>
      </c>
      <c r="F1391"/>
      <c r="G1391"/>
      <c r="H1391">
        <v>5</v>
      </c>
    </row>
    <row r="1392" spans="1:8" x14ac:dyDescent="0.2">
      <c r="A1392" t="s">
        <v>164</v>
      </c>
      <c r="B1392" s="44">
        <v>36719</v>
      </c>
      <c r="C1392" t="s">
        <v>4</v>
      </c>
      <c r="D1392" t="s">
        <v>3884</v>
      </c>
      <c r="F1392"/>
      <c r="G1392"/>
      <c r="H1392">
        <v>5</v>
      </c>
    </row>
    <row r="1393" spans="1:8" x14ac:dyDescent="0.2">
      <c r="A1393" t="s">
        <v>2816</v>
      </c>
      <c r="B1393" s="44">
        <v>36829</v>
      </c>
      <c r="C1393" t="s">
        <v>4</v>
      </c>
      <c r="D1393" t="s">
        <v>3885</v>
      </c>
      <c r="F1393"/>
      <c r="G1393"/>
      <c r="H1393">
        <v>5</v>
      </c>
    </row>
    <row r="1394" spans="1:8" x14ac:dyDescent="0.2">
      <c r="A1394" t="s">
        <v>2848</v>
      </c>
      <c r="B1394" s="44">
        <v>36844</v>
      </c>
      <c r="C1394" t="s">
        <v>4</v>
      </c>
      <c r="D1394" t="s">
        <v>3886</v>
      </c>
      <c r="F1394"/>
      <c r="G1394"/>
      <c r="H1394">
        <v>5</v>
      </c>
    </row>
    <row r="1395" spans="1:8" x14ac:dyDescent="0.2">
      <c r="A1395" t="s">
        <v>1493</v>
      </c>
      <c r="B1395" s="44">
        <v>36935</v>
      </c>
      <c r="C1395" t="s">
        <v>4</v>
      </c>
      <c r="D1395" t="s">
        <v>3622</v>
      </c>
      <c r="F1395"/>
      <c r="G1395"/>
      <c r="H1395">
        <v>5</v>
      </c>
    </row>
    <row r="1396" spans="1:8" x14ac:dyDescent="0.2">
      <c r="A1396" t="s">
        <v>1561</v>
      </c>
      <c r="B1396" s="44">
        <v>36943</v>
      </c>
      <c r="C1396" t="s">
        <v>4</v>
      </c>
      <c r="D1396" t="s">
        <v>3888</v>
      </c>
      <c r="F1396"/>
      <c r="G1396"/>
      <c r="H1396">
        <v>5</v>
      </c>
    </row>
    <row r="1397" spans="1:8" x14ac:dyDescent="0.2">
      <c r="A1397" t="s">
        <v>211</v>
      </c>
      <c r="B1397" s="44">
        <v>36959</v>
      </c>
      <c r="C1397" t="s">
        <v>4</v>
      </c>
      <c r="D1397" t="s">
        <v>3888</v>
      </c>
      <c r="F1397"/>
      <c r="G1397"/>
      <c r="H1397">
        <v>5</v>
      </c>
    </row>
    <row r="1398" spans="1:8" x14ac:dyDescent="0.2">
      <c r="A1398" t="s">
        <v>1779</v>
      </c>
      <c r="B1398" s="44">
        <v>36977</v>
      </c>
      <c r="C1398" t="s">
        <v>4</v>
      </c>
      <c r="D1398" t="s">
        <v>3889</v>
      </c>
      <c r="F1398"/>
      <c r="G1398"/>
      <c r="H1398">
        <v>5</v>
      </c>
    </row>
    <row r="1399" spans="1:8" x14ac:dyDescent="0.2">
      <c r="A1399" t="s">
        <v>212</v>
      </c>
      <c r="B1399" s="44">
        <v>36990</v>
      </c>
      <c r="C1399" t="s">
        <v>4</v>
      </c>
      <c r="D1399" t="s">
        <v>3890</v>
      </c>
      <c r="F1399"/>
      <c r="G1399"/>
      <c r="H1399">
        <v>5</v>
      </c>
    </row>
    <row r="1400" spans="1:8" x14ac:dyDescent="0.2">
      <c r="A1400" t="s">
        <v>215</v>
      </c>
      <c r="B1400" s="44">
        <v>36991</v>
      </c>
      <c r="C1400" t="s">
        <v>4</v>
      </c>
      <c r="D1400" t="s">
        <v>3891</v>
      </c>
      <c r="F1400"/>
      <c r="G1400"/>
      <c r="H1400">
        <v>5</v>
      </c>
    </row>
    <row r="1401" spans="1:8" x14ac:dyDescent="0.2">
      <c r="A1401" t="s">
        <v>2002</v>
      </c>
      <c r="B1401" s="44">
        <v>37032</v>
      </c>
      <c r="C1401" t="s">
        <v>4</v>
      </c>
      <c r="D1401" t="s">
        <v>3623</v>
      </c>
      <c r="F1401"/>
      <c r="G1401"/>
      <c r="H1401">
        <v>5</v>
      </c>
    </row>
    <row r="1402" spans="1:8" x14ac:dyDescent="0.2">
      <c r="A1402" t="s">
        <v>2028</v>
      </c>
      <c r="B1402" s="44">
        <v>37034</v>
      </c>
      <c r="C1402" t="s">
        <v>4</v>
      </c>
      <c r="D1402" t="s">
        <v>3624</v>
      </c>
      <c r="F1402"/>
      <c r="G1402"/>
      <c r="H1402">
        <v>5</v>
      </c>
    </row>
    <row r="1403" spans="1:8" x14ac:dyDescent="0.2">
      <c r="A1403" t="s">
        <v>2391</v>
      </c>
      <c r="B1403" s="44">
        <v>37096</v>
      </c>
      <c r="C1403" t="s">
        <v>4</v>
      </c>
      <c r="D1403" t="s">
        <v>3884</v>
      </c>
      <c r="F1403"/>
      <c r="G1403"/>
      <c r="H1403">
        <v>5</v>
      </c>
    </row>
    <row r="1404" spans="1:8" x14ac:dyDescent="0.2">
      <c r="A1404" t="s">
        <v>2476</v>
      </c>
      <c r="B1404" s="44">
        <v>37148</v>
      </c>
      <c r="C1404" t="s">
        <v>4</v>
      </c>
      <c r="D1404" t="s">
        <v>3625</v>
      </c>
      <c r="F1404"/>
      <c r="G1404"/>
      <c r="H1404">
        <v>5</v>
      </c>
    </row>
    <row r="1405" spans="1:8" x14ac:dyDescent="0.2">
      <c r="A1405" t="s">
        <v>2477</v>
      </c>
      <c r="B1405" s="44">
        <v>37148</v>
      </c>
      <c r="C1405" t="s">
        <v>4</v>
      </c>
      <c r="D1405" t="s">
        <v>3626</v>
      </c>
      <c r="F1405"/>
      <c r="G1405"/>
      <c r="H1405">
        <v>5</v>
      </c>
    </row>
    <row r="1406" spans="1:8" x14ac:dyDescent="0.2">
      <c r="A1406" t="s">
        <v>218</v>
      </c>
      <c r="B1406" s="44">
        <v>37174</v>
      </c>
      <c r="C1406" t="s">
        <v>4</v>
      </c>
      <c r="D1406" t="s">
        <v>3892</v>
      </c>
      <c r="F1406"/>
      <c r="G1406"/>
      <c r="H1406">
        <v>5</v>
      </c>
    </row>
    <row r="1407" spans="1:8" x14ac:dyDescent="0.2">
      <c r="A1407" t="s">
        <v>2703</v>
      </c>
      <c r="B1407" s="44">
        <v>37183</v>
      </c>
      <c r="C1407" t="s">
        <v>4</v>
      </c>
      <c r="D1407" t="s">
        <v>3892</v>
      </c>
      <c r="F1407"/>
      <c r="G1407"/>
      <c r="H1407">
        <v>5</v>
      </c>
    </row>
    <row r="1408" spans="1:8" x14ac:dyDescent="0.2">
      <c r="A1408" t="s">
        <v>1879</v>
      </c>
      <c r="B1408" s="44">
        <v>37369</v>
      </c>
      <c r="C1408" t="s">
        <v>4</v>
      </c>
      <c r="D1408" t="s">
        <v>3344</v>
      </c>
      <c r="F1408"/>
      <c r="G1408"/>
      <c r="H1408">
        <v>5</v>
      </c>
    </row>
    <row r="1409" spans="1:8" x14ac:dyDescent="0.2">
      <c r="A1409" t="s">
        <v>2908</v>
      </c>
      <c r="B1409" s="44">
        <v>37579</v>
      </c>
      <c r="C1409" t="s">
        <v>4</v>
      </c>
      <c r="D1409" t="s">
        <v>3252</v>
      </c>
      <c r="F1409"/>
      <c r="G1409"/>
      <c r="H1409">
        <v>5</v>
      </c>
    </row>
    <row r="1410" spans="1:8" x14ac:dyDescent="0.2">
      <c r="A1410" t="s">
        <v>2986</v>
      </c>
      <c r="B1410" s="44">
        <v>37586</v>
      </c>
      <c r="C1410" t="s">
        <v>4</v>
      </c>
      <c r="D1410" t="s">
        <v>3628</v>
      </c>
      <c r="F1410"/>
      <c r="G1410"/>
      <c r="H1410">
        <v>5</v>
      </c>
    </row>
    <row r="1411" spans="1:8" x14ac:dyDescent="0.2">
      <c r="A1411" t="s">
        <v>247</v>
      </c>
      <c r="B1411" s="44">
        <v>37596</v>
      </c>
      <c r="C1411" t="s">
        <v>4</v>
      </c>
      <c r="D1411" t="s">
        <v>3629</v>
      </c>
      <c r="H1411">
        <v>5</v>
      </c>
    </row>
    <row r="1412" spans="1:8" x14ac:dyDescent="0.2">
      <c r="A1412" t="s">
        <v>1476</v>
      </c>
      <c r="B1412" s="44">
        <v>37650</v>
      </c>
      <c r="C1412" t="s">
        <v>4</v>
      </c>
      <c r="D1412" t="s">
        <v>3893</v>
      </c>
      <c r="F1412"/>
      <c r="G1412"/>
      <c r="H1412">
        <v>5</v>
      </c>
    </row>
    <row r="1413" spans="1:8" x14ac:dyDescent="0.2">
      <c r="A1413" t="s">
        <v>1502</v>
      </c>
      <c r="B1413" s="44">
        <v>37666</v>
      </c>
      <c r="C1413" t="s">
        <v>4</v>
      </c>
      <c r="D1413" t="s">
        <v>3894</v>
      </c>
      <c r="F1413"/>
      <c r="G1413"/>
      <c r="H1413">
        <v>5</v>
      </c>
    </row>
    <row r="1414" spans="1:8" x14ac:dyDescent="0.2">
      <c r="A1414" t="s">
        <v>1923</v>
      </c>
      <c r="B1414" s="44">
        <v>37754</v>
      </c>
      <c r="C1414" t="s">
        <v>4</v>
      </c>
      <c r="D1414" t="s">
        <v>3630</v>
      </c>
      <c r="F1414"/>
      <c r="G1414"/>
      <c r="H1414">
        <v>5</v>
      </c>
    </row>
    <row r="1415" spans="1:8" x14ac:dyDescent="0.2">
      <c r="A1415" t="s">
        <v>312</v>
      </c>
      <c r="B1415" s="44">
        <v>37784</v>
      </c>
      <c r="C1415" t="s">
        <v>4</v>
      </c>
      <c r="D1415" t="s">
        <v>3631</v>
      </c>
      <c r="F1415"/>
      <c r="G1415"/>
      <c r="H1415">
        <v>5</v>
      </c>
    </row>
    <row r="1416" spans="1:8" x14ac:dyDescent="0.2">
      <c r="A1416" t="s">
        <v>313</v>
      </c>
      <c r="B1416" s="44">
        <v>37784</v>
      </c>
      <c r="C1416" t="s">
        <v>4</v>
      </c>
      <c r="D1416" t="s">
        <v>3632</v>
      </c>
      <c r="F1416"/>
      <c r="G1416"/>
      <c r="H1416">
        <v>5</v>
      </c>
    </row>
    <row r="1417" spans="1:8" x14ac:dyDescent="0.2">
      <c r="A1417" t="s">
        <v>2117</v>
      </c>
      <c r="B1417" s="44">
        <v>37788</v>
      </c>
      <c r="C1417" t="s">
        <v>4</v>
      </c>
      <c r="D1417" t="s">
        <v>3895</v>
      </c>
      <c r="F1417"/>
      <c r="G1417"/>
      <c r="H1417">
        <v>5</v>
      </c>
    </row>
    <row r="1418" spans="1:8" x14ac:dyDescent="0.2">
      <c r="A1418" t="s">
        <v>308</v>
      </c>
      <c r="B1418" s="44">
        <v>37812</v>
      </c>
      <c r="C1418" t="s">
        <v>4</v>
      </c>
      <c r="D1418" t="s">
        <v>3633</v>
      </c>
      <c r="F1418"/>
      <c r="G1418"/>
      <c r="H1418">
        <v>5</v>
      </c>
    </row>
    <row r="1419" spans="1:8" x14ac:dyDescent="0.2">
      <c r="A1419" t="s">
        <v>2497</v>
      </c>
      <c r="B1419" s="44">
        <v>37880</v>
      </c>
      <c r="C1419" t="s">
        <v>4</v>
      </c>
      <c r="D1419" t="s">
        <v>3896</v>
      </c>
      <c r="F1419"/>
      <c r="G1419"/>
      <c r="H1419">
        <v>5</v>
      </c>
    </row>
    <row r="1420" spans="1:8" x14ac:dyDescent="0.2">
      <c r="A1420" t="s">
        <v>2842</v>
      </c>
      <c r="B1420" s="44">
        <v>37938</v>
      </c>
      <c r="C1420" t="s">
        <v>4</v>
      </c>
      <c r="D1420" t="s">
        <v>2843</v>
      </c>
      <c r="F1420"/>
      <c r="G1420"/>
      <c r="H1420">
        <v>5</v>
      </c>
    </row>
    <row r="1421" spans="1:8" x14ac:dyDescent="0.2">
      <c r="A1421" t="s">
        <v>2925</v>
      </c>
      <c r="B1421" s="44">
        <v>37945</v>
      </c>
      <c r="C1421" t="s">
        <v>4</v>
      </c>
      <c r="D1421" t="s">
        <v>2926</v>
      </c>
      <c r="F1421"/>
      <c r="G1421"/>
      <c r="H1421">
        <v>5</v>
      </c>
    </row>
    <row r="1422" spans="1:8" x14ac:dyDescent="0.2">
      <c r="A1422" t="s">
        <v>268</v>
      </c>
      <c r="B1422" s="44">
        <v>37957</v>
      </c>
      <c r="C1422" t="s">
        <v>4</v>
      </c>
      <c r="D1422" t="s">
        <v>3634</v>
      </c>
      <c r="F1422"/>
      <c r="G1422"/>
      <c r="H1422">
        <v>5</v>
      </c>
    </row>
    <row r="1423" spans="1:8" x14ac:dyDescent="0.2">
      <c r="A1423" t="s">
        <v>1477</v>
      </c>
      <c r="B1423" s="44">
        <v>38015</v>
      </c>
      <c r="C1423" t="s">
        <v>4</v>
      </c>
      <c r="D1423" t="s">
        <v>3897</v>
      </c>
      <c r="F1423"/>
      <c r="G1423"/>
      <c r="H1423">
        <v>5</v>
      </c>
    </row>
    <row r="1424" spans="1:8" x14ac:dyDescent="0.2">
      <c r="A1424" t="s">
        <v>315</v>
      </c>
      <c r="B1424" s="44">
        <v>38169</v>
      </c>
      <c r="C1424" t="s">
        <v>4</v>
      </c>
      <c r="D1424" t="s">
        <v>3898</v>
      </c>
      <c r="F1424"/>
      <c r="G1424"/>
      <c r="H1424">
        <v>5</v>
      </c>
    </row>
    <row r="1425" spans="1:8" x14ac:dyDescent="0.2">
      <c r="A1425" t="s">
        <v>2404</v>
      </c>
      <c r="B1425" s="44">
        <v>38196</v>
      </c>
      <c r="C1425" t="s">
        <v>4</v>
      </c>
      <c r="D1425" t="s">
        <v>3635</v>
      </c>
      <c r="F1425"/>
      <c r="G1425"/>
      <c r="H1425">
        <v>5</v>
      </c>
    </row>
    <row r="1426" spans="1:8" x14ac:dyDescent="0.2">
      <c r="A1426" t="s">
        <v>2478</v>
      </c>
      <c r="B1426" s="44">
        <v>38244</v>
      </c>
      <c r="C1426" t="s">
        <v>4</v>
      </c>
      <c r="D1426" t="s">
        <v>2479</v>
      </c>
      <c r="H1426">
        <v>5</v>
      </c>
    </row>
    <row r="1427" spans="1:8" x14ac:dyDescent="0.2">
      <c r="A1427" t="s">
        <v>2629</v>
      </c>
      <c r="B1427" s="44">
        <v>38260</v>
      </c>
      <c r="C1427" t="s">
        <v>4</v>
      </c>
      <c r="D1427" t="s">
        <v>3636</v>
      </c>
      <c r="F1427"/>
      <c r="G1427"/>
      <c r="H1427">
        <v>5</v>
      </c>
    </row>
    <row r="1428" spans="1:8" x14ac:dyDescent="0.2">
      <c r="A1428" t="s">
        <v>2960</v>
      </c>
      <c r="B1428" s="44">
        <v>38314</v>
      </c>
      <c r="C1428" t="s">
        <v>4</v>
      </c>
      <c r="D1428" t="s">
        <v>3637</v>
      </c>
      <c r="F1428"/>
      <c r="G1428"/>
      <c r="H1428">
        <v>5</v>
      </c>
    </row>
    <row r="1429" spans="1:8" x14ac:dyDescent="0.2">
      <c r="A1429" t="s">
        <v>2979</v>
      </c>
      <c r="B1429" s="44">
        <v>38316</v>
      </c>
      <c r="C1429" t="s">
        <v>4</v>
      </c>
      <c r="D1429" t="s">
        <v>3638</v>
      </c>
      <c r="F1429"/>
      <c r="G1429"/>
      <c r="H1429">
        <v>5</v>
      </c>
    </row>
    <row r="1430" spans="1:8" x14ac:dyDescent="0.2">
      <c r="A1430" t="s">
        <v>2978</v>
      </c>
      <c r="B1430" s="44">
        <v>38316</v>
      </c>
      <c r="C1430" t="s">
        <v>4</v>
      </c>
      <c r="D1430" t="s">
        <v>3899</v>
      </c>
      <c r="F1430"/>
      <c r="G1430"/>
      <c r="H1430">
        <v>5</v>
      </c>
    </row>
    <row r="1431" spans="1:8" x14ac:dyDescent="0.2">
      <c r="A1431" t="s">
        <v>3019</v>
      </c>
      <c r="B1431" s="44">
        <v>38321</v>
      </c>
      <c r="C1431" t="s">
        <v>4</v>
      </c>
      <c r="D1431" t="s">
        <v>3639</v>
      </c>
      <c r="F1431"/>
      <c r="G1431"/>
      <c r="H1431">
        <v>5</v>
      </c>
    </row>
    <row r="1432" spans="1:8" x14ac:dyDescent="0.2">
      <c r="A1432" t="s">
        <v>1434</v>
      </c>
      <c r="B1432" s="44">
        <v>38376</v>
      </c>
      <c r="C1432" t="s">
        <v>4</v>
      </c>
      <c r="D1432" t="s">
        <v>1435</v>
      </c>
      <c r="F1432"/>
      <c r="G1432"/>
      <c r="H1432">
        <v>5</v>
      </c>
    </row>
    <row r="1433" spans="1:8" x14ac:dyDescent="0.2">
      <c r="A1433" t="s">
        <v>1594</v>
      </c>
      <c r="B1433" s="44">
        <v>38407</v>
      </c>
      <c r="C1433" t="s">
        <v>4</v>
      </c>
      <c r="D1433" t="s">
        <v>3640</v>
      </c>
      <c r="F1433"/>
      <c r="G1433"/>
      <c r="H1433">
        <v>5</v>
      </c>
    </row>
    <row r="1434" spans="1:8" x14ac:dyDescent="0.2">
      <c r="A1434" t="s">
        <v>1724</v>
      </c>
      <c r="B1434" s="44">
        <v>38432</v>
      </c>
      <c r="C1434" t="s">
        <v>4</v>
      </c>
      <c r="D1434" t="s">
        <v>3641</v>
      </c>
      <c r="F1434"/>
      <c r="G1434"/>
      <c r="H1434">
        <v>5</v>
      </c>
    </row>
    <row r="1435" spans="1:8" x14ac:dyDescent="0.2">
      <c r="A1435" t="s">
        <v>2178</v>
      </c>
      <c r="B1435" s="44">
        <v>38523</v>
      </c>
      <c r="C1435" t="s">
        <v>4</v>
      </c>
      <c r="D1435" t="s">
        <v>3642</v>
      </c>
      <c r="F1435"/>
      <c r="G1435"/>
      <c r="H1435">
        <v>5</v>
      </c>
    </row>
    <row r="1436" spans="1:8" x14ac:dyDescent="0.2">
      <c r="A1436" t="s">
        <v>2226</v>
      </c>
      <c r="B1436" s="44">
        <v>38526</v>
      </c>
      <c r="C1436" t="s">
        <v>4</v>
      </c>
      <c r="D1436" t="s">
        <v>3900</v>
      </c>
      <c r="F1436"/>
      <c r="G1436"/>
      <c r="H1436">
        <v>5</v>
      </c>
    </row>
    <row r="1437" spans="1:8" x14ac:dyDescent="0.2">
      <c r="A1437" s="6">
        <v>38610</v>
      </c>
      <c r="B1437" s="44">
        <v>38610</v>
      </c>
      <c r="C1437" t="s">
        <v>4</v>
      </c>
      <c r="D1437" t="s">
        <v>3643</v>
      </c>
      <c r="F1437"/>
      <c r="G1437"/>
      <c r="H1437">
        <v>5</v>
      </c>
    </row>
    <row r="1438" spans="1:8" x14ac:dyDescent="0.2">
      <c r="A1438" s="6">
        <v>38611</v>
      </c>
      <c r="B1438" s="44">
        <v>38611</v>
      </c>
      <c r="C1438" t="s">
        <v>4</v>
      </c>
      <c r="D1438" t="s">
        <v>3643</v>
      </c>
      <c r="F1438"/>
      <c r="G1438"/>
      <c r="H1438">
        <v>5</v>
      </c>
    </row>
    <row r="1439" spans="1:8" x14ac:dyDescent="0.2">
      <c r="A1439" t="s">
        <v>2640</v>
      </c>
      <c r="B1439" s="44">
        <v>38638</v>
      </c>
      <c r="C1439" t="s">
        <v>4</v>
      </c>
      <c r="D1439" t="s">
        <v>3644</v>
      </c>
      <c r="F1439"/>
      <c r="G1439"/>
      <c r="H1439">
        <v>5</v>
      </c>
    </row>
    <row r="1440" spans="1:8" x14ac:dyDescent="0.2">
      <c r="A1440" t="s">
        <v>2675</v>
      </c>
      <c r="B1440" s="44">
        <v>38642</v>
      </c>
      <c r="C1440" t="s">
        <v>4</v>
      </c>
      <c r="D1440" t="s">
        <v>3901</v>
      </c>
      <c r="F1440"/>
      <c r="G1440"/>
      <c r="H1440">
        <v>5</v>
      </c>
    </row>
    <row r="1441" spans="1:8" x14ac:dyDescent="0.2">
      <c r="A1441" t="s">
        <v>2705</v>
      </c>
      <c r="B1441" s="44">
        <v>38644</v>
      </c>
      <c r="C1441" t="s">
        <v>4</v>
      </c>
      <c r="D1441" t="s">
        <v>3902</v>
      </c>
      <c r="F1441"/>
      <c r="G1441"/>
      <c r="H1441">
        <v>5</v>
      </c>
    </row>
    <row r="1442" spans="1:8" x14ac:dyDescent="0.2">
      <c r="A1442" t="s">
        <v>369</v>
      </c>
      <c r="B1442" s="44">
        <v>38659</v>
      </c>
      <c r="C1442" t="s">
        <v>4</v>
      </c>
      <c r="D1442" t="s">
        <v>3903</v>
      </c>
      <c r="F1442"/>
      <c r="G1442"/>
      <c r="H1442">
        <v>5</v>
      </c>
    </row>
    <row r="1443" spans="1:8" x14ac:dyDescent="0.2">
      <c r="A1443" t="s">
        <v>2896</v>
      </c>
      <c r="B1443" s="44">
        <v>38674</v>
      </c>
      <c r="C1443" t="s">
        <v>4</v>
      </c>
      <c r="D1443" t="s">
        <v>3645</v>
      </c>
      <c r="H1443">
        <v>5</v>
      </c>
    </row>
    <row r="1444" spans="1:8" x14ac:dyDescent="0.2">
      <c r="A1444" t="s">
        <v>2968</v>
      </c>
      <c r="B1444" s="44">
        <v>38680</v>
      </c>
      <c r="C1444" t="s">
        <v>4</v>
      </c>
      <c r="D1444" t="s">
        <v>3646</v>
      </c>
      <c r="F1444"/>
      <c r="G1444"/>
      <c r="H1444">
        <v>5</v>
      </c>
    </row>
    <row r="1445" spans="1:8" x14ac:dyDescent="0.2">
      <c r="A1445" t="s">
        <v>3001</v>
      </c>
      <c r="B1445" s="44">
        <v>38684</v>
      </c>
      <c r="C1445" t="s">
        <v>4</v>
      </c>
      <c r="D1445" t="s">
        <v>3904</v>
      </c>
      <c r="F1445"/>
      <c r="G1445"/>
      <c r="H1445">
        <v>5</v>
      </c>
    </row>
    <row r="1446" spans="1:8" x14ac:dyDescent="0.2">
      <c r="A1446" t="s">
        <v>364</v>
      </c>
      <c r="B1446" s="44">
        <v>38687</v>
      </c>
      <c r="C1446" t="s">
        <v>4</v>
      </c>
      <c r="D1446" t="s">
        <v>3905</v>
      </c>
      <c r="F1446"/>
      <c r="G1446"/>
      <c r="H1446">
        <v>5</v>
      </c>
    </row>
    <row r="1447" spans="1:8" x14ac:dyDescent="0.2">
      <c r="A1447" t="s">
        <v>1421</v>
      </c>
      <c r="B1447" s="44">
        <v>38740</v>
      </c>
      <c r="C1447" t="s">
        <v>4</v>
      </c>
      <c r="D1447" t="s">
        <v>3647</v>
      </c>
      <c r="H1447">
        <v>5</v>
      </c>
    </row>
    <row r="1448" spans="1:8" x14ac:dyDescent="0.2">
      <c r="A1448" t="s">
        <v>1436</v>
      </c>
      <c r="B1448" s="44">
        <v>38741</v>
      </c>
      <c r="C1448" t="s">
        <v>4</v>
      </c>
      <c r="D1448" t="s">
        <v>3648</v>
      </c>
      <c r="F1448"/>
      <c r="G1448"/>
      <c r="H1448">
        <v>5</v>
      </c>
    </row>
    <row r="1449" spans="1:8" x14ac:dyDescent="0.2">
      <c r="A1449" t="s">
        <v>1488</v>
      </c>
      <c r="B1449" s="44">
        <v>38748</v>
      </c>
      <c r="C1449" t="s">
        <v>4</v>
      </c>
      <c r="D1449" t="s">
        <v>3649</v>
      </c>
      <c r="F1449"/>
      <c r="G1449"/>
      <c r="H1449">
        <v>5</v>
      </c>
    </row>
    <row r="1450" spans="1:8" x14ac:dyDescent="0.2">
      <c r="A1450" t="s">
        <v>1585</v>
      </c>
      <c r="B1450" s="44">
        <v>38771</v>
      </c>
      <c r="C1450" t="s">
        <v>4</v>
      </c>
      <c r="D1450" t="s">
        <v>3650</v>
      </c>
      <c r="F1450"/>
      <c r="G1450"/>
      <c r="H1450">
        <v>5</v>
      </c>
    </row>
    <row r="1451" spans="1:8" x14ac:dyDescent="0.2">
      <c r="A1451" t="s">
        <v>1665</v>
      </c>
      <c r="B1451" s="44">
        <v>38789</v>
      </c>
      <c r="C1451" t="s">
        <v>4</v>
      </c>
      <c r="D1451" t="s">
        <v>3906</v>
      </c>
      <c r="F1451"/>
      <c r="G1451"/>
      <c r="H1451">
        <v>5</v>
      </c>
    </row>
    <row r="1452" spans="1:8" x14ac:dyDescent="0.2">
      <c r="A1452" t="s">
        <v>1725</v>
      </c>
      <c r="B1452" s="44">
        <v>38797</v>
      </c>
      <c r="C1452" t="s">
        <v>4</v>
      </c>
      <c r="D1452" t="s">
        <v>3907</v>
      </c>
      <c r="F1452"/>
      <c r="G1452"/>
      <c r="H1452">
        <v>5</v>
      </c>
    </row>
    <row r="1453" spans="1:8" x14ac:dyDescent="0.2">
      <c r="A1453" t="s">
        <v>1793</v>
      </c>
      <c r="B1453" s="44">
        <v>38804</v>
      </c>
      <c r="C1453" t="s">
        <v>4</v>
      </c>
      <c r="D1453" t="s">
        <v>1794</v>
      </c>
      <c r="H1453">
        <v>5</v>
      </c>
    </row>
    <row r="1454" spans="1:8" x14ac:dyDescent="0.2">
      <c r="A1454" t="s">
        <v>1964</v>
      </c>
      <c r="B1454" s="44">
        <v>38855</v>
      </c>
      <c r="C1454" t="s">
        <v>4</v>
      </c>
      <c r="D1454" t="s">
        <v>3908</v>
      </c>
      <c r="F1454"/>
      <c r="G1454"/>
      <c r="H1454">
        <v>5</v>
      </c>
    </row>
    <row r="1455" spans="1:8" x14ac:dyDescent="0.2">
      <c r="A1455" t="s">
        <v>2037</v>
      </c>
      <c r="B1455" s="44">
        <v>38861</v>
      </c>
      <c r="C1455" t="s">
        <v>4</v>
      </c>
      <c r="D1455" t="s">
        <v>3909</v>
      </c>
      <c r="F1455"/>
      <c r="G1455"/>
      <c r="H1455">
        <v>5</v>
      </c>
    </row>
    <row r="1456" spans="1:8" x14ac:dyDescent="0.2">
      <c r="A1456" t="s">
        <v>2053</v>
      </c>
      <c r="B1456" s="44">
        <v>38863</v>
      </c>
      <c r="C1456" t="s">
        <v>4</v>
      </c>
      <c r="D1456" t="s">
        <v>3910</v>
      </c>
      <c r="F1456"/>
      <c r="G1456"/>
      <c r="H1456">
        <v>5</v>
      </c>
    </row>
    <row r="1457" spans="1:8" x14ac:dyDescent="0.2">
      <c r="A1457" t="s">
        <v>2288</v>
      </c>
      <c r="B1457" s="44">
        <v>38897</v>
      </c>
      <c r="C1457" t="s">
        <v>4</v>
      </c>
      <c r="D1457" t="s">
        <v>3651</v>
      </c>
      <c r="F1457"/>
      <c r="G1457"/>
      <c r="H1457">
        <v>5</v>
      </c>
    </row>
    <row r="1458" spans="1:8" x14ac:dyDescent="0.2">
      <c r="A1458" t="s">
        <v>2368</v>
      </c>
      <c r="B1458" s="44">
        <v>38918</v>
      </c>
      <c r="C1458" t="s">
        <v>4</v>
      </c>
      <c r="D1458" t="s">
        <v>3652</v>
      </c>
      <c r="F1458"/>
      <c r="G1458"/>
      <c r="H1458">
        <v>5</v>
      </c>
    </row>
    <row r="1459" spans="1:8" x14ac:dyDescent="0.2">
      <c r="A1459" t="s">
        <v>2397</v>
      </c>
      <c r="B1459" s="44">
        <v>38923</v>
      </c>
      <c r="C1459" t="s">
        <v>4</v>
      </c>
      <c r="D1459" t="s">
        <v>3912</v>
      </c>
      <c r="F1459"/>
      <c r="G1459"/>
      <c r="H1459">
        <v>5</v>
      </c>
    </row>
    <row r="1460" spans="1:8" x14ac:dyDescent="0.2">
      <c r="A1460" t="s">
        <v>2397</v>
      </c>
      <c r="B1460" s="44">
        <v>38923</v>
      </c>
      <c r="C1460" t="s">
        <v>4</v>
      </c>
      <c r="D1460" t="s">
        <v>3653</v>
      </c>
      <c r="F1460"/>
      <c r="G1460"/>
      <c r="H1460">
        <v>5</v>
      </c>
    </row>
    <row r="1461" spans="1:8" x14ac:dyDescent="0.2">
      <c r="A1461" t="s">
        <v>2452</v>
      </c>
      <c r="B1461" s="44">
        <v>38955</v>
      </c>
      <c r="C1461" t="s">
        <v>4</v>
      </c>
      <c r="D1461" t="s">
        <v>3915</v>
      </c>
      <c r="F1461"/>
      <c r="G1461"/>
      <c r="H1461">
        <v>5</v>
      </c>
    </row>
    <row r="1462" spans="1:8" x14ac:dyDescent="0.2">
      <c r="A1462" t="s">
        <v>2591</v>
      </c>
      <c r="B1462" s="44">
        <v>38986</v>
      </c>
      <c r="C1462" t="s">
        <v>4</v>
      </c>
      <c r="D1462" t="s">
        <v>3917</v>
      </c>
      <c r="F1462"/>
      <c r="G1462"/>
      <c r="H1462">
        <v>5</v>
      </c>
    </row>
    <row r="1463" spans="1:8" x14ac:dyDescent="0.2">
      <c r="A1463" t="s">
        <v>2596</v>
      </c>
      <c r="B1463" s="44">
        <v>38987</v>
      </c>
      <c r="C1463" t="s">
        <v>4</v>
      </c>
      <c r="D1463" t="s">
        <v>3654</v>
      </c>
      <c r="F1463"/>
      <c r="G1463"/>
      <c r="H1463">
        <v>5</v>
      </c>
    </row>
    <row r="1464" spans="1:8" x14ac:dyDescent="0.2">
      <c r="A1464" t="s">
        <v>498</v>
      </c>
      <c r="B1464" s="44">
        <v>39002</v>
      </c>
      <c r="C1464" t="s">
        <v>4</v>
      </c>
      <c r="D1464" t="s">
        <v>3918</v>
      </c>
      <c r="F1464"/>
      <c r="G1464"/>
      <c r="H1464">
        <v>5</v>
      </c>
    </row>
    <row r="1465" spans="1:8" x14ac:dyDescent="0.2">
      <c r="A1465" t="s">
        <v>499</v>
      </c>
      <c r="B1465" s="44">
        <v>39002</v>
      </c>
      <c r="C1465" t="s">
        <v>4</v>
      </c>
      <c r="D1465" t="s">
        <v>3919</v>
      </c>
      <c r="F1465"/>
      <c r="G1465"/>
      <c r="H1465">
        <v>5</v>
      </c>
    </row>
    <row r="1466" spans="1:8" x14ac:dyDescent="0.2">
      <c r="A1466" t="s">
        <v>2676</v>
      </c>
      <c r="B1466" s="44">
        <v>39007</v>
      </c>
      <c r="C1466" t="s">
        <v>4</v>
      </c>
      <c r="D1466" t="s">
        <v>3920</v>
      </c>
      <c r="F1466"/>
      <c r="G1466"/>
      <c r="H1466">
        <v>5</v>
      </c>
    </row>
    <row r="1467" spans="1:8" x14ac:dyDescent="0.2">
      <c r="A1467" t="s">
        <v>2765</v>
      </c>
      <c r="B1467" s="44">
        <v>39014</v>
      </c>
      <c r="C1467" t="s">
        <v>4</v>
      </c>
      <c r="D1467" t="s">
        <v>3921</v>
      </c>
      <c r="F1467"/>
      <c r="G1467"/>
      <c r="H1467">
        <v>5</v>
      </c>
    </row>
    <row r="1468" spans="1:8" x14ac:dyDescent="0.2">
      <c r="A1468" t="s">
        <v>421</v>
      </c>
      <c r="B1468" s="44">
        <v>39022</v>
      </c>
      <c r="C1468" t="s">
        <v>4</v>
      </c>
      <c r="D1468" t="s">
        <v>3922</v>
      </c>
      <c r="F1468"/>
      <c r="G1468"/>
      <c r="H1468">
        <v>5</v>
      </c>
    </row>
    <row r="1469" spans="1:8" x14ac:dyDescent="0.2">
      <c r="A1469" t="s">
        <v>2875</v>
      </c>
      <c r="B1469" s="44">
        <v>39037</v>
      </c>
      <c r="C1469" t="s">
        <v>4</v>
      </c>
      <c r="D1469" t="s">
        <v>3923</v>
      </c>
      <c r="F1469"/>
      <c r="G1469"/>
      <c r="H1469">
        <v>5</v>
      </c>
    </row>
    <row r="1470" spans="1:8" x14ac:dyDescent="0.2">
      <c r="A1470" t="s">
        <v>2993</v>
      </c>
      <c r="B1470" s="44">
        <v>39048</v>
      </c>
      <c r="C1470" t="s">
        <v>4</v>
      </c>
      <c r="D1470" t="s">
        <v>3924</v>
      </c>
      <c r="F1470"/>
      <c r="G1470"/>
      <c r="H1470">
        <v>5</v>
      </c>
    </row>
    <row r="1471" spans="1:8" x14ac:dyDescent="0.2">
      <c r="A1471" t="s">
        <v>493</v>
      </c>
      <c r="B1471" s="44">
        <v>39062</v>
      </c>
      <c r="C1471" t="s">
        <v>4</v>
      </c>
      <c r="D1471" t="s">
        <v>3926</v>
      </c>
      <c r="F1471"/>
      <c r="G1471"/>
      <c r="H1471">
        <v>5</v>
      </c>
    </row>
    <row r="1472" spans="1:8" x14ac:dyDescent="0.2">
      <c r="A1472" t="s">
        <v>492</v>
      </c>
      <c r="B1472" s="44">
        <v>39062</v>
      </c>
      <c r="C1472" t="s">
        <v>4</v>
      </c>
      <c r="D1472" t="s">
        <v>3925</v>
      </c>
      <c r="F1472"/>
      <c r="G1472"/>
      <c r="H1472">
        <v>5</v>
      </c>
    </row>
    <row r="1473" spans="1:9" x14ac:dyDescent="0.2">
      <c r="A1473" t="s">
        <v>3031</v>
      </c>
      <c r="B1473" s="44">
        <v>39065</v>
      </c>
      <c r="C1473" t="s">
        <v>4</v>
      </c>
      <c r="D1473" t="s">
        <v>3927</v>
      </c>
      <c r="F1473"/>
      <c r="G1473"/>
      <c r="H1473">
        <v>5</v>
      </c>
      <c r="I1473" t="s">
        <v>3214</v>
      </c>
    </row>
    <row r="1474" spans="1:9" x14ac:dyDescent="0.2">
      <c r="A1474" t="s">
        <v>513</v>
      </c>
      <c r="B1474" s="44">
        <v>39086</v>
      </c>
      <c r="C1474" t="s">
        <v>4</v>
      </c>
      <c r="D1474" t="s">
        <v>3928</v>
      </c>
      <c r="F1474"/>
      <c r="G1474"/>
      <c r="H1474">
        <v>5</v>
      </c>
    </row>
    <row r="1475" spans="1:9" x14ac:dyDescent="0.2">
      <c r="A1475" t="s">
        <v>1358</v>
      </c>
      <c r="B1475" s="44">
        <v>39098</v>
      </c>
      <c r="C1475" t="s">
        <v>4</v>
      </c>
      <c r="D1475" t="s">
        <v>3655</v>
      </c>
      <c r="F1475"/>
      <c r="G1475"/>
      <c r="H1475">
        <v>5</v>
      </c>
    </row>
    <row r="1476" spans="1:9" x14ac:dyDescent="0.2">
      <c r="A1476" t="s">
        <v>1358</v>
      </c>
      <c r="B1476" s="44">
        <v>39098</v>
      </c>
      <c r="C1476" t="s">
        <v>4</v>
      </c>
      <c r="D1476" t="s">
        <v>3929</v>
      </c>
      <c r="F1476"/>
      <c r="G1476"/>
      <c r="H1476">
        <v>5</v>
      </c>
    </row>
    <row r="1477" spans="1:9" x14ac:dyDescent="0.2">
      <c r="A1477" t="s">
        <v>500</v>
      </c>
      <c r="B1477" s="44">
        <v>39114</v>
      </c>
      <c r="C1477" t="s">
        <v>4</v>
      </c>
      <c r="D1477" t="s">
        <v>3930</v>
      </c>
      <c r="F1477"/>
      <c r="G1477"/>
      <c r="H1477">
        <v>5</v>
      </c>
      <c r="I1477" t="s">
        <v>3214</v>
      </c>
    </row>
    <row r="1478" spans="1:9" x14ac:dyDescent="0.2">
      <c r="A1478" t="s">
        <v>1541</v>
      </c>
      <c r="B1478" s="44">
        <v>39132</v>
      </c>
      <c r="C1478" t="s">
        <v>4</v>
      </c>
      <c r="D1478" t="s">
        <v>3931</v>
      </c>
      <c r="F1478"/>
      <c r="G1478"/>
      <c r="H1478">
        <v>5</v>
      </c>
    </row>
    <row r="1479" spans="1:9" x14ac:dyDescent="0.2">
      <c r="A1479" t="s">
        <v>1564</v>
      </c>
      <c r="B1479" s="44">
        <v>39134</v>
      </c>
      <c r="C1479" t="s">
        <v>4</v>
      </c>
      <c r="D1479" t="s">
        <v>3656</v>
      </c>
      <c r="F1479"/>
      <c r="G1479"/>
      <c r="H1479">
        <v>5</v>
      </c>
    </row>
    <row r="1480" spans="1:9" x14ac:dyDescent="0.2">
      <c r="A1480" t="s">
        <v>1625</v>
      </c>
      <c r="B1480" s="44">
        <v>39139</v>
      </c>
      <c r="C1480" t="s">
        <v>4</v>
      </c>
      <c r="D1480" t="s">
        <v>3932</v>
      </c>
      <c r="F1480"/>
      <c r="G1480"/>
      <c r="H1480">
        <v>5</v>
      </c>
    </row>
    <row r="1481" spans="1:9" x14ac:dyDescent="0.2">
      <c r="A1481" t="s">
        <v>1649</v>
      </c>
      <c r="B1481" s="44">
        <v>39141</v>
      </c>
      <c r="C1481" t="s">
        <v>4</v>
      </c>
      <c r="D1481" t="s">
        <v>3933</v>
      </c>
      <c r="F1481"/>
      <c r="G1481"/>
      <c r="H1481">
        <v>5</v>
      </c>
    </row>
    <row r="1482" spans="1:9" x14ac:dyDescent="0.2">
      <c r="A1482" t="s">
        <v>1676</v>
      </c>
      <c r="B1482" s="44">
        <v>39156</v>
      </c>
      <c r="C1482" t="s">
        <v>4</v>
      </c>
      <c r="D1482" t="s">
        <v>3934</v>
      </c>
      <c r="F1482"/>
      <c r="G1482"/>
      <c r="H1482">
        <v>5</v>
      </c>
    </row>
    <row r="1483" spans="1:9" x14ac:dyDescent="0.2">
      <c r="A1483" t="s">
        <v>1717</v>
      </c>
      <c r="B1483" s="44">
        <v>39161</v>
      </c>
      <c r="C1483" t="s">
        <v>4</v>
      </c>
      <c r="D1483" t="s">
        <v>3935</v>
      </c>
      <c r="F1483"/>
      <c r="G1483"/>
      <c r="H1483">
        <v>5</v>
      </c>
    </row>
    <row r="1484" spans="1:9" x14ac:dyDescent="0.2">
      <c r="A1484" t="s">
        <v>1768</v>
      </c>
      <c r="B1484" s="44">
        <v>39167</v>
      </c>
      <c r="C1484" t="s">
        <v>4</v>
      </c>
      <c r="D1484" t="s">
        <v>3936</v>
      </c>
      <c r="F1484"/>
      <c r="G1484"/>
      <c r="H1484">
        <v>5</v>
      </c>
    </row>
    <row r="1485" spans="1:9" x14ac:dyDescent="0.2">
      <c r="A1485" t="s">
        <v>1896</v>
      </c>
      <c r="B1485" s="44">
        <v>39198</v>
      </c>
      <c r="C1485" t="s">
        <v>4</v>
      </c>
      <c r="D1485" t="s">
        <v>3937</v>
      </c>
      <c r="F1485"/>
      <c r="G1485"/>
      <c r="H1485">
        <v>5</v>
      </c>
    </row>
    <row r="1486" spans="1:9" x14ac:dyDescent="0.2">
      <c r="A1486" t="s">
        <v>2078</v>
      </c>
      <c r="B1486" s="44">
        <v>39232</v>
      </c>
      <c r="C1486" t="s">
        <v>4</v>
      </c>
      <c r="D1486" t="s">
        <v>3938</v>
      </c>
      <c r="F1486"/>
      <c r="G1486"/>
      <c r="H1486">
        <v>5</v>
      </c>
    </row>
    <row r="1487" spans="1:9" x14ac:dyDescent="0.2">
      <c r="A1487" t="s">
        <v>2108</v>
      </c>
      <c r="B1487" s="44">
        <v>39248</v>
      </c>
      <c r="C1487" t="s">
        <v>4</v>
      </c>
      <c r="D1487" t="s">
        <v>3657</v>
      </c>
      <c r="F1487"/>
      <c r="G1487"/>
      <c r="H1487">
        <v>5</v>
      </c>
    </row>
    <row r="1488" spans="1:9" x14ac:dyDescent="0.2">
      <c r="A1488" t="s">
        <v>2251</v>
      </c>
      <c r="B1488" s="44">
        <v>39259</v>
      </c>
      <c r="C1488" t="s">
        <v>4</v>
      </c>
      <c r="D1488" t="s">
        <v>3939</v>
      </c>
      <c r="F1488"/>
      <c r="G1488"/>
      <c r="H1488">
        <v>5</v>
      </c>
    </row>
    <row r="1489" spans="1:9" x14ac:dyDescent="0.2">
      <c r="A1489" t="s">
        <v>2289</v>
      </c>
      <c r="B1489" s="44">
        <v>39262</v>
      </c>
      <c r="C1489" t="s">
        <v>4</v>
      </c>
      <c r="D1489" t="s">
        <v>3940</v>
      </c>
      <c r="F1489"/>
      <c r="G1489"/>
      <c r="H1489">
        <v>5</v>
      </c>
      <c r="I1489" t="s">
        <v>3214</v>
      </c>
    </row>
    <row r="1490" spans="1:9" x14ac:dyDescent="0.2">
      <c r="A1490" t="s">
        <v>569</v>
      </c>
      <c r="B1490" s="44">
        <v>39272</v>
      </c>
      <c r="C1490" t="s">
        <v>4</v>
      </c>
      <c r="D1490" t="s">
        <v>3941</v>
      </c>
      <c r="F1490"/>
      <c r="G1490"/>
      <c r="H1490">
        <v>5</v>
      </c>
    </row>
    <row r="1491" spans="1:9" x14ac:dyDescent="0.2">
      <c r="A1491" t="s">
        <v>579</v>
      </c>
      <c r="B1491" s="44">
        <v>39273</v>
      </c>
      <c r="C1491" t="s">
        <v>4</v>
      </c>
      <c r="D1491" t="s">
        <v>3942</v>
      </c>
      <c r="F1491"/>
      <c r="G1491"/>
      <c r="H1491">
        <v>5</v>
      </c>
    </row>
    <row r="1492" spans="1:9" x14ac:dyDescent="0.2">
      <c r="A1492" t="s">
        <v>586</v>
      </c>
      <c r="B1492" s="44">
        <v>39275</v>
      </c>
      <c r="C1492" t="s">
        <v>4</v>
      </c>
      <c r="D1492" t="s">
        <v>3658</v>
      </c>
      <c r="F1492"/>
      <c r="G1492"/>
      <c r="H1492">
        <v>5</v>
      </c>
    </row>
    <row r="1493" spans="1:9" x14ac:dyDescent="0.2">
      <c r="A1493" t="s">
        <v>2305</v>
      </c>
      <c r="B1493" s="44">
        <v>39276</v>
      </c>
      <c r="C1493" t="s">
        <v>4</v>
      </c>
      <c r="D1493" t="s">
        <v>3943</v>
      </c>
      <c r="F1493"/>
      <c r="G1493"/>
      <c r="H1493">
        <v>5</v>
      </c>
    </row>
    <row r="1494" spans="1:9" x14ac:dyDescent="0.2">
      <c r="A1494" t="s">
        <v>2361</v>
      </c>
      <c r="B1494" s="44">
        <v>39282</v>
      </c>
      <c r="C1494" t="s">
        <v>4</v>
      </c>
      <c r="D1494" t="s">
        <v>3944</v>
      </c>
      <c r="F1494"/>
      <c r="G1494"/>
      <c r="H1494">
        <v>5</v>
      </c>
    </row>
    <row r="1495" spans="1:9" x14ac:dyDescent="0.2">
      <c r="A1495" t="s">
        <v>2392</v>
      </c>
      <c r="B1495" s="44">
        <v>39287</v>
      </c>
      <c r="C1495" t="s">
        <v>4</v>
      </c>
      <c r="D1495" t="s">
        <v>3945</v>
      </c>
      <c r="F1495"/>
      <c r="G1495"/>
      <c r="H1495">
        <v>5</v>
      </c>
    </row>
    <row r="1496" spans="1:9" x14ac:dyDescent="0.2">
      <c r="A1496" t="s">
        <v>2573</v>
      </c>
      <c r="B1496" s="44">
        <v>39349</v>
      </c>
      <c r="C1496" t="s">
        <v>4</v>
      </c>
      <c r="D1496" t="s">
        <v>3660</v>
      </c>
      <c r="F1496"/>
      <c r="G1496"/>
      <c r="H1496">
        <v>5</v>
      </c>
    </row>
    <row r="1497" spans="1:9" x14ac:dyDescent="0.2">
      <c r="A1497" t="s">
        <v>2599</v>
      </c>
      <c r="B1497" s="44">
        <v>39352</v>
      </c>
      <c r="C1497" t="s">
        <v>4</v>
      </c>
      <c r="D1497" t="s">
        <v>3947</v>
      </c>
      <c r="F1497"/>
      <c r="G1497"/>
      <c r="H1497">
        <v>5</v>
      </c>
    </row>
    <row r="1498" spans="1:9" x14ac:dyDescent="0.2">
      <c r="A1498" t="s">
        <v>2600</v>
      </c>
      <c r="B1498" s="44">
        <v>39352</v>
      </c>
      <c r="C1498" t="s">
        <v>4</v>
      </c>
      <c r="D1498" t="s">
        <v>3948</v>
      </c>
      <c r="F1498"/>
      <c r="G1498"/>
      <c r="H1498">
        <v>5</v>
      </c>
    </row>
    <row r="1499" spans="1:9" x14ac:dyDescent="0.2">
      <c r="A1499" t="s">
        <v>2597</v>
      </c>
      <c r="B1499" s="44">
        <v>39352</v>
      </c>
      <c r="C1499" t="s">
        <v>912</v>
      </c>
      <c r="D1499" t="s">
        <v>2598</v>
      </c>
      <c r="F1499"/>
      <c r="G1499"/>
      <c r="H1499">
        <v>5</v>
      </c>
    </row>
    <row r="1500" spans="1:9" x14ac:dyDescent="0.2">
      <c r="A1500" t="s">
        <v>2755</v>
      </c>
      <c r="B1500" s="44">
        <v>39378</v>
      </c>
      <c r="C1500" t="s">
        <v>4</v>
      </c>
      <c r="D1500" t="s">
        <v>3949</v>
      </c>
      <c r="F1500"/>
      <c r="G1500"/>
      <c r="H1500">
        <v>5</v>
      </c>
    </row>
    <row r="1501" spans="1:9" x14ac:dyDescent="0.2">
      <c r="A1501" t="s">
        <v>2820</v>
      </c>
      <c r="B1501" s="44">
        <v>39385</v>
      </c>
      <c r="C1501" t="s">
        <v>4</v>
      </c>
      <c r="D1501" t="s">
        <v>3661</v>
      </c>
      <c r="F1501"/>
      <c r="G1501"/>
      <c r="H1501">
        <v>5</v>
      </c>
    </row>
    <row r="1502" spans="1:9" x14ac:dyDescent="0.2">
      <c r="A1502" t="s">
        <v>2835</v>
      </c>
      <c r="B1502" s="44">
        <v>39386</v>
      </c>
      <c r="C1502" t="s">
        <v>4</v>
      </c>
      <c r="D1502" t="s">
        <v>3662</v>
      </c>
      <c r="F1502"/>
      <c r="G1502"/>
      <c r="H1502">
        <v>5</v>
      </c>
    </row>
    <row r="1503" spans="1:9" x14ac:dyDescent="0.2">
      <c r="A1503" t="s">
        <v>587</v>
      </c>
      <c r="B1503" s="44">
        <v>39398</v>
      </c>
      <c r="C1503" t="s">
        <v>4</v>
      </c>
      <c r="D1503" t="s">
        <v>3950</v>
      </c>
      <c r="F1503"/>
      <c r="G1503"/>
      <c r="H1503">
        <v>5</v>
      </c>
    </row>
    <row r="1504" spans="1:9" x14ac:dyDescent="0.2">
      <c r="A1504" t="s">
        <v>2927</v>
      </c>
      <c r="B1504" s="44">
        <v>39406</v>
      </c>
      <c r="C1504" t="s">
        <v>4</v>
      </c>
      <c r="D1504" t="s">
        <v>3939</v>
      </c>
      <c r="F1504"/>
      <c r="G1504"/>
      <c r="H1504">
        <v>5</v>
      </c>
    </row>
    <row r="1505" spans="1:8" x14ac:dyDescent="0.2">
      <c r="A1505" t="s">
        <v>2950</v>
      </c>
      <c r="B1505" s="44">
        <v>39408</v>
      </c>
      <c r="C1505" t="s">
        <v>4</v>
      </c>
      <c r="D1505" t="s">
        <v>3951</v>
      </c>
      <c r="F1505"/>
      <c r="G1505"/>
      <c r="H1505">
        <v>5</v>
      </c>
    </row>
    <row r="1506" spans="1:8" x14ac:dyDescent="0.2">
      <c r="A1506" t="s">
        <v>2994</v>
      </c>
      <c r="B1506" s="44">
        <v>39413</v>
      </c>
      <c r="C1506" t="s">
        <v>4</v>
      </c>
      <c r="D1506" t="s">
        <v>3952</v>
      </c>
      <c r="F1506"/>
      <c r="G1506"/>
      <c r="H1506">
        <v>5</v>
      </c>
    </row>
    <row r="1507" spans="1:8" x14ac:dyDescent="0.2">
      <c r="A1507" t="s">
        <v>2995</v>
      </c>
      <c r="B1507" s="44">
        <v>39413</v>
      </c>
      <c r="C1507" t="s">
        <v>4</v>
      </c>
      <c r="D1507" t="s">
        <v>3660</v>
      </c>
      <c r="F1507"/>
      <c r="G1507"/>
      <c r="H1507">
        <v>5</v>
      </c>
    </row>
    <row r="1508" spans="1:8" x14ac:dyDescent="0.2">
      <c r="A1508" t="s">
        <v>3026</v>
      </c>
      <c r="B1508" s="44">
        <v>39429</v>
      </c>
      <c r="C1508" t="s">
        <v>4</v>
      </c>
      <c r="D1508" t="s">
        <v>3953</v>
      </c>
      <c r="F1508"/>
      <c r="G1508"/>
      <c r="H1508">
        <v>5</v>
      </c>
    </row>
    <row r="1509" spans="1:8" x14ac:dyDescent="0.2">
      <c r="A1509" t="s">
        <v>1423</v>
      </c>
      <c r="B1509" s="44">
        <v>39470</v>
      </c>
      <c r="C1509" t="s">
        <v>4</v>
      </c>
      <c r="D1509" t="s">
        <v>3954</v>
      </c>
      <c r="F1509"/>
      <c r="G1509"/>
      <c r="H1509">
        <v>5</v>
      </c>
    </row>
    <row r="1510" spans="1:8" x14ac:dyDescent="0.2">
      <c r="A1510" t="s">
        <v>1531</v>
      </c>
      <c r="B1510" s="44">
        <v>39496</v>
      </c>
      <c r="C1510" t="s">
        <v>4</v>
      </c>
      <c r="D1510" t="s">
        <v>3944</v>
      </c>
      <c r="F1510"/>
      <c r="G1510"/>
      <c r="H1510">
        <v>5</v>
      </c>
    </row>
    <row r="1511" spans="1:8" x14ac:dyDescent="0.2">
      <c r="A1511" t="s">
        <v>1542</v>
      </c>
      <c r="B1511" s="44">
        <v>39497</v>
      </c>
      <c r="C1511" t="s">
        <v>4</v>
      </c>
      <c r="D1511" t="s">
        <v>3955</v>
      </c>
      <c r="F1511"/>
      <c r="G1511"/>
      <c r="H1511">
        <v>5</v>
      </c>
    </row>
    <row r="1512" spans="1:8" x14ac:dyDescent="0.2">
      <c r="A1512" t="s">
        <v>1565</v>
      </c>
      <c r="B1512" s="44">
        <v>39499</v>
      </c>
      <c r="C1512" t="s">
        <v>4</v>
      </c>
      <c r="D1512" t="s">
        <v>3660</v>
      </c>
      <c r="F1512"/>
      <c r="G1512"/>
      <c r="H1512">
        <v>5</v>
      </c>
    </row>
    <row r="1513" spans="1:8" x14ac:dyDescent="0.2">
      <c r="A1513" t="s">
        <v>1626</v>
      </c>
      <c r="B1513" s="44">
        <v>39504</v>
      </c>
      <c r="C1513" t="s">
        <v>4</v>
      </c>
      <c r="D1513" t="s">
        <v>3951</v>
      </c>
      <c r="F1513"/>
      <c r="G1513"/>
      <c r="H1513">
        <v>5</v>
      </c>
    </row>
    <row r="1514" spans="1:8" x14ac:dyDescent="0.2">
      <c r="A1514" t="s">
        <v>1627</v>
      </c>
      <c r="B1514" s="44">
        <v>39504</v>
      </c>
      <c r="C1514" t="s">
        <v>4</v>
      </c>
      <c r="D1514" t="s">
        <v>3956</v>
      </c>
      <c r="F1514"/>
      <c r="G1514"/>
      <c r="H1514">
        <v>5</v>
      </c>
    </row>
    <row r="1515" spans="1:8" x14ac:dyDescent="0.2">
      <c r="A1515" t="s">
        <v>1640</v>
      </c>
      <c r="B1515" s="44">
        <v>39505</v>
      </c>
      <c r="C1515" t="s">
        <v>4</v>
      </c>
      <c r="D1515" t="s">
        <v>3957</v>
      </c>
      <c r="F1515"/>
      <c r="G1515"/>
      <c r="H1515">
        <v>5</v>
      </c>
    </row>
    <row r="1516" spans="1:8" x14ac:dyDescent="0.2">
      <c r="A1516" t="s">
        <v>596</v>
      </c>
      <c r="B1516" s="44">
        <v>39510</v>
      </c>
      <c r="C1516" t="s">
        <v>4</v>
      </c>
      <c r="D1516" t="s">
        <v>3782</v>
      </c>
      <c r="F1516"/>
      <c r="G1516"/>
      <c r="H1516">
        <v>5</v>
      </c>
    </row>
    <row r="1517" spans="1:8" x14ac:dyDescent="0.2">
      <c r="A1517" t="s">
        <v>1670</v>
      </c>
      <c r="B1517" s="44">
        <v>39521</v>
      </c>
      <c r="C1517" t="s">
        <v>4</v>
      </c>
      <c r="D1517" t="s">
        <v>3958</v>
      </c>
      <c r="F1517"/>
      <c r="G1517"/>
      <c r="H1517">
        <v>5</v>
      </c>
    </row>
    <row r="1518" spans="1:8" x14ac:dyDescent="0.2">
      <c r="A1518" t="s">
        <v>591</v>
      </c>
      <c r="B1518" s="44">
        <v>39540</v>
      </c>
      <c r="C1518" t="s">
        <v>4</v>
      </c>
      <c r="D1518" t="s">
        <v>3663</v>
      </c>
      <c r="F1518"/>
      <c r="G1518"/>
      <c r="H1518">
        <v>5</v>
      </c>
    </row>
    <row r="1519" spans="1:8" x14ac:dyDescent="0.2">
      <c r="A1519" t="s">
        <v>1828</v>
      </c>
      <c r="B1519" s="44">
        <v>39555</v>
      </c>
      <c r="C1519" t="s">
        <v>4</v>
      </c>
      <c r="D1519" t="s">
        <v>3664</v>
      </c>
      <c r="F1519"/>
      <c r="G1519"/>
      <c r="H1519">
        <v>5</v>
      </c>
    </row>
    <row r="1520" spans="1:8" x14ac:dyDescent="0.2">
      <c r="A1520" t="s">
        <v>1867</v>
      </c>
      <c r="B1520" s="44">
        <v>39560</v>
      </c>
      <c r="C1520" t="s">
        <v>4</v>
      </c>
      <c r="D1520" t="s">
        <v>3959</v>
      </c>
      <c r="F1520"/>
      <c r="G1520"/>
      <c r="H1520">
        <v>5</v>
      </c>
    </row>
    <row r="1521" spans="1:8" x14ac:dyDescent="0.2">
      <c r="A1521" t="s">
        <v>1881</v>
      </c>
      <c r="B1521" s="44">
        <v>39561</v>
      </c>
      <c r="C1521" t="s">
        <v>4</v>
      </c>
      <c r="D1521" t="s">
        <v>3960</v>
      </c>
      <c r="F1521"/>
      <c r="G1521"/>
      <c r="H1521">
        <v>5</v>
      </c>
    </row>
    <row r="1522" spans="1:8" x14ac:dyDescent="0.2">
      <c r="A1522" t="s">
        <v>1886</v>
      </c>
      <c r="B1522" s="44">
        <v>39562</v>
      </c>
      <c r="C1522" t="s">
        <v>4</v>
      </c>
      <c r="D1522" t="s">
        <v>3679</v>
      </c>
      <c r="F1522"/>
      <c r="G1522"/>
      <c r="H1522">
        <v>5</v>
      </c>
    </row>
    <row r="1523" spans="1:8" x14ac:dyDescent="0.2">
      <c r="A1523" t="s">
        <v>1909</v>
      </c>
      <c r="B1523" s="44">
        <v>39567</v>
      </c>
      <c r="C1523" t="s">
        <v>4</v>
      </c>
      <c r="D1523" t="s">
        <v>3676</v>
      </c>
      <c r="F1523"/>
      <c r="G1523"/>
      <c r="H1523">
        <v>5</v>
      </c>
    </row>
    <row r="1524" spans="1:8" x14ac:dyDescent="0.2">
      <c r="A1524" t="s">
        <v>2167</v>
      </c>
      <c r="B1524" s="44">
        <v>39618</v>
      </c>
      <c r="C1524" t="s">
        <v>4</v>
      </c>
      <c r="D1524" t="s">
        <v>3665</v>
      </c>
      <c r="F1524"/>
      <c r="G1524"/>
      <c r="H1524">
        <v>5</v>
      </c>
    </row>
    <row r="1525" spans="1:8" x14ac:dyDescent="0.2">
      <c r="A1525" t="s">
        <v>592</v>
      </c>
      <c r="B1525" s="44">
        <v>39631</v>
      </c>
      <c r="C1525" t="s">
        <v>4</v>
      </c>
      <c r="D1525" t="s">
        <v>3961</v>
      </c>
      <c r="F1525"/>
      <c r="G1525"/>
      <c r="H1525">
        <v>5</v>
      </c>
    </row>
    <row r="1526" spans="1:8" x14ac:dyDescent="0.2">
      <c r="A1526" t="s">
        <v>2319</v>
      </c>
      <c r="B1526" s="44">
        <v>39644</v>
      </c>
      <c r="C1526" t="s">
        <v>4</v>
      </c>
      <c r="D1526" t="s">
        <v>3666</v>
      </c>
      <c r="F1526"/>
      <c r="G1526"/>
      <c r="H1526">
        <v>5</v>
      </c>
    </row>
    <row r="1527" spans="1:8" x14ac:dyDescent="0.2">
      <c r="A1527" t="s">
        <v>2326</v>
      </c>
      <c r="B1527" s="44">
        <v>39645</v>
      </c>
      <c r="C1527" t="s">
        <v>4</v>
      </c>
      <c r="D1527" t="s">
        <v>3667</v>
      </c>
      <c r="F1527"/>
      <c r="G1527"/>
      <c r="H1527">
        <v>5</v>
      </c>
    </row>
    <row r="1528" spans="1:8" x14ac:dyDescent="0.2">
      <c r="A1528" t="s">
        <v>2353</v>
      </c>
      <c r="B1528" s="44">
        <v>39647</v>
      </c>
      <c r="C1528" t="s">
        <v>4</v>
      </c>
      <c r="D1528" t="s">
        <v>3668</v>
      </c>
      <c r="F1528"/>
      <c r="G1528"/>
      <c r="H1528">
        <v>5</v>
      </c>
    </row>
    <row r="1529" spans="1:8" x14ac:dyDescent="0.2">
      <c r="A1529" t="s">
        <v>2393</v>
      </c>
      <c r="B1529" s="44">
        <v>39653</v>
      </c>
      <c r="C1529" t="s">
        <v>4</v>
      </c>
      <c r="D1529" t="s">
        <v>3962</v>
      </c>
      <c r="F1529"/>
      <c r="G1529"/>
      <c r="H1529">
        <v>5</v>
      </c>
    </row>
    <row r="1530" spans="1:8" x14ac:dyDescent="0.2">
      <c r="A1530" t="s">
        <v>654</v>
      </c>
      <c r="B1530" s="44">
        <v>39703</v>
      </c>
      <c r="C1530" t="s">
        <v>4</v>
      </c>
      <c r="D1530" t="s">
        <v>3964</v>
      </c>
      <c r="F1530"/>
      <c r="G1530"/>
      <c r="H1530">
        <v>5</v>
      </c>
    </row>
    <row r="1531" spans="1:8" x14ac:dyDescent="0.2">
      <c r="A1531" t="s">
        <v>2517</v>
      </c>
      <c r="B1531" s="44">
        <v>39709</v>
      </c>
      <c r="C1531" t="s">
        <v>4</v>
      </c>
      <c r="D1531" t="s">
        <v>3677</v>
      </c>
      <c r="F1531"/>
      <c r="G1531"/>
      <c r="H1531">
        <v>5</v>
      </c>
    </row>
    <row r="1532" spans="1:8" x14ac:dyDescent="0.2">
      <c r="A1532" t="s">
        <v>2560</v>
      </c>
      <c r="B1532" s="44">
        <v>39713</v>
      </c>
      <c r="C1532" t="s">
        <v>4</v>
      </c>
      <c r="D1532" t="s">
        <v>3672</v>
      </c>
      <c r="F1532"/>
      <c r="G1532"/>
      <c r="H1532">
        <v>5</v>
      </c>
    </row>
    <row r="1533" spans="1:8" x14ac:dyDescent="0.2">
      <c r="A1533" t="s">
        <v>2574</v>
      </c>
      <c r="B1533" s="44">
        <v>39715</v>
      </c>
      <c r="C1533" t="s">
        <v>4</v>
      </c>
      <c r="D1533" t="s">
        <v>3673</v>
      </c>
      <c r="F1533"/>
      <c r="G1533"/>
      <c r="H1533">
        <v>5</v>
      </c>
    </row>
    <row r="1534" spans="1:8" x14ac:dyDescent="0.2">
      <c r="A1534" t="s">
        <v>2583</v>
      </c>
      <c r="B1534" s="44">
        <v>39716</v>
      </c>
      <c r="C1534" t="s">
        <v>4</v>
      </c>
      <c r="D1534" t="s">
        <v>3965</v>
      </c>
      <c r="F1534"/>
      <c r="G1534"/>
      <c r="H1534">
        <v>5</v>
      </c>
    </row>
    <row r="1535" spans="1:8" x14ac:dyDescent="0.2">
      <c r="A1535" t="s">
        <v>2641</v>
      </c>
      <c r="B1535" s="44">
        <v>39734</v>
      </c>
      <c r="C1535" t="s">
        <v>4</v>
      </c>
      <c r="D1535" t="s">
        <v>3669</v>
      </c>
      <c r="F1535"/>
      <c r="G1535"/>
      <c r="H1535">
        <v>5</v>
      </c>
    </row>
    <row r="1536" spans="1:8" x14ac:dyDescent="0.2">
      <c r="A1536" t="s">
        <v>2799</v>
      </c>
      <c r="B1536" s="44">
        <v>39749</v>
      </c>
      <c r="C1536" t="s">
        <v>4</v>
      </c>
      <c r="D1536" t="s">
        <v>3967</v>
      </c>
      <c r="F1536"/>
      <c r="G1536"/>
      <c r="H1536">
        <v>5</v>
      </c>
    </row>
    <row r="1537" spans="1:8" x14ac:dyDescent="0.2">
      <c r="A1537" t="s">
        <v>2798</v>
      </c>
      <c r="B1537" s="44">
        <v>39749</v>
      </c>
      <c r="C1537" t="s">
        <v>4</v>
      </c>
      <c r="D1537" t="s">
        <v>3966</v>
      </c>
      <c r="F1537"/>
      <c r="G1537"/>
      <c r="H1537">
        <v>5</v>
      </c>
    </row>
    <row r="1538" spans="1:8" x14ac:dyDescent="0.2">
      <c r="A1538" t="s">
        <v>2808</v>
      </c>
      <c r="B1538" s="44">
        <v>39750</v>
      </c>
      <c r="C1538" t="s">
        <v>4</v>
      </c>
      <c r="D1538" t="s">
        <v>3968</v>
      </c>
      <c r="F1538"/>
      <c r="G1538"/>
      <c r="H1538">
        <v>5</v>
      </c>
    </row>
    <row r="1539" spans="1:8" x14ac:dyDescent="0.2">
      <c r="A1539" t="s">
        <v>2897</v>
      </c>
      <c r="B1539" s="44">
        <v>39770</v>
      </c>
      <c r="C1539" t="s">
        <v>4</v>
      </c>
      <c r="D1539" t="s">
        <v>3671</v>
      </c>
      <c r="F1539"/>
      <c r="G1539"/>
      <c r="H1539">
        <v>5</v>
      </c>
    </row>
    <row r="1540" spans="1:8" x14ac:dyDescent="0.2">
      <c r="A1540" t="s">
        <v>2913</v>
      </c>
      <c r="B1540" s="44">
        <v>39771</v>
      </c>
      <c r="C1540" t="s">
        <v>4</v>
      </c>
      <c r="D1540" t="s">
        <v>3672</v>
      </c>
      <c r="F1540"/>
      <c r="G1540"/>
      <c r="H1540">
        <v>5</v>
      </c>
    </row>
    <row r="1541" spans="1:8" x14ac:dyDescent="0.2">
      <c r="A1541" t="s">
        <v>2951</v>
      </c>
      <c r="B1541" s="44">
        <v>39774</v>
      </c>
      <c r="C1541" t="s">
        <v>4</v>
      </c>
      <c r="D1541" t="s">
        <v>3969</v>
      </c>
      <c r="F1541"/>
      <c r="G1541"/>
      <c r="H1541">
        <v>5</v>
      </c>
    </row>
    <row r="1542" spans="1:8" x14ac:dyDescent="0.2">
      <c r="A1542" t="s">
        <v>633</v>
      </c>
      <c r="B1542" s="44">
        <v>39791</v>
      </c>
      <c r="C1542" t="s">
        <v>4</v>
      </c>
      <c r="D1542" t="s">
        <v>3721</v>
      </c>
      <c r="F1542"/>
      <c r="G1542"/>
      <c r="H1542">
        <v>5</v>
      </c>
    </row>
    <row r="1543" spans="1:8" x14ac:dyDescent="0.2">
      <c r="A1543" t="s">
        <v>1359</v>
      </c>
      <c r="B1543" s="44">
        <v>39829</v>
      </c>
      <c r="C1543" t="s">
        <v>4</v>
      </c>
      <c r="D1543" t="s">
        <v>3939</v>
      </c>
      <c r="F1543"/>
      <c r="G1543"/>
      <c r="H1543">
        <v>5</v>
      </c>
    </row>
    <row r="1544" spans="1:8" x14ac:dyDescent="0.2">
      <c r="A1544" t="s">
        <v>1396</v>
      </c>
      <c r="B1544" s="44">
        <v>39834</v>
      </c>
      <c r="C1544" t="s">
        <v>4</v>
      </c>
      <c r="D1544" t="s">
        <v>3970</v>
      </c>
      <c r="F1544"/>
      <c r="G1544"/>
      <c r="H1544">
        <v>5</v>
      </c>
    </row>
    <row r="1545" spans="1:8" x14ac:dyDescent="0.2">
      <c r="A1545" t="s">
        <v>1397</v>
      </c>
      <c r="B1545" s="44">
        <v>39834</v>
      </c>
      <c r="C1545" t="s">
        <v>4</v>
      </c>
      <c r="D1545" t="s">
        <v>3971</v>
      </c>
      <c r="F1545"/>
      <c r="G1545"/>
      <c r="H1545">
        <v>5</v>
      </c>
    </row>
    <row r="1546" spans="1:8" x14ac:dyDescent="0.2">
      <c r="A1546" t="s">
        <v>1478</v>
      </c>
      <c r="B1546" s="44">
        <v>39842</v>
      </c>
      <c r="C1546" t="s">
        <v>4</v>
      </c>
      <c r="D1546" t="s">
        <v>3670</v>
      </c>
      <c r="F1546"/>
      <c r="G1546"/>
      <c r="H1546">
        <v>5</v>
      </c>
    </row>
    <row r="1547" spans="1:8" x14ac:dyDescent="0.2">
      <c r="A1547" t="s">
        <v>1517</v>
      </c>
      <c r="B1547" s="44">
        <v>39860</v>
      </c>
      <c r="C1547" t="s">
        <v>4</v>
      </c>
      <c r="D1547" t="s">
        <v>3664</v>
      </c>
      <c r="F1547"/>
      <c r="G1547"/>
      <c r="H1547">
        <v>5</v>
      </c>
    </row>
    <row r="1548" spans="1:8" x14ac:dyDescent="0.2">
      <c r="A1548" t="s">
        <v>1522</v>
      </c>
      <c r="B1548" s="44">
        <v>39861</v>
      </c>
      <c r="C1548" t="s">
        <v>4</v>
      </c>
      <c r="D1548" t="s">
        <v>3671</v>
      </c>
      <c r="F1548"/>
      <c r="G1548"/>
      <c r="H1548">
        <v>5</v>
      </c>
    </row>
    <row r="1549" spans="1:8" x14ac:dyDescent="0.2">
      <c r="A1549" t="s">
        <v>1543</v>
      </c>
      <c r="B1549" s="44">
        <v>39863</v>
      </c>
      <c r="C1549" t="s">
        <v>4</v>
      </c>
      <c r="D1549" t="s">
        <v>3672</v>
      </c>
      <c r="F1549"/>
      <c r="G1549"/>
      <c r="H1549">
        <v>5</v>
      </c>
    </row>
    <row r="1550" spans="1:8" x14ac:dyDescent="0.2">
      <c r="A1550" t="s">
        <v>1595</v>
      </c>
      <c r="B1550" s="44">
        <v>39868</v>
      </c>
      <c r="C1550" t="s">
        <v>4</v>
      </c>
      <c r="D1550" t="s">
        <v>3972</v>
      </c>
      <c r="F1550"/>
      <c r="G1550"/>
      <c r="H1550">
        <v>5</v>
      </c>
    </row>
    <row r="1551" spans="1:8" x14ac:dyDescent="0.2">
      <c r="A1551" t="s">
        <v>1595</v>
      </c>
      <c r="B1551" s="44">
        <v>39868</v>
      </c>
      <c r="C1551" t="s">
        <v>4</v>
      </c>
      <c r="D1551" t="s">
        <v>3673</v>
      </c>
      <c r="F1551"/>
      <c r="G1551"/>
      <c r="H1551">
        <v>5</v>
      </c>
    </row>
    <row r="1552" spans="1:8" x14ac:dyDescent="0.2">
      <c r="A1552" t="s">
        <v>1606</v>
      </c>
      <c r="B1552" s="44">
        <v>39869</v>
      </c>
      <c r="C1552" t="s">
        <v>4</v>
      </c>
      <c r="D1552" t="s">
        <v>3973</v>
      </c>
      <c r="F1552"/>
      <c r="G1552"/>
      <c r="H1552">
        <v>5</v>
      </c>
    </row>
    <row r="1553" spans="1:8" x14ac:dyDescent="0.2">
      <c r="A1553" t="s">
        <v>1606</v>
      </c>
      <c r="B1553" s="44">
        <v>39869</v>
      </c>
      <c r="C1553" t="s">
        <v>4</v>
      </c>
      <c r="D1553" t="s">
        <v>3674</v>
      </c>
      <c r="F1553"/>
      <c r="G1553"/>
      <c r="H1553">
        <v>5</v>
      </c>
    </row>
    <row r="1554" spans="1:8" x14ac:dyDescent="0.2">
      <c r="A1554" t="s">
        <v>700</v>
      </c>
      <c r="B1554" s="44">
        <v>39884</v>
      </c>
      <c r="C1554" t="s">
        <v>4</v>
      </c>
      <c r="D1554" t="s">
        <v>3675</v>
      </c>
      <c r="F1554"/>
      <c r="G1554"/>
      <c r="H1554">
        <v>5</v>
      </c>
    </row>
    <row r="1555" spans="1:8" x14ac:dyDescent="0.2">
      <c r="A1555" t="s">
        <v>1757</v>
      </c>
      <c r="B1555" s="44">
        <v>39896</v>
      </c>
      <c r="C1555" t="s">
        <v>4</v>
      </c>
      <c r="D1555" t="s">
        <v>3676</v>
      </c>
      <c r="F1555"/>
      <c r="G1555"/>
      <c r="H1555">
        <v>5</v>
      </c>
    </row>
    <row r="1556" spans="1:8" x14ac:dyDescent="0.2">
      <c r="A1556" t="s">
        <v>1782</v>
      </c>
      <c r="B1556" s="44">
        <v>39899</v>
      </c>
      <c r="C1556" t="s">
        <v>4</v>
      </c>
      <c r="D1556" t="s">
        <v>3677</v>
      </c>
      <c r="F1556"/>
      <c r="G1556"/>
      <c r="H1556">
        <v>5</v>
      </c>
    </row>
    <row r="1557" spans="1:8" x14ac:dyDescent="0.2">
      <c r="A1557" t="s">
        <v>1783</v>
      </c>
      <c r="B1557" s="44">
        <v>39899</v>
      </c>
      <c r="C1557" t="s">
        <v>4</v>
      </c>
      <c r="D1557" t="s">
        <v>3678</v>
      </c>
      <c r="F1557"/>
      <c r="G1557"/>
      <c r="H1557">
        <v>5</v>
      </c>
    </row>
    <row r="1558" spans="1:8" x14ac:dyDescent="0.2">
      <c r="A1558" t="s">
        <v>1804</v>
      </c>
      <c r="B1558" s="44">
        <v>39902</v>
      </c>
      <c r="C1558" t="s">
        <v>4</v>
      </c>
      <c r="D1558" t="s">
        <v>3679</v>
      </c>
      <c r="F1558"/>
      <c r="G1558"/>
      <c r="H1558">
        <v>5</v>
      </c>
    </row>
    <row r="1559" spans="1:8" x14ac:dyDescent="0.2">
      <c r="A1559" t="s">
        <v>1862</v>
      </c>
      <c r="B1559" s="44">
        <v>39924</v>
      </c>
      <c r="C1559" t="s">
        <v>4</v>
      </c>
      <c r="D1559" t="s">
        <v>3680</v>
      </c>
      <c r="F1559"/>
      <c r="G1559"/>
      <c r="H1559">
        <v>5</v>
      </c>
    </row>
    <row r="1560" spans="1:8" x14ac:dyDescent="0.2">
      <c r="A1560" t="s">
        <v>1863</v>
      </c>
      <c r="B1560" s="44">
        <v>39924</v>
      </c>
      <c r="C1560" t="s">
        <v>4</v>
      </c>
      <c r="D1560" t="s">
        <v>3681</v>
      </c>
      <c r="F1560"/>
      <c r="G1560"/>
      <c r="H1560">
        <v>5</v>
      </c>
    </row>
    <row r="1561" spans="1:8" x14ac:dyDescent="0.2">
      <c r="A1561" t="s">
        <v>1869</v>
      </c>
      <c r="B1561" s="44">
        <v>39925</v>
      </c>
      <c r="C1561" t="s">
        <v>4</v>
      </c>
      <c r="D1561" t="s">
        <v>3682</v>
      </c>
      <c r="F1561"/>
      <c r="G1561"/>
      <c r="H1561">
        <v>5</v>
      </c>
    </row>
    <row r="1562" spans="1:8" x14ac:dyDescent="0.2">
      <c r="A1562" t="s">
        <v>1906</v>
      </c>
      <c r="B1562" s="44">
        <v>39931</v>
      </c>
      <c r="C1562" t="s">
        <v>4</v>
      </c>
      <c r="D1562" t="s">
        <v>3683</v>
      </c>
      <c r="F1562"/>
      <c r="G1562"/>
      <c r="H1562">
        <v>5</v>
      </c>
    </row>
    <row r="1563" spans="1:8" x14ac:dyDescent="0.2">
      <c r="A1563" t="s">
        <v>1934</v>
      </c>
      <c r="B1563" s="44">
        <v>39947</v>
      </c>
      <c r="C1563" t="s">
        <v>4</v>
      </c>
      <c r="D1563" t="s">
        <v>3974</v>
      </c>
      <c r="F1563"/>
      <c r="G1563"/>
      <c r="H1563">
        <v>5</v>
      </c>
    </row>
    <row r="1564" spans="1:8" x14ac:dyDescent="0.2">
      <c r="A1564" t="s">
        <v>1941</v>
      </c>
      <c r="B1564" s="44">
        <v>39948</v>
      </c>
      <c r="C1564" t="s">
        <v>4</v>
      </c>
      <c r="D1564" t="s">
        <v>3975</v>
      </c>
      <c r="F1564"/>
      <c r="G1564"/>
      <c r="H1564">
        <v>5</v>
      </c>
    </row>
    <row r="1565" spans="1:8" x14ac:dyDescent="0.2">
      <c r="A1565" t="s">
        <v>1990</v>
      </c>
      <c r="B1565" s="44">
        <v>39953</v>
      </c>
      <c r="C1565" t="s">
        <v>4</v>
      </c>
      <c r="D1565" t="s">
        <v>3684</v>
      </c>
      <c r="F1565"/>
      <c r="G1565"/>
      <c r="H1565">
        <v>5</v>
      </c>
    </row>
    <row r="1566" spans="1:8" x14ac:dyDescent="0.2">
      <c r="A1566" t="s">
        <v>2007</v>
      </c>
      <c r="B1566" s="44">
        <v>39954</v>
      </c>
      <c r="C1566" t="s">
        <v>4</v>
      </c>
      <c r="D1566" t="s">
        <v>3664</v>
      </c>
      <c r="F1566"/>
      <c r="G1566"/>
      <c r="H1566">
        <v>5</v>
      </c>
    </row>
    <row r="1567" spans="1:8" x14ac:dyDescent="0.2">
      <c r="A1567" t="s">
        <v>2064</v>
      </c>
      <c r="B1567" s="44">
        <v>39961</v>
      </c>
      <c r="C1567" t="s">
        <v>4</v>
      </c>
      <c r="D1567" t="s">
        <v>3657</v>
      </c>
      <c r="F1567"/>
      <c r="G1567"/>
      <c r="H1567">
        <v>5</v>
      </c>
    </row>
    <row r="1568" spans="1:8" x14ac:dyDescent="0.2">
      <c r="A1568" t="s">
        <v>688</v>
      </c>
      <c r="B1568" s="44">
        <v>39973</v>
      </c>
      <c r="C1568" t="s">
        <v>4</v>
      </c>
      <c r="D1568" t="s">
        <v>3685</v>
      </c>
      <c r="F1568"/>
      <c r="G1568"/>
      <c r="H1568">
        <v>5</v>
      </c>
    </row>
    <row r="1569" spans="1:8" x14ac:dyDescent="0.2">
      <c r="A1569" t="s">
        <v>690</v>
      </c>
      <c r="B1569" s="44">
        <v>39974</v>
      </c>
      <c r="C1569" t="s">
        <v>4</v>
      </c>
      <c r="D1569" t="s">
        <v>3681</v>
      </c>
      <c r="F1569"/>
      <c r="G1569"/>
      <c r="H1569">
        <v>5</v>
      </c>
    </row>
    <row r="1570" spans="1:8" x14ac:dyDescent="0.2">
      <c r="A1570" t="s">
        <v>702</v>
      </c>
      <c r="B1570" s="44">
        <v>39976</v>
      </c>
      <c r="C1570" t="s">
        <v>4</v>
      </c>
      <c r="D1570" t="s">
        <v>3687</v>
      </c>
      <c r="F1570"/>
      <c r="G1570"/>
      <c r="H1570">
        <v>5</v>
      </c>
    </row>
    <row r="1571" spans="1:8" x14ac:dyDescent="0.2">
      <c r="A1571" t="s">
        <v>701</v>
      </c>
      <c r="B1571" s="44">
        <v>39976</v>
      </c>
      <c r="C1571" t="s">
        <v>4</v>
      </c>
      <c r="D1571" t="s">
        <v>3686</v>
      </c>
      <c r="F1571"/>
      <c r="G1571"/>
      <c r="H1571">
        <v>5</v>
      </c>
    </row>
    <row r="1572" spans="1:8" x14ac:dyDescent="0.2">
      <c r="A1572" t="s">
        <v>2229</v>
      </c>
      <c r="B1572" s="44">
        <v>39987</v>
      </c>
      <c r="C1572" t="s">
        <v>4</v>
      </c>
      <c r="D1572" t="s">
        <v>3677</v>
      </c>
      <c r="F1572"/>
      <c r="G1572"/>
      <c r="H1572">
        <v>5</v>
      </c>
    </row>
    <row r="1573" spans="1:8" x14ac:dyDescent="0.2">
      <c r="A1573" t="s">
        <v>2293</v>
      </c>
      <c r="B1573" s="44">
        <v>39994</v>
      </c>
      <c r="C1573" t="s">
        <v>4</v>
      </c>
      <c r="D1573" t="s">
        <v>3657</v>
      </c>
      <c r="F1573"/>
      <c r="G1573"/>
      <c r="H1573">
        <v>5</v>
      </c>
    </row>
    <row r="1574" spans="1:8" x14ac:dyDescent="0.2">
      <c r="A1574" t="s">
        <v>661</v>
      </c>
      <c r="B1574" s="44">
        <v>39996</v>
      </c>
      <c r="C1574" t="s">
        <v>4</v>
      </c>
      <c r="D1574" t="s">
        <v>3671</v>
      </c>
      <c r="F1574"/>
      <c r="G1574"/>
      <c r="H1574">
        <v>5</v>
      </c>
    </row>
    <row r="1575" spans="1:8" x14ac:dyDescent="0.2">
      <c r="A1575" t="s">
        <v>662</v>
      </c>
      <c r="B1575" s="44">
        <v>39996</v>
      </c>
      <c r="C1575" t="s">
        <v>4</v>
      </c>
      <c r="D1575" t="s">
        <v>3688</v>
      </c>
      <c r="F1575"/>
      <c r="G1575"/>
      <c r="H1575">
        <v>5</v>
      </c>
    </row>
    <row r="1576" spans="1:8" x14ac:dyDescent="0.2">
      <c r="A1576" t="s">
        <v>2312</v>
      </c>
      <c r="B1576" s="44">
        <v>40008</v>
      </c>
      <c r="C1576" t="s">
        <v>4</v>
      </c>
      <c r="D1576" t="s">
        <v>3976</v>
      </c>
      <c r="F1576"/>
      <c r="G1576"/>
      <c r="H1576">
        <v>5</v>
      </c>
    </row>
    <row r="1577" spans="1:8" x14ac:dyDescent="0.2">
      <c r="A1577" t="s">
        <v>2312</v>
      </c>
      <c r="B1577" s="44">
        <v>40008</v>
      </c>
      <c r="C1577" t="s">
        <v>4</v>
      </c>
      <c r="D1577" t="s">
        <v>3689</v>
      </c>
      <c r="F1577"/>
      <c r="G1577"/>
      <c r="H1577">
        <v>5</v>
      </c>
    </row>
    <row r="1578" spans="1:8" x14ac:dyDescent="0.2">
      <c r="A1578" t="s">
        <v>2450</v>
      </c>
      <c r="B1578" s="44">
        <v>40050</v>
      </c>
      <c r="C1578" t="s">
        <v>4</v>
      </c>
      <c r="D1578" t="s">
        <v>3664</v>
      </c>
      <c r="F1578"/>
      <c r="G1578"/>
      <c r="H1578">
        <v>5</v>
      </c>
    </row>
    <row r="1579" spans="1:8" x14ac:dyDescent="0.2">
      <c r="A1579" t="s">
        <v>2483</v>
      </c>
      <c r="B1579" s="44">
        <v>40070</v>
      </c>
      <c r="C1579" t="s">
        <v>4</v>
      </c>
      <c r="D1579" t="s">
        <v>3683</v>
      </c>
      <c r="F1579"/>
      <c r="G1579"/>
      <c r="H1579">
        <v>5</v>
      </c>
    </row>
    <row r="1580" spans="1:8" x14ac:dyDescent="0.2">
      <c r="A1580" t="s">
        <v>2551</v>
      </c>
      <c r="B1580" s="44">
        <v>40077</v>
      </c>
      <c r="C1580" t="s">
        <v>4</v>
      </c>
      <c r="D1580" t="s">
        <v>3681</v>
      </c>
      <c r="F1580"/>
      <c r="G1580"/>
      <c r="H1580">
        <v>5</v>
      </c>
    </row>
    <row r="1581" spans="1:8" x14ac:dyDescent="0.2">
      <c r="A1581" t="s">
        <v>2569</v>
      </c>
      <c r="B1581" s="44">
        <v>40079</v>
      </c>
      <c r="C1581" t="s">
        <v>4</v>
      </c>
      <c r="D1581" t="s">
        <v>3691</v>
      </c>
      <c r="F1581"/>
      <c r="G1581"/>
      <c r="H1581">
        <v>5</v>
      </c>
    </row>
    <row r="1582" spans="1:8" x14ac:dyDescent="0.2">
      <c r="A1582" t="s">
        <v>2575</v>
      </c>
      <c r="B1582" s="44">
        <v>40080</v>
      </c>
      <c r="C1582" t="s">
        <v>4</v>
      </c>
      <c r="D1582" t="s">
        <v>3677</v>
      </c>
      <c r="F1582"/>
      <c r="G1582"/>
      <c r="H1582">
        <v>5</v>
      </c>
    </row>
    <row r="1583" spans="1:8" x14ac:dyDescent="0.2">
      <c r="A1583" t="s">
        <v>2630</v>
      </c>
      <c r="B1583" s="44">
        <v>40086</v>
      </c>
      <c r="C1583" t="s">
        <v>4</v>
      </c>
      <c r="D1583" t="s">
        <v>3692</v>
      </c>
      <c r="F1583"/>
      <c r="G1583"/>
      <c r="H1583">
        <v>5</v>
      </c>
    </row>
    <row r="1584" spans="1:8" x14ac:dyDescent="0.2">
      <c r="A1584" t="s">
        <v>2644</v>
      </c>
      <c r="B1584" s="44">
        <v>40099</v>
      </c>
      <c r="C1584" t="s">
        <v>4</v>
      </c>
      <c r="D1584" t="s">
        <v>3664</v>
      </c>
      <c r="F1584"/>
      <c r="G1584"/>
      <c r="H1584">
        <v>5</v>
      </c>
    </row>
    <row r="1585" spans="1:8" x14ac:dyDescent="0.2">
      <c r="A1585" t="s">
        <v>2643</v>
      </c>
      <c r="B1585" s="44">
        <v>40099</v>
      </c>
      <c r="C1585" t="s">
        <v>4</v>
      </c>
      <c r="D1585" t="s">
        <v>3693</v>
      </c>
      <c r="F1585"/>
      <c r="G1585"/>
      <c r="H1585">
        <v>5</v>
      </c>
    </row>
    <row r="1586" spans="1:8" x14ac:dyDescent="0.2">
      <c r="A1586" t="s">
        <v>2694</v>
      </c>
      <c r="B1586" s="44">
        <v>40104</v>
      </c>
      <c r="C1586" t="s">
        <v>4</v>
      </c>
      <c r="D1586" t="s">
        <v>3383</v>
      </c>
      <c r="F1586"/>
      <c r="G1586"/>
      <c r="H1586">
        <v>5</v>
      </c>
    </row>
    <row r="1587" spans="1:8" x14ac:dyDescent="0.2">
      <c r="A1587" t="s">
        <v>2742</v>
      </c>
      <c r="B1587" s="44">
        <v>40108</v>
      </c>
      <c r="C1587" t="s">
        <v>4</v>
      </c>
      <c r="D1587" t="s">
        <v>3694</v>
      </c>
      <c r="F1587"/>
      <c r="G1587"/>
      <c r="H1587">
        <v>5</v>
      </c>
    </row>
    <row r="1588" spans="1:8" x14ac:dyDescent="0.2">
      <c r="A1588" t="s">
        <v>2787</v>
      </c>
      <c r="B1588" s="44">
        <v>40112</v>
      </c>
      <c r="C1588" t="s">
        <v>4</v>
      </c>
      <c r="D1588" t="s">
        <v>3695</v>
      </c>
      <c r="F1588"/>
      <c r="G1588"/>
      <c r="H1588">
        <v>5</v>
      </c>
    </row>
    <row r="1589" spans="1:8" x14ac:dyDescent="0.2">
      <c r="A1589" t="s">
        <v>2821</v>
      </c>
      <c r="B1589" s="44">
        <v>40116</v>
      </c>
      <c r="C1589" t="s">
        <v>4</v>
      </c>
      <c r="D1589" t="s">
        <v>4472</v>
      </c>
      <c r="F1589"/>
      <c r="G1589"/>
      <c r="H1589">
        <v>5</v>
      </c>
    </row>
    <row r="1590" spans="1:8" x14ac:dyDescent="0.2">
      <c r="A1590" t="s">
        <v>692</v>
      </c>
      <c r="B1590" s="44">
        <v>40127</v>
      </c>
      <c r="C1590" t="s">
        <v>4</v>
      </c>
      <c r="D1590" t="s">
        <v>3980</v>
      </c>
      <c r="F1590"/>
      <c r="G1590"/>
      <c r="H1590">
        <v>5</v>
      </c>
    </row>
    <row r="1591" spans="1:8" x14ac:dyDescent="0.2">
      <c r="A1591" t="s">
        <v>2877</v>
      </c>
      <c r="B1591" s="44">
        <v>40133</v>
      </c>
      <c r="C1591" t="s">
        <v>4</v>
      </c>
      <c r="D1591" t="s">
        <v>3981</v>
      </c>
      <c r="F1591"/>
      <c r="G1591"/>
      <c r="H1591">
        <v>5</v>
      </c>
    </row>
    <row r="1592" spans="1:8" x14ac:dyDescent="0.2">
      <c r="A1592" t="s">
        <v>2877</v>
      </c>
      <c r="B1592" s="44">
        <v>40133</v>
      </c>
      <c r="C1592" t="s">
        <v>4</v>
      </c>
      <c r="D1592" t="s">
        <v>3681</v>
      </c>
      <c r="F1592"/>
      <c r="G1592"/>
      <c r="H1592">
        <v>5</v>
      </c>
    </row>
    <row r="1593" spans="1:8" x14ac:dyDescent="0.2">
      <c r="A1593" t="s">
        <v>2876</v>
      </c>
      <c r="B1593" s="44">
        <v>40133</v>
      </c>
      <c r="C1593" t="s">
        <v>4</v>
      </c>
      <c r="D1593" t="s">
        <v>3696</v>
      </c>
      <c r="F1593"/>
      <c r="G1593"/>
      <c r="H1593">
        <v>5</v>
      </c>
    </row>
    <row r="1594" spans="1:8" x14ac:dyDescent="0.2">
      <c r="A1594" t="s">
        <v>2889</v>
      </c>
      <c r="B1594" s="44">
        <v>40134</v>
      </c>
      <c r="C1594" t="s">
        <v>4</v>
      </c>
      <c r="D1594" t="s">
        <v>3697</v>
      </c>
      <c r="F1594"/>
      <c r="G1594"/>
      <c r="H1594">
        <v>5</v>
      </c>
    </row>
    <row r="1595" spans="1:8" x14ac:dyDescent="0.2">
      <c r="A1595" t="s">
        <v>2914</v>
      </c>
      <c r="B1595" s="44">
        <v>40136</v>
      </c>
      <c r="C1595" t="s">
        <v>4</v>
      </c>
      <c r="D1595" t="s">
        <v>3686</v>
      </c>
      <c r="F1595"/>
      <c r="G1595"/>
      <c r="H1595">
        <v>5</v>
      </c>
    </row>
    <row r="1596" spans="1:8" x14ac:dyDescent="0.2">
      <c r="A1596" t="s">
        <v>2987</v>
      </c>
      <c r="B1596" s="44">
        <v>40143</v>
      </c>
      <c r="C1596" t="s">
        <v>4</v>
      </c>
      <c r="D1596" t="s">
        <v>3697</v>
      </c>
      <c r="F1596"/>
      <c r="G1596"/>
      <c r="H1596">
        <v>5</v>
      </c>
    </row>
    <row r="1597" spans="1:8" x14ac:dyDescent="0.2">
      <c r="A1597" t="s">
        <v>658</v>
      </c>
      <c r="B1597" s="44">
        <v>40148</v>
      </c>
      <c r="C1597" t="s">
        <v>4</v>
      </c>
      <c r="D1597" t="s">
        <v>3982</v>
      </c>
      <c r="F1597"/>
      <c r="G1597"/>
      <c r="H1597">
        <v>5</v>
      </c>
    </row>
    <row r="1598" spans="1:8" x14ac:dyDescent="0.2">
      <c r="A1598" t="s">
        <v>663</v>
      </c>
      <c r="B1598" s="44">
        <v>40149</v>
      </c>
      <c r="C1598" t="s">
        <v>4</v>
      </c>
      <c r="D1598" t="s">
        <v>3983</v>
      </c>
      <c r="F1598"/>
      <c r="G1598"/>
      <c r="H1598">
        <v>5</v>
      </c>
    </row>
    <row r="1599" spans="1:8" x14ac:dyDescent="0.2">
      <c r="A1599" t="s">
        <v>675</v>
      </c>
      <c r="B1599" s="44">
        <v>40153</v>
      </c>
      <c r="C1599" t="s">
        <v>4</v>
      </c>
      <c r="D1599" t="s">
        <v>3384</v>
      </c>
      <c r="F1599"/>
      <c r="G1599"/>
      <c r="H1599">
        <v>5</v>
      </c>
    </row>
    <row r="1600" spans="1:8" x14ac:dyDescent="0.2">
      <c r="A1600" t="s">
        <v>3045</v>
      </c>
      <c r="B1600" s="44">
        <v>40163</v>
      </c>
      <c r="C1600" t="s">
        <v>4</v>
      </c>
      <c r="D1600" t="s">
        <v>3692</v>
      </c>
      <c r="F1600"/>
      <c r="G1600"/>
      <c r="H1600">
        <v>5</v>
      </c>
    </row>
    <row r="1601" spans="1:8" x14ac:dyDescent="0.2">
      <c r="A1601" t="s">
        <v>740</v>
      </c>
      <c r="B1601" s="44">
        <v>40190</v>
      </c>
      <c r="C1601" t="s">
        <v>4</v>
      </c>
      <c r="D1601" t="s">
        <v>3698</v>
      </c>
      <c r="F1601"/>
      <c r="G1601"/>
      <c r="H1601">
        <v>5</v>
      </c>
    </row>
    <row r="1602" spans="1:8" x14ac:dyDescent="0.2">
      <c r="A1602" t="s">
        <v>1389</v>
      </c>
      <c r="B1602" s="44">
        <v>40198</v>
      </c>
      <c r="C1602" t="s">
        <v>4</v>
      </c>
      <c r="D1602" t="s">
        <v>3699</v>
      </c>
      <c r="F1602"/>
      <c r="G1602"/>
      <c r="H1602">
        <v>5</v>
      </c>
    </row>
    <row r="1603" spans="1:8" x14ac:dyDescent="0.2">
      <c r="A1603" t="s">
        <v>1399</v>
      </c>
      <c r="B1603" s="44">
        <v>40199</v>
      </c>
      <c r="C1603" t="s">
        <v>4</v>
      </c>
      <c r="D1603" t="s">
        <v>3698</v>
      </c>
      <c r="F1603"/>
      <c r="G1603"/>
      <c r="H1603">
        <v>5</v>
      </c>
    </row>
    <row r="1604" spans="1:8" x14ac:dyDescent="0.2">
      <c r="A1604" t="s">
        <v>1466</v>
      </c>
      <c r="B1604" s="44">
        <v>40205</v>
      </c>
      <c r="C1604" t="s">
        <v>4</v>
      </c>
      <c r="D1604" t="s">
        <v>3683</v>
      </c>
      <c r="F1604"/>
      <c r="G1604"/>
      <c r="H1604">
        <v>5</v>
      </c>
    </row>
    <row r="1605" spans="1:8" x14ac:dyDescent="0.2">
      <c r="A1605" t="s">
        <v>1465</v>
      </c>
      <c r="B1605" s="44">
        <v>40205</v>
      </c>
      <c r="C1605" t="s">
        <v>4</v>
      </c>
      <c r="D1605" t="s">
        <v>3681</v>
      </c>
      <c r="F1605"/>
      <c r="G1605"/>
      <c r="H1605">
        <v>5</v>
      </c>
    </row>
    <row r="1606" spans="1:8" x14ac:dyDescent="0.2">
      <c r="A1606" t="s">
        <v>1533</v>
      </c>
      <c r="B1606" s="44">
        <v>40227</v>
      </c>
      <c r="C1606" t="s">
        <v>4</v>
      </c>
      <c r="D1606" t="s">
        <v>3984</v>
      </c>
      <c r="F1606"/>
      <c r="G1606"/>
      <c r="H1606">
        <v>5</v>
      </c>
    </row>
    <row r="1607" spans="1:8" x14ac:dyDescent="0.2">
      <c r="A1607" t="s">
        <v>1587</v>
      </c>
      <c r="B1607" s="44">
        <v>40232</v>
      </c>
      <c r="C1607" t="s">
        <v>4</v>
      </c>
      <c r="D1607" t="s">
        <v>3698</v>
      </c>
      <c r="F1607"/>
      <c r="G1607"/>
      <c r="H1607">
        <v>5</v>
      </c>
    </row>
    <row r="1608" spans="1:8" x14ac:dyDescent="0.2">
      <c r="A1608" t="s">
        <v>1596</v>
      </c>
      <c r="B1608" s="44">
        <v>40233</v>
      </c>
      <c r="C1608" t="s">
        <v>4</v>
      </c>
      <c r="D1608" t="s">
        <v>3985</v>
      </c>
      <c r="F1608"/>
      <c r="G1608"/>
      <c r="H1608">
        <v>5</v>
      </c>
    </row>
    <row r="1609" spans="1:8" x14ac:dyDescent="0.2">
      <c r="A1609" t="s">
        <v>1609</v>
      </c>
      <c r="B1609" s="44">
        <v>40234</v>
      </c>
      <c r="C1609" t="s">
        <v>4</v>
      </c>
      <c r="D1609" t="s">
        <v>3986</v>
      </c>
      <c r="F1609"/>
      <c r="G1609"/>
      <c r="H1609">
        <v>5</v>
      </c>
    </row>
    <row r="1610" spans="1:8" x14ac:dyDescent="0.2">
      <c r="A1610" t="s">
        <v>719</v>
      </c>
      <c r="B1610" s="44">
        <v>40245</v>
      </c>
      <c r="C1610" t="s">
        <v>4</v>
      </c>
      <c r="D1610" t="s">
        <v>3935</v>
      </c>
      <c r="F1610"/>
      <c r="G1610"/>
      <c r="H1610">
        <v>5</v>
      </c>
    </row>
    <row r="1611" spans="1:8" x14ac:dyDescent="0.2">
      <c r="A1611" t="s">
        <v>730</v>
      </c>
      <c r="B1611" s="44">
        <v>40247</v>
      </c>
      <c r="C1611" t="s">
        <v>4</v>
      </c>
      <c r="D1611" t="s">
        <v>3987</v>
      </c>
      <c r="F1611"/>
      <c r="G1611"/>
      <c r="H1611">
        <v>5</v>
      </c>
    </row>
    <row r="1612" spans="1:8" x14ac:dyDescent="0.2">
      <c r="A1612" t="s">
        <v>741</v>
      </c>
      <c r="B1612" s="44">
        <v>40249</v>
      </c>
      <c r="C1612" t="s">
        <v>4</v>
      </c>
      <c r="D1612" t="s">
        <v>3988</v>
      </c>
      <c r="F1612"/>
      <c r="G1612"/>
      <c r="H1612">
        <v>5</v>
      </c>
    </row>
    <row r="1613" spans="1:8" x14ac:dyDescent="0.2">
      <c r="A1613" t="s">
        <v>1684</v>
      </c>
      <c r="B1613" s="44">
        <v>40253</v>
      </c>
      <c r="C1613" t="s">
        <v>4</v>
      </c>
      <c r="D1613" t="s">
        <v>3700</v>
      </c>
      <c r="F1613"/>
      <c r="G1613"/>
      <c r="H1613">
        <v>5</v>
      </c>
    </row>
    <row r="1614" spans="1:8" x14ac:dyDescent="0.2">
      <c r="A1614" t="s">
        <v>1701</v>
      </c>
      <c r="B1614" s="44">
        <v>40255</v>
      </c>
      <c r="C1614" t="s">
        <v>4</v>
      </c>
      <c r="D1614" t="s">
        <v>3701</v>
      </c>
      <c r="F1614"/>
      <c r="G1614"/>
      <c r="H1614">
        <v>5</v>
      </c>
    </row>
    <row r="1615" spans="1:8" x14ac:dyDescent="0.2">
      <c r="A1615" t="s">
        <v>1706</v>
      </c>
      <c r="B1615" s="44">
        <v>40256</v>
      </c>
      <c r="C1615" t="s">
        <v>4</v>
      </c>
      <c r="D1615" t="s">
        <v>3702</v>
      </c>
      <c r="F1615"/>
      <c r="G1615"/>
      <c r="H1615">
        <v>5</v>
      </c>
    </row>
    <row r="1616" spans="1:8" x14ac:dyDescent="0.2">
      <c r="A1616" t="s">
        <v>1805</v>
      </c>
      <c r="B1616" s="44">
        <v>40267</v>
      </c>
      <c r="C1616" t="s">
        <v>4</v>
      </c>
      <c r="D1616" t="s">
        <v>3989</v>
      </c>
      <c r="F1616"/>
      <c r="G1616"/>
      <c r="H1616">
        <v>5</v>
      </c>
    </row>
    <row r="1617" spans="1:8" x14ac:dyDescent="0.2">
      <c r="A1617" t="s">
        <v>1991</v>
      </c>
      <c r="B1617" s="44">
        <v>40318</v>
      </c>
      <c r="C1617" t="s">
        <v>4</v>
      </c>
      <c r="D1617" t="s">
        <v>3990</v>
      </c>
      <c r="F1617"/>
      <c r="G1617"/>
      <c r="H1617">
        <v>5</v>
      </c>
    </row>
    <row r="1618" spans="1:8" x14ac:dyDescent="0.2">
      <c r="A1618" t="s">
        <v>1992</v>
      </c>
      <c r="B1618" s="44">
        <v>40318</v>
      </c>
      <c r="C1618" t="s">
        <v>4</v>
      </c>
      <c r="D1618" t="s">
        <v>3991</v>
      </c>
      <c r="F1618"/>
      <c r="G1618"/>
      <c r="H1618">
        <v>5</v>
      </c>
    </row>
    <row r="1619" spans="1:8" x14ac:dyDescent="0.2">
      <c r="A1619" t="s">
        <v>2039</v>
      </c>
      <c r="B1619" s="44">
        <v>40322</v>
      </c>
      <c r="C1619" t="s">
        <v>4</v>
      </c>
      <c r="D1619" t="s">
        <v>3982</v>
      </c>
      <c r="F1619"/>
      <c r="G1619"/>
      <c r="H1619">
        <v>5</v>
      </c>
    </row>
    <row r="1620" spans="1:8" x14ac:dyDescent="0.2">
      <c r="A1620" t="s">
        <v>2100</v>
      </c>
      <c r="B1620" s="44">
        <v>40343</v>
      </c>
      <c r="C1620" t="s">
        <v>4</v>
      </c>
      <c r="D1620" t="s">
        <v>4472</v>
      </c>
      <c r="F1620"/>
      <c r="G1620"/>
      <c r="H1620">
        <v>5</v>
      </c>
    </row>
    <row r="1621" spans="1:8" x14ac:dyDescent="0.2">
      <c r="A1621" t="s">
        <v>2294</v>
      </c>
      <c r="B1621" s="44">
        <v>40359</v>
      </c>
      <c r="C1621" t="s">
        <v>4</v>
      </c>
      <c r="D1621" t="s">
        <v>3779</v>
      </c>
      <c r="F1621"/>
      <c r="G1621"/>
      <c r="H1621">
        <v>5</v>
      </c>
    </row>
    <row r="1622" spans="1:8" x14ac:dyDescent="0.2">
      <c r="A1622" t="s">
        <v>2306</v>
      </c>
      <c r="B1622" s="44">
        <v>40372</v>
      </c>
      <c r="C1622" t="s">
        <v>4</v>
      </c>
      <c r="D1622" t="s">
        <v>3992</v>
      </c>
      <c r="F1622"/>
      <c r="G1622"/>
      <c r="H1622">
        <v>5</v>
      </c>
    </row>
    <row r="1623" spans="1:8" x14ac:dyDescent="0.2">
      <c r="A1623" t="s">
        <v>2307</v>
      </c>
      <c r="B1623" s="44">
        <v>40372</v>
      </c>
      <c r="C1623" t="s">
        <v>4</v>
      </c>
      <c r="D1623" t="s">
        <v>3385</v>
      </c>
      <c r="F1623"/>
      <c r="G1623"/>
      <c r="H1623">
        <v>5</v>
      </c>
    </row>
    <row r="1624" spans="1:8" x14ac:dyDescent="0.2">
      <c r="A1624" t="s">
        <v>2306</v>
      </c>
      <c r="B1624" s="44">
        <v>40372</v>
      </c>
      <c r="C1624" t="s">
        <v>4</v>
      </c>
      <c r="D1624" t="s">
        <v>3993</v>
      </c>
      <c r="F1624"/>
      <c r="G1624"/>
      <c r="H1624">
        <v>5</v>
      </c>
    </row>
    <row r="1625" spans="1:8" x14ac:dyDescent="0.2">
      <c r="A1625" t="s">
        <v>709</v>
      </c>
      <c r="B1625" s="44">
        <v>40393</v>
      </c>
      <c r="C1625" t="s">
        <v>4</v>
      </c>
      <c r="D1625" t="s">
        <v>4473</v>
      </c>
      <c r="F1625"/>
      <c r="G1625"/>
      <c r="H1625">
        <v>5</v>
      </c>
    </row>
    <row r="1626" spans="1:8" x14ac:dyDescent="0.2">
      <c r="A1626" t="s">
        <v>2456</v>
      </c>
      <c r="B1626" s="44">
        <v>40418</v>
      </c>
      <c r="C1626" t="s">
        <v>4</v>
      </c>
      <c r="D1626" t="s">
        <v>3703</v>
      </c>
      <c r="F1626"/>
      <c r="G1626"/>
      <c r="H1626">
        <v>5</v>
      </c>
    </row>
    <row r="1627" spans="1:8" x14ac:dyDescent="0.2">
      <c r="A1627" t="s">
        <v>708</v>
      </c>
      <c r="B1627" s="44">
        <v>40423</v>
      </c>
      <c r="C1627" t="s">
        <v>4</v>
      </c>
      <c r="D1627" t="s">
        <v>3994</v>
      </c>
      <c r="F1627"/>
      <c r="G1627"/>
      <c r="H1627">
        <v>5</v>
      </c>
    </row>
    <row r="1628" spans="1:8" x14ac:dyDescent="0.2">
      <c r="A1628" t="s">
        <v>710</v>
      </c>
      <c r="B1628" s="44">
        <v>40424</v>
      </c>
      <c r="C1628" t="s">
        <v>4</v>
      </c>
      <c r="D1628" t="s">
        <v>3995</v>
      </c>
      <c r="F1628"/>
      <c r="G1628"/>
      <c r="H1628">
        <v>5</v>
      </c>
    </row>
    <row r="1629" spans="1:8" x14ac:dyDescent="0.2">
      <c r="A1629" t="s">
        <v>2485</v>
      </c>
      <c r="B1629" s="44">
        <v>40435</v>
      </c>
      <c r="C1629" t="s">
        <v>4</v>
      </c>
      <c r="D1629" t="s">
        <v>3996</v>
      </c>
      <c r="F1629"/>
      <c r="G1629"/>
      <c r="H1629">
        <v>5</v>
      </c>
    </row>
    <row r="1630" spans="1:8" x14ac:dyDescent="0.2">
      <c r="A1630" t="s">
        <v>2484</v>
      </c>
      <c r="B1630" s="44">
        <v>40435</v>
      </c>
      <c r="C1630" t="s">
        <v>4</v>
      </c>
      <c r="D1630" t="s">
        <v>4472</v>
      </c>
      <c r="F1630"/>
      <c r="G1630"/>
      <c r="H1630">
        <v>5</v>
      </c>
    </row>
    <row r="1631" spans="1:8" x14ac:dyDescent="0.2">
      <c r="A1631" t="s">
        <v>2499</v>
      </c>
      <c r="B1631" s="44">
        <v>40437</v>
      </c>
      <c r="C1631" t="s">
        <v>4</v>
      </c>
      <c r="D1631" t="s">
        <v>3997</v>
      </c>
      <c r="F1631"/>
      <c r="G1631"/>
      <c r="H1631">
        <v>5</v>
      </c>
    </row>
    <row r="1632" spans="1:8" x14ac:dyDescent="0.2">
      <c r="A1632" t="s">
        <v>2541</v>
      </c>
      <c r="B1632" s="44">
        <v>40441</v>
      </c>
      <c r="C1632" t="s">
        <v>4</v>
      </c>
      <c r="D1632" t="s">
        <v>3704</v>
      </c>
      <c r="F1632"/>
      <c r="G1632"/>
      <c r="H1632">
        <v>5</v>
      </c>
    </row>
    <row r="1633" spans="1:8" x14ac:dyDescent="0.2">
      <c r="A1633" t="s">
        <v>2552</v>
      </c>
      <c r="B1633" s="44">
        <v>40442</v>
      </c>
      <c r="C1633" t="s">
        <v>4</v>
      </c>
      <c r="D1633" t="s">
        <v>3705</v>
      </c>
      <c r="F1633"/>
      <c r="G1633"/>
      <c r="H1633">
        <v>5</v>
      </c>
    </row>
    <row r="1634" spans="1:8" x14ac:dyDescent="0.2">
      <c r="A1634" t="s">
        <v>2562</v>
      </c>
      <c r="B1634" s="44">
        <v>40443</v>
      </c>
      <c r="C1634" t="s">
        <v>4</v>
      </c>
      <c r="D1634" t="s">
        <v>3706</v>
      </c>
      <c r="F1634"/>
      <c r="G1634"/>
      <c r="H1634">
        <v>5</v>
      </c>
    </row>
    <row r="1635" spans="1:8" x14ac:dyDescent="0.2">
      <c r="A1635" t="s">
        <v>2608</v>
      </c>
      <c r="B1635" s="44">
        <v>40449</v>
      </c>
      <c r="C1635" t="s">
        <v>4</v>
      </c>
      <c r="D1635" t="s">
        <v>3707</v>
      </c>
      <c r="F1635"/>
      <c r="G1635"/>
      <c r="H1635">
        <v>5</v>
      </c>
    </row>
    <row r="1636" spans="1:8" x14ac:dyDescent="0.2">
      <c r="A1636" t="s">
        <v>2631</v>
      </c>
      <c r="B1636" s="44">
        <v>40451</v>
      </c>
      <c r="C1636" t="s">
        <v>4</v>
      </c>
      <c r="D1636" t="s">
        <v>3708</v>
      </c>
      <c r="F1636"/>
      <c r="G1636"/>
      <c r="H1636">
        <v>5</v>
      </c>
    </row>
    <row r="1637" spans="1:8" x14ac:dyDescent="0.2">
      <c r="A1637" t="s">
        <v>2633</v>
      </c>
      <c r="B1637" s="44">
        <v>40451</v>
      </c>
      <c r="C1637" t="s">
        <v>4</v>
      </c>
      <c r="D1637" t="s">
        <v>3709</v>
      </c>
      <c r="F1637"/>
      <c r="G1637"/>
      <c r="H1637">
        <v>5</v>
      </c>
    </row>
    <row r="1638" spans="1:8" x14ac:dyDescent="0.2">
      <c r="A1638" t="s">
        <v>713</v>
      </c>
      <c r="B1638" s="44">
        <v>40455</v>
      </c>
      <c r="C1638" t="s">
        <v>4</v>
      </c>
      <c r="D1638" t="s">
        <v>3710</v>
      </c>
      <c r="F1638"/>
      <c r="G1638"/>
      <c r="H1638">
        <v>5</v>
      </c>
    </row>
    <row r="1639" spans="1:8" x14ac:dyDescent="0.2">
      <c r="A1639" t="s">
        <v>725</v>
      </c>
      <c r="B1639" s="44">
        <v>40459</v>
      </c>
      <c r="C1639" t="s">
        <v>4</v>
      </c>
      <c r="D1639" t="s">
        <v>3998</v>
      </c>
      <c r="F1639"/>
      <c r="G1639"/>
      <c r="H1639">
        <v>5</v>
      </c>
    </row>
    <row r="1640" spans="1:8" x14ac:dyDescent="0.2">
      <c r="A1640" t="s">
        <v>733</v>
      </c>
      <c r="B1640" s="44">
        <v>40461</v>
      </c>
      <c r="C1640" t="s">
        <v>4</v>
      </c>
      <c r="D1640" t="s">
        <v>3711</v>
      </c>
      <c r="F1640"/>
      <c r="G1640"/>
      <c r="H1640">
        <v>5</v>
      </c>
    </row>
    <row r="1641" spans="1:8" x14ac:dyDescent="0.2">
      <c r="A1641" t="s">
        <v>738</v>
      </c>
      <c r="B1641" s="44">
        <v>40462</v>
      </c>
      <c r="C1641" t="s">
        <v>4</v>
      </c>
      <c r="D1641" t="s">
        <v>3998</v>
      </c>
      <c r="F1641"/>
      <c r="G1641"/>
      <c r="H1641">
        <v>5</v>
      </c>
    </row>
    <row r="1642" spans="1:8" x14ac:dyDescent="0.2">
      <c r="A1642" t="s">
        <v>743</v>
      </c>
      <c r="B1642" s="44">
        <v>40463</v>
      </c>
      <c r="C1642" t="s">
        <v>4</v>
      </c>
      <c r="D1642" t="s">
        <v>3999</v>
      </c>
      <c r="F1642"/>
      <c r="G1642"/>
      <c r="H1642">
        <v>5</v>
      </c>
    </row>
    <row r="1643" spans="1:8" x14ac:dyDescent="0.2">
      <c r="A1643" t="s">
        <v>2645</v>
      </c>
      <c r="B1643" s="44">
        <v>40464</v>
      </c>
      <c r="C1643" t="s">
        <v>4</v>
      </c>
      <c r="D1643" t="s">
        <v>3721</v>
      </c>
      <c r="F1643"/>
      <c r="G1643"/>
      <c r="H1643">
        <v>5</v>
      </c>
    </row>
    <row r="1644" spans="1:8" x14ac:dyDescent="0.2">
      <c r="A1644" t="s">
        <v>2662</v>
      </c>
      <c r="B1644" s="44">
        <v>40466</v>
      </c>
      <c r="C1644" t="s">
        <v>4</v>
      </c>
      <c r="D1644" t="s">
        <v>4000</v>
      </c>
      <c r="F1644"/>
      <c r="G1644"/>
      <c r="H1644">
        <v>5</v>
      </c>
    </row>
    <row r="1645" spans="1:8" x14ac:dyDescent="0.2">
      <c r="A1645" t="s">
        <v>2733</v>
      </c>
      <c r="B1645" s="44">
        <v>40472</v>
      </c>
      <c r="C1645" t="s">
        <v>4</v>
      </c>
      <c r="D1645" t="s">
        <v>4001</v>
      </c>
      <c r="F1645"/>
      <c r="G1645"/>
      <c r="H1645">
        <v>5</v>
      </c>
    </row>
    <row r="1646" spans="1:8" x14ac:dyDescent="0.2">
      <c r="A1646" t="s">
        <v>2777</v>
      </c>
      <c r="B1646" s="44">
        <v>40476</v>
      </c>
      <c r="C1646" t="s">
        <v>4</v>
      </c>
      <c r="D1646" t="s">
        <v>3712</v>
      </c>
      <c r="F1646"/>
      <c r="G1646"/>
      <c r="H1646">
        <v>5</v>
      </c>
    </row>
    <row r="1647" spans="1:8" x14ac:dyDescent="0.2">
      <c r="A1647" t="s">
        <v>2788</v>
      </c>
      <c r="B1647" s="44">
        <v>40477</v>
      </c>
      <c r="C1647" t="s">
        <v>4</v>
      </c>
      <c r="D1647" t="s">
        <v>3713</v>
      </c>
      <c r="F1647"/>
      <c r="G1647"/>
      <c r="H1647">
        <v>5</v>
      </c>
    </row>
    <row r="1648" spans="1:8" x14ac:dyDescent="0.2">
      <c r="A1648" t="s">
        <v>2794</v>
      </c>
      <c r="B1648" s="44">
        <v>40478</v>
      </c>
      <c r="C1648" t="s">
        <v>4</v>
      </c>
      <c r="D1648" t="s">
        <v>3714</v>
      </c>
      <c r="F1648"/>
      <c r="G1648"/>
      <c r="H1648">
        <v>5</v>
      </c>
    </row>
    <row r="1649" spans="1:8" x14ac:dyDescent="0.2">
      <c r="A1649" t="s">
        <v>739</v>
      </c>
      <c r="B1649" s="44">
        <v>40493</v>
      </c>
      <c r="C1649" t="s">
        <v>4</v>
      </c>
      <c r="D1649" t="s">
        <v>4002</v>
      </c>
      <c r="F1649"/>
      <c r="G1649"/>
      <c r="H1649">
        <v>5</v>
      </c>
    </row>
    <row r="1650" spans="1:8" x14ac:dyDescent="0.2">
      <c r="A1650" t="s">
        <v>2862</v>
      </c>
      <c r="B1650" s="44">
        <v>40497</v>
      </c>
      <c r="C1650" t="s">
        <v>4</v>
      </c>
      <c r="D1650" t="s">
        <v>4003</v>
      </c>
      <c r="F1650"/>
      <c r="G1650"/>
      <c r="H1650">
        <v>5</v>
      </c>
    </row>
    <row r="1651" spans="1:8" x14ac:dyDescent="0.2">
      <c r="A1651" t="s">
        <v>2899</v>
      </c>
      <c r="B1651" s="44">
        <v>40500</v>
      </c>
      <c r="C1651" t="s">
        <v>4</v>
      </c>
      <c r="D1651" t="s">
        <v>4004</v>
      </c>
      <c r="F1651"/>
      <c r="G1651"/>
      <c r="H1651">
        <v>5</v>
      </c>
    </row>
    <row r="1652" spans="1:8" x14ac:dyDescent="0.2">
      <c r="A1652" t="s">
        <v>2916</v>
      </c>
      <c r="B1652" s="44">
        <v>40501</v>
      </c>
      <c r="C1652" t="s">
        <v>4</v>
      </c>
      <c r="D1652" t="s">
        <v>4005</v>
      </c>
      <c r="F1652"/>
      <c r="G1652"/>
      <c r="H1652">
        <v>5</v>
      </c>
    </row>
    <row r="1653" spans="1:8" x14ac:dyDescent="0.2">
      <c r="A1653" t="s">
        <v>2928</v>
      </c>
      <c r="B1653" s="44">
        <v>40502</v>
      </c>
      <c r="C1653" t="s">
        <v>4</v>
      </c>
      <c r="D1653" t="s">
        <v>4006</v>
      </c>
      <c r="F1653"/>
      <c r="G1653"/>
      <c r="H1653">
        <v>5</v>
      </c>
    </row>
    <row r="1654" spans="1:8" x14ac:dyDescent="0.2">
      <c r="A1654" t="s">
        <v>2962</v>
      </c>
      <c r="B1654" s="44">
        <v>40505</v>
      </c>
      <c r="C1654" t="s">
        <v>4</v>
      </c>
      <c r="D1654" t="s">
        <v>3715</v>
      </c>
      <c r="F1654"/>
      <c r="G1654"/>
      <c r="H1654">
        <v>5</v>
      </c>
    </row>
    <row r="1655" spans="1:8" x14ac:dyDescent="0.2">
      <c r="A1655" t="s">
        <v>2971</v>
      </c>
      <c r="B1655" s="44">
        <v>40506</v>
      </c>
      <c r="C1655" t="s">
        <v>4</v>
      </c>
      <c r="D1655" t="s">
        <v>3716</v>
      </c>
      <c r="F1655"/>
      <c r="G1655"/>
      <c r="H1655">
        <v>5</v>
      </c>
    </row>
    <row r="1656" spans="1:8" x14ac:dyDescent="0.2">
      <c r="A1656" t="s">
        <v>707</v>
      </c>
      <c r="B1656" s="44">
        <v>40513</v>
      </c>
      <c r="C1656" t="s">
        <v>4</v>
      </c>
      <c r="D1656" t="s">
        <v>3717</v>
      </c>
      <c r="F1656"/>
      <c r="G1656"/>
      <c r="H1656">
        <v>5</v>
      </c>
    </row>
    <row r="1657" spans="1:8" x14ac:dyDescent="0.2">
      <c r="A1657" t="s">
        <v>706</v>
      </c>
      <c r="B1657" s="44">
        <v>40513</v>
      </c>
      <c r="C1657" t="s">
        <v>4</v>
      </c>
      <c r="D1657" t="s">
        <v>3782</v>
      </c>
      <c r="F1657"/>
      <c r="G1657"/>
      <c r="H1657">
        <v>5</v>
      </c>
    </row>
    <row r="1658" spans="1:8" x14ac:dyDescent="0.2">
      <c r="A1658" t="s">
        <v>727</v>
      </c>
      <c r="B1658" s="44">
        <v>40521</v>
      </c>
      <c r="C1658" t="s">
        <v>4</v>
      </c>
      <c r="D1658" t="s">
        <v>3705</v>
      </c>
      <c r="F1658"/>
      <c r="G1658"/>
      <c r="H1658">
        <v>5</v>
      </c>
    </row>
    <row r="1659" spans="1:8" x14ac:dyDescent="0.2">
      <c r="A1659" t="s">
        <v>3046</v>
      </c>
      <c r="B1659" s="44">
        <v>40528</v>
      </c>
      <c r="C1659" t="s">
        <v>4</v>
      </c>
      <c r="D1659" t="s">
        <v>4007</v>
      </c>
      <c r="F1659"/>
      <c r="G1659"/>
      <c r="H1659">
        <v>5</v>
      </c>
    </row>
    <row r="1660" spans="1:8" x14ac:dyDescent="0.2">
      <c r="A1660" t="s">
        <v>3093</v>
      </c>
      <c r="B1660" s="44">
        <v>40533</v>
      </c>
      <c r="C1660" t="s">
        <v>4</v>
      </c>
      <c r="D1660" t="s">
        <v>4002</v>
      </c>
      <c r="F1660"/>
      <c r="G1660"/>
      <c r="H1660">
        <v>5</v>
      </c>
    </row>
    <row r="1661" spans="1:8" x14ac:dyDescent="0.2">
      <c r="A1661" t="s">
        <v>781</v>
      </c>
      <c r="B1661" s="44">
        <v>40552</v>
      </c>
      <c r="C1661" t="s">
        <v>4</v>
      </c>
      <c r="D1661" t="s">
        <v>3718</v>
      </c>
      <c r="F1661"/>
      <c r="G1661"/>
      <c r="H1661">
        <v>5</v>
      </c>
    </row>
    <row r="1662" spans="1:8" x14ac:dyDescent="0.2">
      <c r="A1662" t="s">
        <v>1381</v>
      </c>
      <c r="B1662" s="44">
        <v>40562</v>
      </c>
      <c r="C1662" t="s">
        <v>4</v>
      </c>
      <c r="D1662" t="s">
        <v>3719</v>
      </c>
      <c r="F1662"/>
      <c r="G1662"/>
      <c r="H1662">
        <v>5</v>
      </c>
    </row>
    <row r="1663" spans="1:8" x14ac:dyDescent="0.2">
      <c r="A1663" t="s">
        <v>1390</v>
      </c>
      <c r="B1663" s="44">
        <v>40563</v>
      </c>
      <c r="C1663" t="s">
        <v>4</v>
      </c>
      <c r="D1663" t="s">
        <v>3720</v>
      </c>
      <c r="F1663"/>
      <c r="G1663"/>
      <c r="H1663">
        <v>5</v>
      </c>
    </row>
    <row r="1664" spans="1:8" x14ac:dyDescent="0.2">
      <c r="A1664" t="s">
        <v>1438</v>
      </c>
      <c r="B1664" s="44">
        <v>40567</v>
      </c>
      <c r="C1664" t="s">
        <v>4</v>
      </c>
      <c r="D1664" t="s">
        <v>3721</v>
      </c>
      <c r="F1664"/>
      <c r="G1664"/>
      <c r="H1664">
        <v>5</v>
      </c>
    </row>
    <row r="1665" spans="1:9" x14ac:dyDescent="0.2">
      <c r="A1665" t="s">
        <v>1451</v>
      </c>
      <c r="B1665" s="44">
        <v>40568</v>
      </c>
      <c r="C1665" t="s">
        <v>4</v>
      </c>
      <c r="D1665" t="s">
        <v>1452</v>
      </c>
      <c r="F1665"/>
      <c r="G1665"/>
      <c r="H1665">
        <v>5</v>
      </c>
    </row>
    <row r="1666" spans="1:9" x14ac:dyDescent="0.2">
      <c r="A1666" t="s">
        <v>1489</v>
      </c>
      <c r="B1666" s="44">
        <v>40574</v>
      </c>
      <c r="C1666" t="s">
        <v>4</v>
      </c>
      <c r="D1666" t="s">
        <v>3722</v>
      </c>
      <c r="F1666"/>
      <c r="G1666"/>
      <c r="H1666">
        <v>5</v>
      </c>
    </row>
    <row r="1667" spans="1:9" x14ac:dyDescent="0.2">
      <c r="A1667" t="s">
        <v>770</v>
      </c>
      <c r="B1667" s="44">
        <v>40582</v>
      </c>
      <c r="C1667" t="s">
        <v>4</v>
      </c>
      <c r="D1667" t="s">
        <v>3723</v>
      </c>
      <c r="F1667"/>
      <c r="G1667"/>
      <c r="H1667">
        <v>5</v>
      </c>
    </row>
    <row r="1668" spans="1:9" x14ac:dyDescent="0.2">
      <c r="A1668" t="s">
        <v>1524</v>
      </c>
      <c r="B1668" s="44">
        <v>40591</v>
      </c>
      <c r="C1668" t="s">
        <v>4</v>
      </c>
      <c r="D1668" t="s">
        <v>3701</v>
      </c>
      <c r="F1668"/>
      <c r="G1668"/>
      <c r="H1668">
        <v>5</v>
      </c>
    </row>
    <row r="1669" spans="1:9" x14ac:dyDescent="0.2">
      <c r="A1669" t="s">
        <v>1534</v>
      </c>
      <c r="B1669" s="44">
        <v>40592</v>
      </c>
      <c r="C1669" t="s">
        <v>4</v>
      </c>
      <c r="D1669" t="s">
        <v>3724</v>
      </c>
      <c r="F1669"/>
      <c r="G1669"/>
      <c r="H1669">
        <v>5</v>
      </c>
    </row>
    <row r="1670" spans="1:9" x14ac:dyDescent="0.2">
      <c r="A1670" t="s">
        <v>1567</v>
      </c>
      <c r="B1670" s="44">
        <v>40595</v>
      </c>
      <c r="C1670" t="s">
        <v>4</v>
      </c>
      <c r="D1670" t="s">
        <v>3725</v>
      </c>
      <c r="F1670"/>
      <c r="G1670"/>
      <c r="H1670">
        <v>5</v>
      </c>
    </row>
    <row r="1671" spans="1:9" x14ac:dyDescent="0.2">
      <c r="A1671" t="s">
        <v>1577</v>
      </c>
      <c r="B1671" s="44">
        <v>40596</v>
      </c>
      <c r="C1671" t="s">
        <v>4</v>
      </c>
      <c r="D1671" t="s">
        <v>3726</v>
      </c>
      <c r="F1671"/>
      <c r="G1671"/>
      <c r="H1671">
        <v>5</v>
      </c>
    </row>
    <row r="1672" spans="1:9" x14ac:dyDescent="0.2">
      <c r="A1672" t="s">
        <v>1589</v>
      </c>
      <c r="B1672" s="44">
        <v>40597</v>
      </c>
      <c r="C1672" t="s">
        <v>4</v>
      </c>
      <c r="D1672" t="s">
        <v>3727</v>
      </c>
      <c r="F1672"/>
      <c r="G1672"/>
      <c r="H1672">
        <v>5</v>
      </c>
    </row>
    <row r="1673" spans="1:9" x14ac:dyDescent="0.2">
      <c r="A1673" t="s">
        <v>1598</v>
      </c>
      <c r="B1673" s="44">
        <v>40598</v>
      </c>
      <c r="C1673" t="s">
        <v>4</v>
      </c>
      <c r="D1673" t="s">
        <v>3704</v>
      </c>
      <c r="F1673"/>
      <c r="G1673"/>
      <c r="H1673">
        <v>5</v>
      </c>
    </row>
    <row r="1674" spans="1:9" x14ac:dyDescent="0.2">
      <c r="A1674" t="s">
        <v>1597</v>
      </c>
      <c r="B1674" s="44">
        <v>40598</v>
      </c>
      <c r="C1674" t="s">
        <v>4</v>
      </c>
      <c r="D1674" t="s">
        <v>3728</v>
      </c>
      <c r="F1674"/>
      <c r="G1674"/>
      <c r="H1674">
        <v>5</v>
      </c>
    </row>
    <row r="1675" spans="1:9" x14ac:dyDescent="0.2">
      <c r="A1675" t="s">
        <v>1610</v>
      </c>
      <c r="B1675" s="44">
        <v>40599</v>
      </c>
      <c r="C1675" t="s">
        <v>4</v>
      </c>
      <c r="D1675" t="s">
        <v>3729</v>
      </c>
      <c r="F1675"/>
      <c r="G1675"/>
      <c r="H1675">
        <v>5</v>
      </c>
    </row>
    <row r="1676" spans="1:9" x14ac:dyDescent="0.2">
      <c r="A1676" t="s">
        <v>1611</v>
      </c>
      <c r="B1676" s="44">
        <v>40599</v>
      </c>
      <c r="C1676" t="s">
        <v>4</v>
      </c>
      <c r="D1676" t="s">
        <v>3730</v>
      </c>
      <c r="F1676"/>
      <c r="G1676"/>
      <c r="H1676">
        <v>5</v>
      </c>
    </row>
    <row r="1677" spans="1:9" x14ac:dyDescent="0.2">
      <c r="A1677" t="s">
        <v>751</v>
      </c>
      <c r="B1677" s="44">
        <v>40605</v>
      </c>
      <c r="C1677" t="s">
        <v>4</v>
      </c>
      <c r="D1677" t="s">
        <v>3731</v>
      </c>
      <c r="F1677"/>
      <c r="G1677"/>
      <c r="H1677">
        <v>5</v>
      </c>
    </row>
    <row r="1678" spans="1:9" x14ac:dyDescent="0.2">
      <c r="A1678" t="s">
        <v>790</v>
      </c>
      <c r="B1678" s="44">
        <v>40613</v>
      </c>
      <c r="C1678" t="s">
        <v>4</v>
      </c>
      <c r="D1678" t="s">
        <v>3732</v>
      </c>
      <c r="F1678"/>
      <c r="G1678"/>
      <c r="H1678">
        <v>5</v>
      </c>
      <c r="I1678" t="s">
        <v>3214</v>
      </c>
    </row>
    <row r="1679" spans="1:9" x14ac:dyDescent="0.2">
      <c r="A1679" t="s">
        <v>1694</v>
      </c>
      <c r="B1679" s="44">
        <v>40619</v>
      </c>
      <c r="C1679" t="s">
        <v>4</v>
      </c>
      <c r="D1679" t="s">
        <v>3733</v>
      </c>
      <c r="F1679"/>
      <c r="G1679"/>
      <c r="H1679">
        <v>5</v>
      </c>
    </row>
    <row r="1680" spans="1:9" x14ac:dyDescent="0.2">
      <c r="A1680" t="s">
        <v>1741</v>
      </c>
      <c r="B1680" s="44">
        <v>40624</v>
      </c>
      <c r="C1680" t="s">
        <v>4</v>
      </c>
      <c r="D1680" t="s">
        <v>3734</v>
      </c>
      <c r="F1680"/>
      <c r="G1680"/>
      <c r="H1680">
        <v>5</v>
      </c>
    </row>
    <row r="1681" spans="1:8" x14ac:dyDescent="0.2">
      <c r="A1681" t="s">
        <v>1740</v>
      </c>
      <c r="B1681" s="44">
        <v>40624</v>
      </c>
      <c r="C1681" t="s">
        <v>4</v>
      </c>
      <c r="D1681" t="s">
        <v>3386</v>
      </c>
      <c r="F1681"/>
      <c r="G1681"/>
      <c r="H1681">
        <v>5</v>
      </c>
    </row>
    <row r="1682" spans="1:8" x14ac:dyDescent="0.2">
      <c r="A1682" t="s">
        <v>1759</v>
      </c>
      <c r="B1682" s="44">
        <v>40626</v>
      </c>
      <c r="C1682" t="s">
        <v>4</v>
      </c>
      <c r="D1682" t="s">
        <v>3735</v>
      </c>
      <c r="F1682"/>
      <c r="G1682"/>
      <c r="H1682">
        <v>5</v>
      </c>
    </row>
    <row r="1683" spans="1:8" x14ac:dyDescent="0.2">
      <c r="A1683" t="s">
        <v>1801</v>
      </c>
      <c r="B1683" s="44">
        <v>40631</v>
      </c>
      <c r="C1683" t="s">
        <v>4</v>
      </c>
      <c r="D1683" t="s">
        <v>3736</v>
      </c>
      <c r="F1683"/>
      <c r="G1683"/>
      <c r="H1683">
        <v>5</v>
      </c>
    </row>
    <row r="1684" spans="1:8" x14ac:dyDescent="0.2">
      <c r="A1684" t="s">
        <v>1809</v>
      </c>
      <c r="B1684" s="44">
        <v>40633</v>
      </c>
      <c r="C1684" t="s">
        <v>4</v>
      </c>
      <c r="D1684" t="s">
        <v>3737</v>
      </c>
      <c r="F1684"/>
      <c r="G1684"/>
      <c r="H1684">
        <v>5</v>
      </c>
    </row>
    <row r="1685" spans="1:8" x14ac:dyDescent="0.2">
      <c r="A1685" t="s">
        <v>782</v>
      </c>
      <c r="B1685" s="44">
        <v>40642</v>
      </c>
      <c r="C1685" t="s">
        <v>4</v>
      </c>
      <c r="D1685" t="s">
        <v>3738</v>
      </c>
      <c r="F1685"/>
      <c r="G1685"/>
      <c r="H1685">
        <v>5</v>
      </c>
    </row>
    <row r="1686" spans="1:8" x14ac:dyDescent="0.2">
      <c r="A1686" t="s">
        <v>1816</v>
      </c>
      <c r="B1686" s="44">
        <v>40647</v>
      </c>
      <c r="C1686" t="s">
        <v>4</v>
      </c>
      <c r="D1686" t="s">
        <v>3739</v>
      </c>
      <c r="F1686"/>
      <c r="G1686"/>
      <c r="H1686">
        <v>5</v>
      </c>
    </row>
    <row r="1687" spans="1:8" x14ac:dyDescent="0.2">
      <c r="A1687" t="s">
        <v>1822</v>
      </c>
      <c r="B1687" s="44">
        <v>40648</v>
      </c>
      <c r="C1687" t="s">
        <v>4</v>
      </c>
      <c r="D1687" t="s">
        <v>3740</v>
      </c>
      <c r="F1687"/>
      <c r="G1687"/>
      <c r="H1687">
        <v>5</v>
      </c>
    </row>
    <row r="1688" spans="1:8" x14ac:dyDescent="0.2">
      <c r="A1688" t="s">
        <v>1836</v>
      </c>
      <c r="B1688" s="44">
        <v>40651</v>
      </c>
      <c r="C1688" t="s">
        <v>4</v>
      </c>
      <c r="D1688" t="s">
        <v>3741</v>
      </c>
      <c r="F1688"/>
      <c r="G1688"/>
      <c r="H1688">
        <v>5</v>
      </c>
    </row>
    <row r="1689" spans="1:8" x14ac:dyDescent="0.2">
      <c r="A1689" t="s">
        <v>1843</v>
      </c>
      <c r="B1689" s="44">
        <v>40652</v>
      </c>
      <c r="C1689" t="s">
        <v>4</v>
      </c>
      <c r="D1689" t="s">
        <v>3742</v>
      </c>
      <c r="F1689"/>
      <c r="G1689"/>
      <c r="H1689">
        <v>5</v>
      </c>
    </row>
    <row r="1690" spans="1:8" x14ac:dyDescent="0.2">
      <c r="A1690" t="s">
        <v>1870</v>
      </c>
      <c r="B1690" s="44">
        <v>40655</v>
      </c>
      <c r="C1690" t="s">
        <v>4</v>
      </c>
      <c r="D1690" t="s">
        <v>3743</v>
      </c>
      <c r="F1690"/>
      <c r="G1690"/>
      <c r="H1690">
        <v>5</v>
      </c>
    </row>
    <row r="1691" spans="1:8" x14ac:dyDescent="0.2">
      <c r="A1691" t="s">
        <v>1897</v>
      </c>
      <c r="B1691" s="44">
        <v>40659</v>
      </c>
      <c r="C1691" t="s">
        <v>4</v>
      </c>
      <c r="D1691" t="s">
        <v>3744</v>
      </c>
      <c r="F1691"/>
      <c r="G1691"/>
      <c r="H1691">
        <v>5</v>
      </c>
    </row>
    <row r="1692" spans="1:8" x14ac:dyDescent="0.2">
      <c r="A1692" t="s">
        <v>759</v>
      </c>
      <c r="B1692" s="44">
        <v>40668</v>
      </c>
      <c r="C1692" t="s">
        <v>4</v>
      </c>
      <c r="D1692" t="s">
        <v>3387</v>
      </c>
      <c r="F1692"/>
      <c r="G1692"/>
      <c r="H1692">
        <v>5</v>
      </c>
    </row>
    <row r="1693" spans="1:8" x14ac:dyDescent="0.2">
      <c r="A1693" t="s">
        <v>786</v>
      </c>
      <c r="B1693" s="44">
        <v>40673</v>
      </c>
      <c r="C1693" t="s">
        <v>4</v>
      </c>
      <c r="D1693" t="s">
        <v>3745</v>
      </c>
      <c r="F1693"/>
      <c r="G1693"/>
      <c r="H1693">
        <v>5</v>
      </c>
    </row>
    <row r="1694" spans="1:8" x14ac:dyDescent="0.2">
      <c r="A1694" t="s">
        <v>795</v>
      </c>
      <c r="B1694" s="44">
        <v>40675</v>
      </c>
      <c r="C1694" t="s">
        <v>4</v>
      </c>
      <c r="D1694" t="s">
        <v>4008</v>
      </c>
      <c r="F1694"/>
      <c r="G1694"/>
      <c r="H1694">
        <v>5</v>
      </c>
    </row>
    <row r="1695" spans="1:8" x14ac:dyDescent="0.2">
      <c r="A1695" t="s">
        <v>1955</v>
      </c>
      <c r="B1695" s="44">
        <v>40680</v>
      </c>
      <c r="C1695" t="s">
        <v>4</v>
      </c>
      <c r="D1695" t="s">
        <v>4009</v>
      </c>
      <c r="F1695"/>
      <c r="G1695"/>
      <c r="H1695">
        <v>5</v>
      </c>
    </row>
    <row r="1696" spans="1:8" x14ac:dyDescent="0.2">
      <c r="A1696" t="s">
        <v>1957</v>
      </c>
      <c r="B1696" s="44">
        <v>40680</v>
      </c>
      <c r="C1696" t="s">
        <v>4</v>
      </c>
      <c r="D1696" t="s">
        <v>4011</v>
      </c>
      <c r="F1696"/>
      <c r="G1696"/>
      <c r="H1696">
        <v>5</v>
      </c>
    </row>
    <row r="1697" spans="1:8" x14ac:dyDescent="0.2">
      <c r="A1697" t="s">
        <v>1956</v>
      </c>
      <c r="B1697" s="44">
        <v>40680</v>
      </c>
      <c r="C1697" t="s">
        <v>4</v>
      </c>
      <c r="D1697" t="s">
        <v>4010</v>
      </c>
      <c r="F1697"/>
      <c r="G1697"/>
      <c r="H1697">
        <v>5</v>
      </c>
    </row>
    <row r="1698" spans="1:8" x14ac:dyDescent="0.2">
      <c r="A1698" t="s">
        <v>1981</v>
      </c>
      <c r="B1698" s="44">
        <v>40682</v>
      </c>
      <c r="C1698" t="s">
        <v>4</v>
      </c>
      <c r="D1698" t="s">
        <v>3746</v>
      </c>
      <c r="F1698"/>
      <c r="G1698"/>
      <c r="H1698">
        <v>5</v>
      </c>
    </row>
    <row r="1699" spans="1:8" x14ac:dyDescent="0.2">
      <c r="A1699" t="s">
        <v>1982</v>
      </c>
      <c r="B1699" s="44">
        <v>40682</v>
      </c>
      <c r="C1699" t="s">
        <v>4</v>
      </c>
      <c r="D1699" t="s">
        <v>4012</v>
      </c>
      <c r="F1699"/>
      <c r="G1699"/>
      <c r="H1699">
        <v>5</v>
      </c>
    </row>
    <row r="1700" spans="1:8" x14ac:dyDescent="0.2">
      <c r="A1700" t="s">
        <v>2034</v>
      </c>
      <c r="B1700" s="44">
        <v>40686</v>
      </c>
      <c r="C1700" t="s">
        <v>4</v>
      </c>
      <c r="D1700" t="s">
        <v>3746</v>
      </c>
      <c r="F1700"/>
      <c r="G1700"/>
      <c r="H1700">
        <v>5</v>
      </c>
    </row>
    <row r="1701" spans="1:8" x14ac:dyDescent="0.2">
      <c r="A1701" t="s">
        <v>2048</v>
      </c>
      <c r="B1701" s="44">
        <v>40688</v>
      </c>
      <c r="C1701" t="s">
        <v>4</v>
      </c>
      <c r="D1701" t="s">
        <v>3747</v>
      </c>
      <c r="F1701"/>
      <c r="G1701"/>
      <c r="H1701">
        <v>5</v>
      </c>
    </row>
    <row r="1702" spans="1:8" x14ac:dyDescent="0.2">
      <c r="A1702" t="s">
        <v>2058</v>
      </c>
      <c r="B1702" s="44">
        <v>40689</v>
      </c>
      <c r="C1702" t="s">
        <v>4</v>
      </c>
      <c r="D1702" t="s">
        <v>3746</v>
      </c>
      <c r="F1702"/>
      <c r="G1702"/>
      <c r="H1702">
        <v>5</v>
      </c>
    </row>
    <row r="1703" spans="1:8" x14ac:dyDescent="0.2">
      <c r="A1703" t="s">
        <v>746</v>
      </c>
      <c r="B1703" s="44">
        <v>40695</v>
      </c>
      <c r="C1703" t="s">
        <v>4</v>
      </c>
      <c r="D1703" t="s">
        <v>3746</v>
      </c>
      <c r="F1703"/>
      <c r="G1703"/>
      <c r="H1703">
        <v>5</v>
      </c>
    </row>
    <row r="1704" spans="1:8" x14ac:dyDescent="0.2">
      <c r="A1704" t="s">
        <v>767</v>
      </c>
      <c r="B1704" s="44">
        <v>40701</v>
      </c>
      <c r="C1704" t="s">
        <v>4</v>
      </c>
      <c r="D1704" t="s">
        <v>768</v>
      </c>
      <c r="F1704"/>
      <c r="G1704"/>
      <c r="H1704">
        <v>5</v>
      </c>
    </row>
    <row r="1705" spans="1:8" x14ac:dyDescent="0.2">
      <c r="A1705" t="s">
        <v>2092</v>
      </c>
      <c r="B1705" s="44">
        <v>40707</v>
      </c>
      <c r="C1705" t="s">
        <v>4</v>
      </c>
      <c r="D1705" t="s">
        <v>4013</v>
      </c>
      <c r="H1705">
        <v>5</v>
      </c>
    </row>
    <row r="1706" spans="1:8" x14ac:dyDescent="0.2">
      <c r="A1706" t="s">
        <v>2186</v>
      </c>
      <c r="B1706" s="44">
        <v>40714</v>
      </c>
      <c r="C1706" t="s">
        <v>4</v>
      </c>
      <c r="D1706" t="s">
        <v>3748</v>
      </c>
      <c r="F1706"/>
      <c r="G1706"/>
      <c r="H1706">
        <v>5</v>
      </c>
    </row>
    <row r="1707" spans="1:8" x14ac:dyDescent="0.2">
      <c r="A1707" t="s">
        <v>2201</v>
      </c>
      <c r="B1707" s="44">
        <v>40715</v>
      </c>
      <c r="C1707" t="s">
        <v>4</v>
      </c>
      <c r="D1707" t="s">
        <v>3749</v>
      </c>
      <c r="F1707"/>
      <c r="G1707"/>
      <c r="H1707">
        <v>5</v>
      </c>
    </row>
    <row r="1708" spans="1:8" x14ac:dyDescent="0.2">
      <c r="A1708" t="s">
        <v>2237</v>
      </c>
      <c r="B1708" s="44">
        <v>40718</v>
      </c>
      <c r="C1708" t="s">
        <v>4</v>
      </c>
      <c r="D1708" t="s">
        <v>3750</v>
      </c>
      <c r="F1708"/>
      <c r="G1708"/>
      <c r="H1708">
        <v>5</v>
      </c>
    </row>
    <row r="1709" spans="1:8" x14ac:dyDescent="0.2">
      <c r="A1709" t="s">
        <v>2269</v>
      </c>
      <c r="B1709" s="44">
        <v>40721</v>
      </c>
      <c r="C1709" t="s">
        <v>4</v>
      </c>
      <c r="D1709" t="s">
        <v>3751</v>
      </c>
      <c r="F1709"/>
      <c r="G1709"/>
      <c r="H1709">
        <v>5</v>
      </c>
    </row>
    <row r="1710" spans="1:8" x14ac:dyDescent="0.2">
      <c r="A1710" t="s">
        <v>760</v>
      </c>
      <c r="B1710" s="44">
        <v>40729</v>
      </c>
      <c r="C1710" t="s">
        <v>4</v>
      </c>
      <c r="D1710" t="s">
        <v>3752</v>
      </c>
      <c r="F1710"/>
      <c r="G1710"/>
      <c r="H1710">
        <v>5</v>
      </c>
    </row>
    <row r="1711" spans="1:8" x14ac:dyDescent="0.2">
      <c r="A1711" t="s">
        <v>771</v>
      </c>
      <c r="B1711" s="44">
        <v>40732</v>
      </c>
      <c r="C1711" t="s">
        <v>4</v>
      </c>
      <c r="D1711" t="s">
        <v>3753</v>
      </c>
      <c r="F1711"/>
      <c r="G1711"/>
      <c r="H1711">
        <v>5</v>
      </c>
    </row>
    <row r="1712" spans="1:8" x14ac:dyDescent="0.2">
      <c r="A1712" t="s">
        <v>796</v>
      </c>
      <c r="B1712" s="44">
        <v>40736</v>
      </c>
      <c r="C1712" t="s">
        <v>4</v>
      </c>
      <c r="D1712" t="s">
        <v>3754</v>
      </c>
      <c r="F1712"/>
      <c r="G1712"/>
      <c r="H1712">
        <v>5</v>
      </c>
    </row>
    <row r="1713" spans="1:8" x14ac:dyDescent="0.2">
      <c r="A1713" t="s">
        <v>2403</v>
      </c>
      <c r="B1713" s="44">
        <v>40751</v>
      </c>
      <c r="C1713" t="s">
        <v>4</v>
      </c>
      <c r="D1713" t="s">
        <v>3737</v>
      </c>
      <c r="F1713"/>
      <c r="G1713"/>
      <c r="H1713">
        <v>5</v>
      </c>
    </row>
    <row r="1714" spans="1:8" x14ac:dyDescent="0.2">
      <c r="A1714" t="s">
        <v>747</v>
      </c>
      <c r="B1714" s="44">
        <v>40756</v>
      </c>
      <c r="C1714" t="s">
        <v>4</v>
      </c>
      <c r="D1714" t="s">
        <v>3755</v>
      </c>
      <c r="F1714"/>
      <c r="G1714"/>
      <c r="H1714">
        <v>5</v>
      </c>
    </row>
    <row r="1715" spans="1:8" x14ac:dyDescent="0.2">
      <c r="A1715" t="s">
        <v>2444</v>
      </c>
      <c r="B1715" s="44">
        <v>40778</v>
      </c>
      <c r="C1715" t="s">
        <v>4</v>
      </c>
      <c r="D1715" t="s">
        <v>3756</v>
      </c>
      <c r="F1715"/>
      <c r="G1715"/>
      <c r="H1715">
        <v>5</v>
      </c>
    </row>
    <row r="1716" spans="1:8" x14ac:dyDescent="0.2">
      <c r="A1716" t="s">
        <v>2451</v>
      </c>
      <c r="B1716" s="44">
        <v>40780</v>
      </c>
      <c r="C1716" t="s">
        <v>4</v>
      </c>
      <c r="D1716" t="s">
        <v>3757</v>
      </c>
      <c r="F1716"/>
      <c r="G1716"/>
      <c r="H1716">
        <v>5</v>
      </c>
    </row>
    <row r="1717" spans="1:8" x14ac:dyDescent="0.2">
      <c r="A1717" t="s">
        <v>762</v>
      </c>
      <c r="B1717" s="44">
        <v>40792</v>
      </c>
      <c r="C1717" t="s">
        <v>4</v>
      </c>
      <c r="D1717" t="s">
        <v>763</v>
      </c>
      <c r="F1717"/>
      <c r="G1717"/>
      <c r="H1717">
        <v>5</v>
      </c>
    </row>
    <row r="1718" spans="1:8" x14ac:dyDescent="0.2">
      <c r="A1718" t="s">
        <v>2470</v>
      </c>
      <c r="B1718" s="44">
        <v>40799</v>
      </c>
      <c r="C1718" t="s">
        <v>4</v>
      </c>
      <c r="D1718" t="s">
        <v>3758</v>
      </c>
      <c r="F1718"/>
      <c r="G1718"/>
      <c r="H1718">
        <v>5</v>
      </c>
    </row>
    <row r="1719" spans="1:8" x14ac:dyDescent="0.2">
      <c r="A1719" t="s">
        <v>2554</v>
      </c>
      <c r="B1719" s="44">
        <v>40807</v>
      </c>
      <c r="C1719" t="s">
        <v>4</v>
      </c>
      <c r="D1719" t="s">
        <v>3759</v>
      </c>
      <c r="F1719"/>
      <c r="G1719"/>
      <c r="H1719">
        <v>5</v>
      </c>
    </row>
    <row r="1720" spans="1:8" x14ac:dyDescent="0.2">
      <c r="A1720" t="s">
        <v>2593</v>
      </c>
      <c r="B1720" s="44">
        <v>40812</v>
      </c>
      <c r="C1720" t="s">
        <v>4</v>
      </c>
      <c r="D1720" t="s">
        <v>3760</v>
      </c>
      <c r="F1720"/>
      <c r="G1720"/>
      <c r="H1720">
        <v>5</v>
      </c>
    </row>
    <row r="1721" spans="1:8" x14ac:dyDescent="0.2">
      <c r="A1721" t="s">
        <v>2601</v>
      </c>
      <c r="B1721" s="44">
        <v>40813</v>
      </c>
      <c r="C1721" t="s">
        <v>4</v>
      </c>
      <c r="D1721" t="s">
        <v>4471</v>
      </c>
      <c r="F1721"/>
      <c r="G1721"/>
      <c r="H1721">
        <v>5</v>
      </c>
    </row>
    <row r="1722" spans="1:8" x14ac:dyDescent="0.2">
      <c r="A1722" t="s">
        <v>2620</v>
      </c>
      <c r="B1722" s="44">
        <v>40815</v>
      </c>
      <c r="C1722" t="s">
        <v>4</v>
      </c>
      <c r="D1722" t="s">
        <v>3761</v>
      </c>
      <c r="F1722"/>
      <c r="G1722"/>
      <c r="H1722">
        <v>5</v>
      </c>
    </row>
    <row r="1723" spans="1:8" x14ac:dyDescent="0.2">
      <c r="A1723" t="s">
        <v>756</v>
      </c>
      <c r="B1723" s="44">
        <v>40820</v>
      </c>
      <c r="C1723" t="s">
        <v>4</v>
      </c>
      <c r="D1723" t="s">
        <v>3762</v>
      </c>
      <c r="F1723"/>
      <c r="G1723"/>
      <c r="H1723">
        <v>5</v>
      </c>
    </row>
    <row r="1724" spans="1:8" x14ac:dyDescent="0.2">
      <c r="A1724" t="s">
        <v>788</v>
      </c>
      <c r="B1724" s="44">
        <v>40826</v>
      </c>
      <c r="C1724" t="s">
        <v>4</v>
      </c>
      <c r="D1724" t="s">
        <v>3763</v>
      </c>
      <c r="F1724"/>
      <c r="G1724"/>
      <c r="H1724">
        <v>5</v>
      </c>
    </row>
    <row r="1725" spans="1:8" x14ac:dyDescent="0.2">
      <c r="A1725" t="s">
        <v>794</v>
      </c>
      <c r="B1725" s="44">
        <v>40827</v>
      </c>
      <c r="C1725" t="s">
        <v>4</v>
      </c>
      <c r="D1725" t="s">
        <v>3764</v>
      </c>
      <c r="F1725"/>
      <c r="G1725"/>
      <c r="H1725">
        <v>5</v>
      </c>
    </row>
    <row r="1726" spans="1:8" x14ac:dyDescent="0.2">
      <c r="A1726" t="s">
        <v>2695</v>
      </c>
      <c r="B1726" s="44">
        <v>40834</v>
      </c>
      <c r="C1726" t="s">
        <v>4</v>
      </c>
      <c r="D1726" t="s">
        <v>3765</v>
      </c>
      <c r="F1726"/>
      <c r="G1726"/>
      <c r="H1726">
        <v>5</v>
      </c>
    </row>
    <row r="1727" spans="1:8" x14ac:dyDescent="0.2">
      <c r="A1727" t="s">
        <v>2709</v>
      </c>
      <c r="B1727" s="44">
        <v>40835</v>
      </c>
      <c r="C1727" t="s">
        <v>4</v>
      </c>
      <c r="D1727" t="s">
        <v>4015</v>
      </c>
      <c r="F1727"/>
      <c r="G1727"/>
      <c r="H1727">
        <v>5</v>
      </c>
    </row>
    <row r="1728" spans="1:8" x14ac:dyDescent="0.2">
      <c r="A1728" t="s">
        <v>2767</v>
      </c>
      <c r="B1728" s="44">
        <v>40840</v>
      </c>
      <c r="C1728" t="s">
        <v>4</v>
      </c>
      <c r="D1728" t="s">
        <v>3767</v>
      </c>
      <c r="F1728"/>
      <c r="G1728"/>
      <c r="H1728">
        <v>5</v>
      </c>
    </row>
    <row r="1729" spans="1:8" x14ac:dyDescent="0.2">
      <c r="A1729" t="s">
        <v>2766</v>
      </c>
      <c r="B1729" s="44">
        <v>40840</v>
      </c>
      <c r="C1729" t="s">
        <v>4</v>
      </c>
      <c r="D1729" t="s">
        <v>3766</v>
      </c>
      <c r="F1729"/>
      <c r="G1729"/>
      <c r="H1729">
        <v>5</v>
      </c>
    </row>
    <row r="1730" spans="1:8" x14ac:dyDescent="0.2">
      <c r="A1730" t="s">
        <v>2780</v>
      </c>
      <c r="B1730" s="44">
        <v>40841</v>
      </c>
      <c r="C1730" t="s">
        <v>4</v>
      </c>
      <c r="D1730" t="s">
        <v>3768</v>
      </c>
      <c r="F1730"/>
      <c r="G1730"/>
      <c r="H1730">
        <v>5</v>
      </c>
    </row>
    <row r="1731" spans="1:8" x14ac:dyDescent="0.2">
      <c r="A1731" t="s">
        <v>2789</v>
      </c>
      <c r="B1731" s="44">
        <v>40842</v>
      </c>
      <c r="C1731" t="s">
        <v>4</v>
      </c>
      <c r="D1731" t="s">
        <v>3769</v>
      </c>
      <c r="F1731"/>
      <c r="G1731"/>
      <c r="H1731">
        <v>5</v>
      </c>
    </row>
    <row r="1732" spans="1:8" x14ac:dyDescent="0.2">
      <c r="A1732" t="s">
        <v>2790</v>
      </c>
      <c r="B1732" s="44">
        <v>40842</v>
      </c>
      <c r="C1732" t="s">
        <v>4</v>
      </c>
      <c r="D1732" t="s">
        <v>3764</v>
      </c>
      <c r="F1732"/>
      <c r="G1732"/>
      <c r="H1732">
        <v>5</v>
      </c>
    </row>
    <row r="1733" spans="1:8" x14ac:dyDescent="0.2">
      <c r="A1733" t="s">
        <v>2789</v>
      </c>
      <c r="B1733" s="44">
        <v>40842</v>
      </c>
      <c r="C1733" t="s">
        <v>4</v>
      </c>
      <c r="D1733" t="s">
        <v>4016</v>
      </c>
      <c r="F1733"/>
      <c r="G1733"/>
      <c r="H1733">
        <v>5</v>
      </c>
    </row>
    <row r="1734" spans="1:8" x14ac:dyDescent="0.2">
      <c r="A1734" t="s">
        <v>750</v>
      </c>
      <c r="B1734" s="44">
        <v>40849</v>
      </c>
      <c r="C1734" t="s">
        <v>4</v>
      </c>
      <c r="D1734" t="s">
        <v>3770</v>
      </c>
      <c r="F1734"/>
      <c r="G1734"/>
      <c r="H1734">
        <v>5</v>
      </c>
    </row>
    <row r="1735" spans="1:8" x14ac:dyDescent="0.2">
      <c r="A1735" t="s">
        <v>754</v>
      </c>
      <c r="B1735" s="44">
        <v>40850</v>
      </c>
      <c r="C1735" t="s">
        <v>4</v>
      </c>
      <c r="D1735" t="s">
        <v>3771</v>
      </c>
      <c r="F1735"/>
      <c r="G1735"/>
      <c r="H1735">
        <v>5</v>
      </c>
    </row>
    <row r="1736" spans="1:8" x14ac:dyDescent="0.2">
      <c r="A1736" t="s">
        <v>2851</v>
      </c>
      <c r="B1736" s="44">
        <v>40861</v>
      </c>
      <c r="C1736" t="s">
        <v>4</v>
      </c>
      <c r="D1736" t="s">
        <v>3772</v>
      </c>
      <c r="F1736"/>
      <c r="G1736"/>
      <c r="H1736">
        <v>5</v>
      </c>
    </row>
    <row r="1737" spans="1:8" x14ac:dyDescent="0.2">
      <c r="A1737" t="s">
        <v>2953</v>
      </c>
      <c r="B1737" s="44">
        <v>40869</v>
      </c>
      <c r="C1737" t="s">
        <v>4</v>
      </c>
      <c r="D1737" t="s">
        <v>3769</v>
      </c>
      <c r="F1737"/>
      <c r="G1737"/>
      <c r="H1737">
        <v>5</v>
      </c>
    </row>
    <row r="1738" spans="1:8" x14ac:dyDescent="0.2">
      <c r="A1738" t="s">
        <v>2952</v>
      </c>
      <c r="B1738" s="44">
        <v>40869</v>
      </c>
      <c r="C1738" t="s">
        <v>4</v>
      </c>
      <c r="D1738" t="s">
        <v>3773</v>
      </c>
      <c r="F1738"/>
      <c r="G1738"/>
      <c r="H1738">
        <v>5</v>
      </c>
    </row>
    <row r="1739" spans="1:8" x14ac:dyDescent="0.2">
      <c r="A1739" t="s">
        <v>2972</v>
      </c>
      <c r="B1739" s="44">
        <v>40871</v>
      </c>
      <c r="C1739" t="s">
        <v>4</v>
      </c>
      <c r="D1739" t="s">
        <v>2973</v>
      </c>
      <c r="F1739"/>
      <c r="G1739"/>
      <c r="H1739">
        <v>5</v>
      </c>
    </row>
    <row r="1740" spans="1:8" x14ac:dyDescent="0.2">
      <c r="A1740" t="s">
        <v>2982</v>
      </c>
      <c r="B1740" s="44">
        <v>40872</v>
      </c>
      <c r="C1740" t="s">
        <v>4</v>
      </c>
      <c r="D1740" t="s">
        <v>3774</v>
      </c>
      <c r="F1740"/>
      <c r="G1740"/>
      <c r="H1740">
        <v>5</v>
      </c>
    </row>
    <row r="1741" spans="1:8" x14ac:dyDescent="0.2">
      <c r="A1741" t="s">
        <v>3021</v>
      </c>
      <c r="B1741" s="44">
        <v>40877</v>
      </c>
      <c r="C1741" t="s">
        <v>4</v>
      </c>
      <c r="D1741" t="s">
        <v>3775</v>
      </c>
      <c r="F1741"/>
      <c r="G1741"/>
      <c r="H1741">
        <v>5</v>
      </c>
    </row>
    <row r="1742" spans="1:8" x14ac:dyDescent="0.2">
      <c r="A1742" t="s">
        <v>3027</v>
      </c>
      <c r="B1742" s="44">
        <v>40890</v>
      </c>
      <c r="C1742" t="s">
        <v>4</v>
      </c>
      <c r="D1742" t="s">
        <v>4018</v>
      </c>
      <c r="F1742"/>
      <c r="G1742"/>
      <c r="H1742">
        <v>5</v>
      </c>
    </row>
    <row r="1743" spans="1:8" x14ac:dyDescent="0.2">
      <c r="A1743" t="s">
        <v>1366</v>
      </c>
      <c r="B1743" s="44">
        <v>40925</v>
      </c>
      <c r="C1743" t="s">
        <v>4</v>
      </c>
      <c r="D1743" t="s">
        <v>3776</v>
      </c>
      <c r="F1743"/>
      <c r="G1743"/>
      <c r="H1743">
        <v>5</v>
      </c>
    </row>
    <row r="1744" spans="1:8" x14ac:dyDescent="0.2">
      <c r="A1744" t="s">
        <v>1424</v>
      </c>
      <c r="B1744" s="44">
        <v>40931</v>
      </c>
      <c r="C1744" t="s">
        <v>4</v>
      </c>
      <c r="D1744" t="s">
        <v>3778</v>
      </c>
      <c r="F1744"/>
      <c r="G1744"/>
      <c r="H1744">
        <v>5</v>
      </c>
    </row>
    <row r="1745" spans="1:8" x14ac:dyDescent="0.2">
      <c r="A1745" t="s">
        <v>1424</v>
      </c>
      <c r="B1745" s="44">
        <v>40931</v>
      </c>
      <c r="C1745" t="s">
        <v>4</v>
      </c>
      <c r="D1745" t="s">
        <v>3777</v>
      </c>
      <c r="F1745"/>
      <c r="G1745"/>
      <c r="H1745">
        <v>5</v>
      </c>
    </row>
    <row r="1746" spans="1:8" x14ac:dyDescent="0.2">
      <c r="A1746" t="s">
        <v>799</v>
      </c>
      <c r="B1746" s="44">
        <v>40940</v>
      </c>
      <c r="C1746" t="s">
        <v>4</v>
      </c>
      <c r="D1746" t="s">
        <v>3778</v>
      </c>
      <c r="F1746"/>
      <c r="G1746"/>
      <c r="H1746">
        <v>5</v>
      </c>
    </row>
    <row r="1747" spans="1:8" x14ac:dyDescent="0.2">
      <c r="A1747" t="s">
        <v>801</v>
      </c>
      <c r="B1747" s="44">
        <v>40941</v>
      </c>
      <c r="C1747" t="s">
        <v>4</v>
      </c>
      <c r="D1747" t="s">
        <v>3779</v>
      </c>
      <c r="F1747"/>
      <c r="G1747"/>
      <c r="H1747">
        <v>5</v>
      </c>
    </row>
    <row r="1748" spans="1:8" x14ac:dyDescent="0.2">
      <c r="A1748" t="s">
        <v>830</v>
      </c>
      <c r="B1748" s="44">
        <v>40949</v>
      </c>
      <c r="C1748" t="s">
        <v>4</v>
      </c>
      <c r="D1748" t="s">
        <v>4019</v>
      </c>
      <c r="F1748"/>
      <c r="G1748"/>
      <c r="H1748">
        <v>5</v>
      </c>
    </row>
    <row r="1749" spans="1:8" x14ac:dyDescent="0.2">
      <c r="A1749" t="s">
        <v>1527</v>
      </c>
      <c r="B1749" s="44">
        <v>40956</v>
      </c>
      <c r="C1749" t="s">
        <v>4</v>
      </c>
      <c r="D1749" t="s">
        <v>4020</v>
      </c>
      <c r="F1749"/>
      <c r="G1749"/>
      <c r="H1749">
        <v>5</v>
      </c>
    </row>
    <row r="1750" spans="1:8" x14ac:dyDescent="0.2">
      <c r="A1750" t="s">
        <v>1568</v>
      </c>
      <c r="B1750" s="44">
        <v>40960</v>
      </c>
      <c r="C1750" t="s">
        <v>4</v>
      </c>
      <c r="D1750" t="s">
        <v>3780</v>
      </c>
      <c r="F1750"/>
      <c r="G1750"/>
      <c r="H1750">
        <v>5</v>
      </c>
    </row>
    <row r="1751" spans="1:8" x14ac:dyDescent="0.2">
      <c r="A1751" t="s">
        <v>1590</v>
      </c>
      <c r="B1751" s="44">
        <v>40962</v>
      </c>
      <c r="C1751" t="s">
        <v>4</v>
      </c>
      <c r="D1751" t="s">
        <v>3781</v>
      </c>
      <c r="F1751"/>
      <c r="G1751"/>
      <c r="H1751">
        <v>5</v>
      </c>
    </row>
    <row r="1752" spans="1:8" x14ac:dyDescent="0.2">
      <c r="A1752" t="s">
        <v>1652</v>
      </c>
      <c r="B1752" s="44">
        <v>40967</v>
      </c>
      <c r="C1752" t="s">
        <v>4</v>
      </c>
      <c r="D1752" t="s">
        <v>3782</v>
      </c>
      <c r="F1752"/>
      <c r="G1752"/>
      <c r="H1752">
        <v>5</v>
      </c>
    </row>
    <row r="1753" spans="1:8" x14ac:dyDescent="0.2">
      <c r="A1753" t="s">
        <v>1664</v>
      </c>
      <c r="B1753" s="44">
        <v>40968</v>
      </c>
      <c r="C1753" t="s">
        <v>4</v>
      </c>
      <c r="D1753" t="s">
        <v>3783</v>
      </c>
      <c r="F1753"/>
      <c r="G1753"/>
      <c r="H1753">
        <v>5</v>
      </c>
    </row>
    <row r="1754" spans="1:8" x14ac:dyDescent="0.2">
      <c r="A1754" t="s">
        <v>800</v>
      </c>
      <c r="B1754" s="44">
        <v>40969</v>
      </c>
      <c r="C1754" t="s">
        <v>4</v>
      </c>
      <c r="D1754" t="s">
        <v>3784</v>
      </c>
      <c r="F1754"/>
      <c r="G1754"/>
      <c r="H1754">
        <v>5</v>
      </c>
    </row>
    <row r="1755" spans="1:8" x14ac:dyDescent="0.2">
      <c r="A1755" t="s">
        <v>844</v>
      </c>
      <c r="B1755" s="44">
        <v>40980</v>
      </c>
      <c r="C1755" t="s">
        <v>4</v>
      </c>
      <c r="D1755" t="s">
        <v>3785</v>
      </c>
      <c r="F1755"/>
      <c r="G1755"/>
      <c r="H1755">
        <v>5</v>
      </c>
    </row>
    <row r="1756" spans="1:8" x14ac:dyDescent="0.2">
      <c r="A1756" t="s">
        <v>1666</v>
      </c>
      <c r="B1756" s="44">
        <v>40981</v>
      </c>
      <c r="C1756" t="s">
        <v>4</v>
      </c>
      <c r="D1756" t="s">
        <v>3782</v>
      </c>
      <c r="F1756"/>
      <c r="G1756"/>
      <c r="H1756">
        <v>5</v>
      </c>
    </row>
    <row r="1757" spans="1:8" x14ac:dyDescent="0.2">
      <c r="A1757" t="s">
        <v>1671</v>
      </c>
      <c r="B1757" s="44">
        <v>40982</v>
      </c>
      <c r="C1757" t="s">
        <v>4</v>
      </c>
      <c r="D1757" t="s">
        <v>3786</v>
      </c>
      <c r="F1757"/>
      <c r="G1757"/>
      <c r="H1757">
        <v>5</v>
      </c>
    </row>
    <row r="1758" spans="1:8" x14ac:dyDescent="0.2">
      <c r="A1758" t="s">
        <v>1678</v>
      </c>
      <c r="B1758" s="44">
        <v>40983</v>
      </c>
      <c r="C1758" t="s">
        <v>4</v>
      </c>
      <c r="D1758" t="s">
        <v>3787</v>
      </c>
      <c r="F1758"/>
      <c r="G1758"/>
      <c r="H1758">
        <v>5</v>
      </c>
    </row>
    <row r="1759" spans="1:8" x14ac:dyDescent="0.2">
      <c r="A1759" t="s">
        <v>1718</v>
      </c>
      <c r="B1759" s="44">
        <v>40988</v>
      </c>
      <c r="C1759" t="s">
        <v>4</v>
      </c>
      <c r="D1759" t="s">
        <v>3788</v>
      </c>
      <c r="F1759"/>
      <c r="G1759"/>
      <c r="H1759">
        <v>5</v>
      </c>
    </row>
    <row r="1760" spans="1:8" x14ac:dyDescent="0.2">
      <c r="A1760" t="s">
        <v>1785</v>
      </c>
      <c r="B1760" s="44">
        <v>40995</v>
      </c>
      <c r="C1760" t="s">
        <v>4</v>
      </c>
      <c r="D1760" t="s">
        <v>3789</v>
      </c>
      <c r="F1760"/>
      <c r="G1760"/>
      <c r="H1760">
        <v>5</v>
      </c>
    </row>
    <row r="1761" spans="1:8" x14ac:dyDescent="0.2">
      <c r="A1761" t="s">
        <v>1786</v>
      </c>
      <c r="B1761" s="44">
        <v>40995</v>
      </c>
      <c r="C1761" t="s">
        <v>4</v>
      </c>
      <c r="D1761" t="s">
        <v>3790</v>
      </c>
      <c r="F1761"/>
      <c r="G1761"/>
      <c r="H1761">
        <v>5</v>
      </c>
    </row>
    <row r="1762" spans="1:8" x14ac:dyDescent="0.2">
      <c r="A1762" t="s">
        <v>1802</v>
      </c>
      <c r="B1762" s="44">
        <v>40997</v>
      </c>
      <c r="C1762" t="s">
        <v>4</v>
      </c>
      <c r="D1762" t="s">
        <v>3785</v>
      </c>
      <c r="F1762"/>
      <c r="G1762"/>
      <c r="H1762">
        <v>5</v>
      </c>
    </row>
    <row r="1763" spans="1:8" x14ac:dyDescent="0.2">
      <c r="A1763" t="s">
        <v>831</v>
      </c>
      <c r="B1763" s="44">
        <v>41009</v>
      </c>
      <c r="C1763" t="s">
        <v>4</v>
      </c>
      <c r="D1763" t="s">
        <v>3791</v>
      </c>
      <c r="F1763"/>
      <c r="G1763"/>
      <c r="H1763">
        <v>5</v>
      </c>
    </row>
    <row r="1764" spans="1:8" x14ac:dyDescent="0.2">
      <c r="A1764" t="s">
        <v>845</v>
      </c>
      <c r="B1764" s="44">
        <v>41011</v>
      </c>
      <c r="C1764" t="s">
        <v>4</v>
      </c>
      <c r="D1764" t="s">
        <v>3792</v>
      </c>
      <c r="F1764"/>
      <c r="G1764"/>
      <c r="H1764">
        <v>5</v>
      </c>
    </row>
    <row r="1765" spans="1:8" x14ac:dyDescent="0.2">
      <c r="A1765" t="s">
        <v>1817</v>
      </c>
      <c r="B1765" s="44">
        <v>41013</v>
      </c>
      <c r="C1765" t="s">
        <v>4</v>
      </c>
      <c r="D1765" t="s">
        <v>3793</v>
      </c>
      <c r="F1765"/>
      <c r="G1765"/>
      <c r="H1765">
        <v>5</v>
      </c>
    </row>
    <row r="1766" spans="1:8" x14ac:dyDescent="0.2">
      <c r="A1766" t="s">
        <v>1844</v>
      </c>
      <c r="B1766" s="44">
        <v>41018</v>
      </c>
      <c r="C1766" t="s">
        <v>4</v>
      </c>
      <c r="D1766" t="s">
        <v>3794</v>
      </c>
      <c r="F1766"/>
      <c r="G1766"/>
      <c r="H1766">
        <v>5</v>
      </c>
    </row>
    <row r="1767" spans="1:8" x14ac:dyDescent="0.2">
      <c r="A1767" t="s">
        <v>1902</v>
      </c>
      <c r="B1767" s="44">
        <v>41026</v>
      </c>
      <c r="C1767" t="s">
        <v>4</v>
      </c>
      <c r="D1767" t="s">
        <v>4021</v>
      </c>
      <c r="F1767"/>
      <c r="G1767"/>
      <c r="H1767">
        <v>5</v>
      </c>
    </row>
    <row r="1768" spans="1:8" x14ac:dyDescent="0.2">
      <c r="A1768" t="s">
        <v>2036</v>
      </c>
      <c r="B1768" s="44">
        <v>41052</v>
      </c>
      <c r="C1768" t="s">
        <v>4</v>
      </c>
      <c r="D1768" t="s">
        <v>4022</v>
      </c>
      <c r="F1768"/>
      <c r="G1768"/>
      <c r="H1768">
        <v>5</v>
      </c>
    </row>
    <row r="1769" spans="1:8" x14ac:dyDescent="0.2">
      <c r="A1769" t="s">
        <v>2065</v>
      </c>
      <c r="B1769" s="44">
        <v>41057</v>
      </c>
      <c r="C1769" t="s">
        <v>4</v>
      </c>
      <c r="D1769" t="s">
        <v>3795</v>
      </c>
      <c r="F1769"/>
      <c r="G1769"/>
      <c r="H1769">
        <v>5</v>
      </c>
    </row>
    <row r="1770" spans="1:8" x14ac:dyDescent="0.2">
      <c r="A1770" t="s">
        <v>839</v>
      </c>
      <c r="B1770" s="44">
        <v>41071</v>
      </c>
      <c r="C1770" t="s">
        <v>4</v>
      </c>
      <c r="D1770" t="s">
        <v>3779</v>
      </c>
      <c r="F1770"/>
      <c r="G1770"/>
      <c r="H1770">
        <v>5</v>
      </c>
    </row>
    <row r="1771" spans="1:8" x14ac:dyDescent="0.2">
      <c r="A1771" t="s">
        <v>846</v>
      </c>
      <c r="B1771" s="44">
        <v>41072</v>
      </c>
      <c r="C1771" t="s">
        <v>4</v>
      </c>
      <c r="D1771" t="s">
        <v>3778</v>
      </c>
      <c r="F1771"/>
      <c r="G1771"/>
      <c r="H1771">
        <v>5</v>
      </c>
    </row>
    <row r="1772" spans="1:8" x14ac:dyDescent="0.2">
      <c r="A1772" t="s">
        <v>2157</v>
      </c>
      <c r="B1772" s="44">
        <v>41078</v>
      </c>
      <c r="C1772" t="s">
        <v>4</v>
      </c>
      <c r="D1772" t="s">
        <v>4023</v>
      </c>
      <c r="F1772"/>
      <c r="G1772"/>
      <c r="H1772">
        <v>5</v>
      </c>
    </row>
    <row r="1773" spans="1:8" x14ac:dyDescent="0.2">
      <c r="A1773" t="s">
        <v>2188</v>
      </c>
      <c r="B1773" s="44">
        <v>41080</v>
      </c>
      <c r="C1773" t="s">
        <v>4</v>
      </c>
      <c r="D1773" t="s">
        <v>4024</v>
      </c>
      <c r="F1773"/>
      <c r="G1773"/>
      <c r="H1773">
        <v>5</v>
      </c>
    </row>
    <row r="1774" spans="1:8" x14ac:dyDescent="0.2">
      <c r="A1774" t="s">
        <v>2202</v>
      </c>
      <c r="B1774" s="44">
        <v>41081</v>
      </c>
      <c r="C1774" t="s">
        <v>4</v>
      </c>
      <c r="D1774" t="s">
        <v>4025</v>
      </c>
      <c r="F1774"/>
      <c r="G1774"/>
      <c r="H1774">
        <v>5</v>
      </c>
    </row>
    <row r="1775" spans="1:8" x14ac:dyDescent="0.2">
      <c r="A1775" t="s">
        <v>2276</v>
      </c>
      <c r="B1775" s="44">
        <v>41088</v>
      </c>
      <c r="C1775" t="s">
        <v>4</v>
      </c>
      <c r="D1775" t="s">
        <v>3774</v>
      </c>
      <c r="F1775"/>
      <c r="G1775"/>
      <c r="H1775">
        <v>5</v>
      </c>
    </row>
    <row r="1776" spans="1:8" x14ac:dyDescent="0.2">
      <c r="A1776" t="s">
        <v>825</v>
      </c>
      <c r="B1776" s="44">
        <v>41099</v>
      </c>
      <c r="C1776" t="s">
        <v>4</v>
      </c>
      <c r="D1776" t="s">
        <v>4026</v>
      </c>
      <c r="F1776"/>
      <c r="G1776"/>
      <c r="H1776">
        <v>5</v>
      </c>
    </row>
    <row r="1777" spans="1:8" x14ac:dyDescent="0.2">
      <c r="A1777" t="s">
        <v>826</v>
      </c>
      <c r="B1777" s="44">
        <v>41099</v>
      </c>
      <c r="C1777" t="s">
        <v>4</v>
      </c>
      <c r="D1777" t="s">
        <v>4027</v>
      </c>
      <c r="F1777"/>
      <c r="G1777"/>
      <c r="H1777">
        <v>5</v>
      </c>
    </row>
    <row r="1778" spans="1:8" x14ac:dyDescent="0.2">
      <c r="A1778" t="s">
        <v>822</v>
      </c>
      <c r="B1778" s="44">
        <v>41160</v>
      </c>
      <c r="C1778" t="s">
        <v>5836</v>
      </c>
      <c r="D1778" t="s">
        <v>4028</v>
      </c>
      <c r="F1778"/>
      <c r="G1778"/>
      <c r="H1778">
        <v>5</v>
      </c>
    </row>
    <row r="1779" spans="1:8" x14ac:dyDescent="0.2">
      <c r="A1779" t="s">
        <v>840</v>
      </c>
      <c r="B1779" s="44">
        <v>41163</v>
      </c>
      <c r="C1779" t="s">
        <v>4</v>
      </c>
      <c r="D1779" t="s">
        <v>4029</v>
      </c>
      <c r="F1779"/>
      <c r="G1779"/>
      <c r="H1779">
        <v>5</v>
      </c>
    </row>
    <row r="1780" spans="1:8" x14ac:dyDescent="0.2">
      <c r="A1780" t="s">
        <v>841</v>
      </c>
      <c r="B1780" s="44">
        <v>41163</v>
      </c>
      <c r="C1780" t="s">
        <v>4</v>
      </c>
      <c r="D1780" t="s">
        <v>4030</v>
      </c>
      <c r="F1780"/>
      <c r="G1780"/>
      <c r="H1780">
        <v>5</v>
      </c>
    </row>
    <row r="1781" spans="1:8" x14ac:dyDescent="0.2">
      <c r="A1781" t="s">
        <v>847</v>
      </c>
      <c r="B1781" s="44">
        <v>41164</v>
      </c>
      <c r="C1781" t="s">
        <v>4</v>
      </c>
      <c r="D1781" t="s">
        <v>4031</v>
      </c>
      <c r="F1781"/>
      <c r="G1781"/>
      <c r="H1781">
        <v>5</v>
      </c>
    </row>
    <row r="1782" spans="1:8" x14ac:dyDescent="0.2">
      <c r="A1782" t="s">
        <v>2584</v>
      </c>
      <c r="B1782" s="44">
        <v>41177</v>
      </c>
      <c r="C1782" t="s">
        <v>4</v>
      </c>
      <c r="D1782" t="s">
        <v>3749</v>
      </c>
      <c r="F1782"/>
      <c r="G1782"/>
      <c r="H1782">
        <v>5</v>
      </c>
    </row>
    <row r="1783" spans="1:8" x14ac:dyDescent="0.2">
      <c r="A1783" t="s">
        <v>837</v>
      </c>
      <c r="B1783" s="44">
        <v>41192</v>
      </c>
      <c r="C1783" t="s">
        <v>4</v>
      </c>
      <c r="D1783" t="s">
        <v>3796</v>
      </c>
      <c r="F1783"/>
      <c r="G1783"/>
      <c r="H1783">
        <v>5</v>
      </c>
    </row>
    <row r="1784" spans="1:8" x14ac:dyDescent="0.2">
      <c r="A1784" t="s">
        <v>850</v>
      </c>
      <c r="B1784" s="44">
        <v>41194</v>
      </c>
      <c r="C1784" t="s">
        <v>4</v>
      </c>
      <c r="D1784" t="s">
        <v>3797</v>
      </c>
      <c r="F1784"/>
      <c r="G1784"/>
      <c r="H1784">
        <v>5</v>
      </c>
    </row>
    <row r="1785" spans="1:8" x14ac:dyDescent="0.2">
      <c r="A1785" t="s">
        <v>2679</v>
      </c>
      <c r="B1785" s="44">
        <v>41199</v>
      </c>
      <c r="C1785" t="s">
        <v>4</v>
      </c>
      <c r="D1785" t="s">
        <v>4032</v>
      </c>
      <c r="F1785"/>
      <c r="G1785"/>
      <c r="H1785">
        <v>5</v>
      </c>
    </row>
    <row r="1786" spans="1:8" x14ac:dyDescent="0.2">
      <c r="A1786" t="s">
        <v>2697</v>
      </c>
      <c r="B1786" s="44">
        <v>41200</v>
      </c>
      <c r="C1786" t="s">
        <v>4</v>
      </c>
      <c r="D1786" t="s">
        <v>4033</v>
      </c>
      <c r="F1786"/>
      <c r="G1786"/>
      <c r="H1786">
        <v>5</v>
      </c>
    </row>
    <row r="1787" spans="1:8" x14ac:dyDescent="0.2">
      <c r="A1787" t="s">
        <v>2756</v>
      </c>
      <c r="B1787" s="44">
        <v>41205</v>
      </c>
      <c r="C1787" t="s">
        <v>4</v>
      </c>
      <c r="D1787" t="s">
        <v>4034</v>
      </c>
      <c r="F1787"/>
      <c r="G1787"/>
      <c r="H1787">
        <v>5</v>
      </c>
    </row>
    <row r="1788" spans="1:8" x14ac:dyDescent="0.2">
      <c r="A1788" t="s">
        <v>2768</v>
      </c>
      <c r="B1788" s="44">
        <v>41206</v>
      </c>
      <c r="C1788" t="s">
        <v>4</v>
      </c>
      <c r="D1788" t="s">
        <v>2769</v>
      </c>
      <c r="F1788"/>
      <c r="G1788"/>
      <c r="H1788">
        <v>5</v>
      </c>
    </row>
    <row r="1789" spans="1:8" x14ac:dyDescent="0.2">
      <c r="A1789" t="s">
        <v>2781</v>
      </c>
      <c r="B1789" s="44">
        <v>41207</v>
      </c>
      <c r="C1789" t="s">
        <v>4</v>
      </c>
      <c r="D1789" t="s">
        <v>4035</v>
      </c>
      <c r="F1789"/>
      <c r="G1789"/>
      <c r="H1789">
        <v>5</v>
      </c>
    </row>
    <row r="1790" spans="1:8" x14ac:dyDescent="0.2">
      <c r="A1790" t="s">
        <v>2782</v>
      </c>
      <c r="B1790" s="44">
        <v>41207</v>
      </c>
      <c r="C1790" t="s">
        <v>4</v>
      </c>
      <c r="D1790" t="s">
        <v>4036</v>
      </c>
      <c r="F1790"/>
      <c r="G1790"/>
      <c r="H1790">
        <v>5</v>
      </c>
    </row>
    <row r="1791" spans="1:8" x14ac:dyDescent="0.2">
      <c r="A1791" t="s">
        <v>2811</v>
      </c>
      <c r="B1791" s="44">
        <v>41211</v>
      </c>
      <c r="C1791" t="s">
        <v>4</v>
      </c>
      <c r="D1791" t="s">
        <v>3772</v>
      </c>
      <c r="F1791"/>
      <c r="G1791"/>
      <c r="H1791">
        <v>5</v>
      </c>
    </row>
    <row r="1792" spans="1:8" x14ac:dyDescent="0.2">
      <c r="A1792" t="s">
        <v>2810</v>
      </c>
      <c r="B1792" s="44">
        <v>41211</v>
      </c>
      <c r="C1792" t="s">
        <v>4</v>
      </c>
      <c r="D1792" t="s">
        <v>4037</v>
      </c>
      <c r="F1792"/>
      <c r="G1792"/>
      <c r="H1792">
        <v>5</v>
      </c>
    </row>
    <row r="1793" spans="1:8" x14ac:dyDescent="0.2">
      <c r="A1793" t="s">
        <v>2837</v>
      </c>
      <c r="B1793" s="44">
        <v>41213</v>
      </c>
      <c r="C1793" t="s">
        <v>4</v>
      </c>
      <c r="D1793" t="s">
        <v>3799</v>
      </c>
      <c r="F1793"/>
      <c r="G1793"/>
      <c r="H1793">
        <v>5</v>
      </c>
    </row>
    <row r="1794" spans="1:8" x14ac:dyDescent="0.2">
      <c r="A1794" t="s">
        <v>2836</v>
      </c>
      <c r="B1794" s="44">
        <v>41213</v>
      </c>
      <c r="C1794" t="s">
        <v>4</v>
      </c>
      <c r="D1794" t="s">
        <v>3798</v>
      </c>
      <c r="F1794"/>
      <c r="G1794"/>
      <c r="H1794">
        <v>5</v>
      </c>
    </row>
    <row r="1795" spans="1:8" x14ac:dyDescent="0.2">
      <c r="A1795" t="s">
        <v>815</v>
      </c>
      <c r="B1795" s="44">
        <v>41220</v>
      </c>
      <c r="C1795" t="s">
        <v>4</v>
      </c>
      <c r="D1795" t="s">
        <v>4038</v>
      </c>
      <c r="F1795"/>
      <c r="G1795"/>
      <c r="H1795">
        <v>5</v>
      </c>
    </row>
    <row r="1796" spans="1:8" x14ac:dyDescent="0.2">
      <c r="A1796" t="s">
        <v>851</v>
      </c>
      <c r="B1796" s="44">
        <v>41225</v>
      </c>
      <c r="C1796" t="s">
        <v>4</v>
      </c>
      <c r="D1796" t="s">
        <v>852</v>
      </c>
      <c r="F1796"/>
      <c r="G1796"/>
      <c r="H1796">
        <v>5</v>
      </c>
    </row>
    <row r="1797" spans="1:8" x14ac:dyDescent="0.2">
      <c r="A1797" t="s">
        <v>853</v>
      </c>
      <c r="B1797" s="44">
        <v>41225</v>
      </c>
      <c r="C1797" t="s">
        <v>4</v>
      </c>
      <c r="D1797" t="s">
        <v>3800</v>
      </c>
      <c r="F1797"/>
      <c r="G1797"/>
      <c r="H1797">
        <v>5</v>
      </c>
    </row>
    <row r="1798" spans="1:8" x14ac:dyDescent="0.2">
      <c r="A1798" t="s">
        <v>2844</v>
      </c>
      <c r="B1798" s="44">
        <v>41226</v>
      </c>
      <c r="C1798" t="s">
        <v>4</v>
      </c>
      <c r="D1798" t="s">
        <v>4039</v>
      </c>
      <c r="F1798"/>
      <c r="G1798"/>
      <c r="H1798">
        <v>5</v>
      </c>
    </row>
    <row r="1799" spans="1:8" x14ac:dyDescent="0.2">
      <c r="A1799" t="s">
        <v>2918</v>
      </c>
      <c r="B1799" s="44">
        <v>41232</v>
      </c>
      <c r="C1799" t="s">
        <v>4</v>
      </c>
      <c r="D1799" t="s">
        <v>2919</v>
      </c>
      <c r="F1799"/>
      <c r="G1799"/>
      <c r="H1799">
        <v>5</v>
      </c>
    </row>
    <row r="1800" spans="1:8" x14ac:dyDescent="0.2">
      <c r="A1800" t="s">
        <v>2941</v>
      </c>
      <c r="B1800" s="44">
        <v>41234</v>
      </c>
      <c r="C1800" t="s">
        <v>4</v>
      </c>
      <c r="D1800" t="s">
        <v>4040</v>
      </c>
      <c r="F1800"/>
      <c r="G1800"/>
      <c r="H1800">
        <v>5</v>
      </c>
    </row>
    <row r="1801" spans="1:8" x14ac:dyDescent="0.2">
      <c r="A1801" t="s">
        <v>842</v>
      </c>
      <c r="B1801" s="44">
        <v>41254</v>
      </c>
      <c r="C1801" t="s">
        <v>4</v>
      </c>
      <c r="D1801" t="s">
        <v>4041</v>
      </c>
      <c r="F1801"/>
      <c r="G1801"/>
      <c r="H1801">
        <v>5</v>
      </c>
    </row>
    <row r="1802" spans="1:8" x14ac:dyDescent="0.2">
      <c r="A1802" t="s">
        <v>854</v>
      </c>
      <c r="B1802" s="44">
        <v>41255</v>
      </c>
      <c r="C1802" t="s">
        <v>4</v>
      </c>
      <c r="D1802" t="s">
        <v>4042</v>
      </c>
      <c r="F1802"/>
      <c r="G1802"/>
      <c r="H1802">
        <v>5</v>
      </c>
    </row>
    <row r="1803" spans="1:8" x14ac:dyDescent="0.2">
      <c r="A1803" t="s">
        <v>855</v>
      </c>
      <c r="B1803" s="44">
        <v>41255</v>
      </c>
      <c r="C1803" t="s">
        <v>4</v>
      </c>
      <c r="D1803" t="s">
        <v>4043</v>
      </c>
      <c r="F1803"/>
      <c r="G1803"/>
      <c r="H1803">
        <v>5</v>
      </c>
    </row>
    <row r="1804" spans="1:8" x14ac:dyDescent="0.2">
      <c r="A1804" t="s">
        <v>3033</v>
      </c>
      <c r="B1804" s="44">
        <v>41257</v>
      </c>
      <c r="C1804" t="s">
        <v>4</v>
      </c>
      <c r="D1804" t="s">
        <v>4044</v>
      </c>
      <c r="F1804"/>
      <c r="G1804"/>
      <c r="H1804">
        <v>5</v>
      </c>
    </row>
    <row r="1805" spans="1:8" x14ac:dyDescent="0.2">
      <c r="A1805" t="s">
        <v>916</v>
      </c>
      <c r="B1805" s="44">
        <v>41285</v>
      </c>
      <c r="C1805" t="s">
        <v>4</v>
      </c>
      <c r="D1805" t="s">
        <v>4045</v>
      </c>
      <c r="F1805"/>
      <c r="G1805"/>
      <c r="H1805">
        <v>5</v>
      </c>
    </row>
    <row r="1806" spans="1:8" x14ac:dyDescent="0.2">
      <c r="A1806" t="s">
        <v>1371</v>
      </c>
      <c r="B1806" s="44">
        <v>41292</v>
      </c>
      <c r="C1806" t="s">
        <v>4</v>
      </c>
      <c r="D1806" t="s">
        <v>4046</v>
      </c>
      <c r="F1806"/>
      <c r="G1806"/>
      <c r="H1806">
        <v>5</v>
      </c>
    </row>
    <row r="1807" spans="1:8" x14ac:dyDescent="0.2">
      <c r="A1807" t="s">
        <v>1400</v>
      </c>
      <c r="B1807" s="44">
        <v>41295</v>
      </c>
      <c r="C1807" t="s">
        <v>4</v>
      </c>
      <c r="D1807" t="s">
        <v>3801</v>
      </c>
      <c r="F1807"/>
      <c r="G1807"/>
      <c r="H1807">
        <v>5</v>
      </c>
    </row>
    <row r="1808" spans="1:8" x14ac:dyDescent="0.2">
      <c r="A1808" t="s">
        <v>1401</v>
      </c>
      <c r="B1808" s="44">
        <v>41295</v>
      </c>
      <c r="C1808" t="s">
        <v>4</v>
      </c>
      <c r="D1808" t="s">
        <v>4047</v>
      </c>
      <c r="F1808"/>
      <c r="G1808"/>
      <c r="H1808">
        <v>5</v>
      </c>
    </row>
    <row r="1809" spans="1:8" x14ac:dyDescent="0.2">
      <c r="A1809" t="s">
        <v>1440</v>
      </c>
      <c r="B1809" s="44">
        <v>41298</v>
      </c>
      <c r="C1809" t="s">
        <v>4</v>
      </c>
      <c r="D1809" t="s">
        <v>3802</v>
      </c>
      <c r="F1809"/>
      <c r="G1809"/>
      <c r="H1809">
        <v>5</v>
      </c>
    </row>
    <row r="1810" spans="1:8" x14ac:dyDescent="0.2">
      <c r="A1810" t="s">
        <v>1441</v>
      </c>
      <c r="B1810" s="44">
        <v>41298</v>
      </c>
      <c r="C1810" t="s">
        <v>4</v>
      </c>
      <c r="D1810" t="s">
        <v>4048</v>
      </c>
      <c r="F1810"/>
      <c r="G1810"/>
      <c r="H1810">
        <v>5</v>
      </c>
    </row>
    <row r="1811" spans="1:8" x14ac:dyDescent="0.2">
      <c r="A1811" t="s">
        <v>888</v>
      </c>
      <c r="B1811" s="44">
        <v>41310</v>
      </c>
      <c r="C1811" t="s">
        <v>4</v>
      </c>
      <c r="D1811" t="s">
        <v>3781</v>
      </c>
      <c r="F1811"/>
      <c r="G1811"/>
      <c r="H1811">
        <v>5</v>
      </c>
    </row>
    <row r="1812" spans="1:8" x14ac:dyDescent="0.2">
      <c r="A1812" t="s">
        <v>898</v>
      </c>
      <c r="B1812" s="44">
        <v>41312</v>
      </c>
      <c r="C1812" t="s">
        <v>4</v>
      </c>
      <c r="D1812" t="s">
        <v>4049</v>
      </c>
      <c r="F1812"/>
      <c r="G1812"/>
      <c r="H1812">
        <v>5</v>
      </c>
    </row>
    <row r="1813" spans="1:8" x14ac:dyDescent="0.2">
      <c r="A1813" t="s">
        <v>900</v>
      </c>
      <c r="B1813" s="44">
        <v>41312</v>
      </c>
      <c r="C1813" t="s">
        <v>4</v>
      </c>
      <c r="D1813" t="s">
        <v>4050</v>
      </c>
      <c r="F1813"/>
      <c r="G1813"/>
      <c r="H1813">
        <v>5</v>
      </c>
    </row>
    <row r="1814" spans="1:8" x14ac:dyDescent="0.2">
      <c r="A1814" t="s">
        <v>904</v>
      </c>
      <c r="B1814" s="44">
        <v>41313</v>
      </c>
      <c r="C1814" t="s">
        <v>4</v>
      </c>
      <c r="D1814" t="s">
        <v>4051</v>
      </c>
      <c r="F1814"/>
      <c r="G1814"/>
      <c r="H1814">
        <v>5</v>
      </c>
    </row>
    <row r="1815" spans="1:8" x14ac:dyDescent="0.2">
      <c r="A1815" t="s">
        <v>1569</v>
      </c>
      <c r="B1815" s="44">
        <v>41326</v>
      </c>
      <c r="C1815" t="s">
        <v>4</v>
      </c>
      <c r="D1815" t="s">
        <v>3803</v>
      </c>
      <c r="F1815"/>
      <c r="G1815"/>
      <c r="H1815">
        <v>5</v>
      </c>
    </row>
    <row r="1816" spans="1:8" x14ac:dyDescent="0.2">
      <c r="A1816" t="s">
        <v>1612</v>
      </c>
      <c r="B1816" s="44">
        <v>41330</v>
      </c>
      <c r="C1816" t="s">
        <v>4</v>
      </c>
      <c r="D1816" t="s">
        <v>4048</v>
      </c>
      <c r="F1816"/>
      <c r="G1816"/>
      <c r="H1816">
        <v>5</v>
      </c>
    </row>
    <row r="1817" spans="1:8" x14ac:dyDescent="0.2">
      <c r="A1817" t="s">
        <v>1629</v>
      </c>
      <c r="B1817" s="44">
        <v>41331</v>
      </c>
      <c r="C1817" t="s">
        <v>4</v>
      </c>
      <c r="D1817" t="s">
        <v>4052</v>
      </c>
      <c r="F1817"/>
      <c r="G1817"/>
      <c r="H1817">
        <v>5</v>
      </c>
    </row>
    <row r="1818" spans="1:8" x14ac:dyDescent="0.2">
      <c r="A1818" t="s">
        <v>1630</v>
      </c>
      <c r="B1818" s="44">
        <v>41331</v>
      </c>
      <c r="C1818" t="s">
        <v>4</v>
      </c>
      <c r="D1818" t="s">
        <v>3749</v>
      </c>
      <c r="F1818"/>
      <c r="G1818"/>
      <c r="H1818">
        <v>5</v>
      </c>
    </row>
    <row r="1819" spans="1:8" x14ac:dyDescent="0.2">
      <c r="A1819" t="s">
        <v>1641</v>
      </c>
      <c r="B1819" s="44">
        <v>41332</v>
      </c>
      <c r="C1819" t="s">
        <v>4</v>
      </c>
      <c r="D1819" t="s">
        <v>3804</v>
      </c>
      <c r="F1819"/>
      <c r="G1819"/>
      <c r="H1819">
        <v>5</v>
      </c>
    </row>
    <row r="1820" spans="1:8" x14ac:dyDescent="0.2">
      <c r="A1820" t="s">
        <v>919</v>
      </c>
      <c r="B1820" s="44">
        <v>41344</v>
      </c>
      <c r="C1820" t="s">
        <v>4</v>
      </c>
      <c r="D1820" t="s">
        <v>3388</v>
      </c>
      <c r="F1820"/>
      <c r="G1820"/>
      <c r="H1820">
        <v>5</v>
      </c>
    </row>
    <row r="1821" spans="1:8" x14ac:dyDescent="0.2">
      <c r="A1821" s="6" t="s">
        <v>1667</v>
      </c>
      <c r="B1821" s="44">
        <v>41346</v>
      </c>
      <c r="C1821" t="s">
        <v>4</v>
      </c>
      <c r="D1821" t="s">
        <v>4430</v>
      </c>
      <c r="F1821"/>
      <c r="G1821"/>
      <c r="H1821">
        <v>5</v>
      </c>
    </row>
    <row r="1822" spans="1:8" x14ac:dyDescent="0.2">
      <c r="A1822" t="s">
        <v>1679</v>
      </c>
      <c r="B1822" s="44">
        <v>41348</v>
      </c>
      <c r="C1822" t="s">
        <v>4</v>
      </c>
      <c r="D1822" t="s">
        <v>3805</v>
      </c>
      <c r="F1822"/>
      <c r="G1822"/>
      <c r="H1822">
        <v>5</v>
      </c>
    </row>
    <row r="1823" spans="1:8" x14ac:dyDescent="0.2">
      <c r="A1823" t="s">
        <v>1707</v>
      </c>
      <c r="B1823" s="44">
        <v>41352</v>
      </c>
      <c r="C1823" t="s">
        <v>4</v>
      </c>
      <c r="D1823" t="s">
        <v>1708</v>
      </c>
      <c r="F1823"/>
      <c r="G1823"/>
      <c r="H1823">
        <v>5</v>
      </c>
    </row>
    <row r="1824" spans="1:8" x14ac:dyDescent="0.2">
      <c r="A1824" t="s">
        <v>876</v>
      </c>
      <c r="B1824" s="44">
        <v>41367</v>
      </c>
      <c r="C1824" t="s">
        <v>4</v>
      </c>
      <c r="D1824" t="s">
        <v>3772</v>
      </c>
      <c r="F1824"/>
      <c r="G1824"/>
      <c r="H1824">
        <v>5</v>
      </c>
    </row>
    <row r="1825" spans="1:8" x14ac:dyDescent="0.2">
      <c r="A1825" t="s">
        <v>889</v>
      </c>
      <c r="B1825" s="44">
        <v>41369</v>
      </c>
      <c r="C1825" t="s">
        <v>4</v>
      </c>
      <c r="D1825" t="s">
        <v>4053</v>
      </c>
      <c r="F1825"/>
      <c r="G1825"/>
      <c r="H1825">
        <v>5</v>
      </c>
    </row>
    <row r="1826" spans="1:8" x14ac:dyDescent="0.2">
      <c r="A1826" t="s">
        <v>906</v>
      </c>
      <c r="B1826" s="44">
        <v>41373</v>
      </c>
      <c r="C1826" t="s">
        <v>4</v>
      </c>
      <c r="D1826" t="s">
        <v>4054</v>
      </c>
      <c r="F1826"/>
      <c r="G1826"/>
      <c r="H1826">
        <v>5</v>
      </c>
    </row>
    <row r="1827" spans="1:8" x14ac:dyDescent="0.2">
      <c r="A1827" t="s">
        <v>914</v>
      </c>
      <c r="B1827" s="44">
        <v>41374</v>
      </c>
      <c r="C1827" t="s">
        <v>4</v>
      </c>
      <c r="D1827" t="s">
        <v>3781</v>
      </c>
      <c r="F1827"/>
      <c r="G1827"/>
      <c r="H1827">
        <v>5</v>
      </c>
    </row>
    <row r="1828" spans="1:8" x14ac:dyDescent="0.2">
      <c r="A1828" t="s">
        <v>920</v>
      </c>
      <c r="B1828" s="44">
        <v>41375</v>
      </c>
      <c r="C1828" t="s">
        <v>4</v>
      </c>
      <c r="D1828" t="s">
        <v>4055</v>
      </c>
      <c r="F1828"/>
      <c r="G1828"/>
      <c r="H1828">
        <v>5</v>
      </c>
    </row>
    <row r="1829" spans="1:8" x14ac:dyDescent="0.2">
      <c r="A1829" t="s">
        <v>1814</v>
      </c>
      <c r="B1829" s="44">
        <v>41377</v>
      </c>
      <c r="C1829" t="s">
        <v>4</v>
      </c>
      <c r="D1829" t="s">
        <v>4056</v>
      </c>
      <c r="F1829"/>
      <c r="G1829"/>
      <c r="H1829">
        <v>5</v>
      </c>
    </row>
    <row r="1830" spans="1:8" x14ac:dyDescent="0.2">
      <c r="A1830" t="s">
        <v>1823</v>
      </c>
      <c r="B1830" s="44">
        <v>41379</v>
      </c>
      <c r="C1830" t="s">
        <v>4</v>
      </c>
      <c r="D1830" t="s">
        <v>3389</v>
      </c>
      <c r="F1830"/>
      <c r="G1830"/>
      <c r="H1830">
        <v>5</v>
      </c>
    </row>
    <row r="1831" spans="1:8" x14ac:dyDescent="0.2">
      <c r="A1831" t="s">
        <v>1826</v>
      </c>
      <c r="B1831" s="44">
        <v>41380</v>
      </c>
      <c r="C1831" t="s">
        <v>4</v>
      </c>
      <c r="D1831" t="s">
        <v>4057</v>
      </c>
      <c r="F1831"/>
      <c r="G1831"/>
      <c r="H1831">
        <v>5</v>
      </c>
    </row>
    <row r="1832" spans="1:8" x14ac:dyDescent="0.2">
      <c r="A1832" t="s">
        <v>1830</v>
      </c>
      <c r="B1832" s="44">
        <v>41381</v>
      </c>
      <c r="C1832" t="s">
        <v>4</v>
      </c>
      <c r="D1832" t="s">
        <v>3392</v>
      </c>
      <c r="F1832"/>
      <c r="G1832"/>
      <c r="H1832">
        <v>5</v>
      </c>
    </row>
    <row r="1833" spans="1:8" x14ac:dyDescent="0.2">
      <c r="A1833" t="s">
        <v>1872</v>
      </c>
      <c r="B1833" s="44">
        <v>41386</v>
      </c>
      <c r="C1833" t="s">
        <v>4</v>
      </c>
      <c r="D1833" t="s">
        <v>3390</v>
      </c>
      <c r="F1833"/>
      <c r="G1833"/>
      <c r="H1833">
        <v>5</v>
      </c>
    </row>
    <row r="1834" spans="1:8" x14ac:dyDescent="0.2">
      <c r="A1834" t="s">
        <v>1875</v>
      </c>
      <c r="B1834" s="44">
        <v>41386</v>
      </c>
      <c r="C1834" t="s">
        <v>5834</v>
      </c>
      <c r="D1834" t="s">
        <v>1876</v>
      </c>
      <c r="F1834"/>
      <c r="G1834"/>
      <c r="H1834">
        <v>5</v>
      </c>
    </row>
    <row r="1835" spans="1:8" x14ac:dyDescent="0.2">
      <c r="A1835" t="s">
        <v>1883</v>
      </c>
      <c r="B1835" s="44">
        <v>41387</v>
      </c>
      <c r="C1835" t="s">
        <v>4</v>
      </c>
      <c r="D1835" t="s">
        <v>4058</v>
      </c>
      <c r="F1835"/>
      <c r="G1835"/>
      <c r="H1835">
        <v>5</v>
      </c>
    </row>
    <row r="1836" spans="1:8" x14ac:dyDescent="0.2">
      <c r="A1836" t="s">
        <v>1892</v>
      </c>
      <c r="B1836" s="44">
        <v>41389</v>
      </c>
      <c r="C1836" t="s">
        <v>4</v>
      </c>
      <c r="D1836" t="s">
        <v>4059</v>
      </c>
      <c r="F1836"/>
      <c r="G1836"/>
      <c r="H1836">
        <v>5</v>
      </c>
    </row>
    <row r="1837" spans="1:8" x14ac:dyDescent="0.2">
      <c r="A1837" t="s">
        <v>1919</v>
      </c>
      <c r="B1837" s="44">
        <v>41394</v>
      </c>
      <c r="C1837" t="s">
        <v>4</v>
      </c>
      <c r="D1837" t="s">
        <v>4060</v>
      </c>
      <c r="F1837"/>
      <c r="G1837"/>
      <c r="H1837">
        <v>5</v>
      </c>
    </row>
    <row r="1838" spans="1:8" x14ac:dyDescent="0.2">
      <c r="A1838" t="s">
        <v>857</v>
      </c>
      <c r="B1838" s="44">
        <v>41395</v>
      </c>
      <c r="C1838" t="s">
        <v>4</v>
      </c>
      <c r="D1838" t="s">
        <v>3391</v>
      </c>
      <c r="F1838"/>
      <c r="G1838"/>
      <c r="H1838">
        <v>5</v>
      </c>
    </row>
    <row r="1839" spans="1:8" x14ac:dyDescent="0.2">
      <c r="A1839" t="s">
        <v>856</v>
      </c>
      <c r="B1839" s="44">
        <v>41395</v>
      </c>
      <c r="C1839" t="s">
        <v>4</v>
      </c>
      <c r="D1839" t="s">
        <v>3787</v>
      </c>
      <c r="F1839"/>
      <c r="G1839"/>
      <c r="H1839">
        <v>5</v>
      </c>
    </row>
    <row r="1840" spans="1:8" x14ac:dyDescent="0.2">
      <c r="A1840" t="s">
        <v>1959</v>
      </c>
      <c r="B1840" s="44">
        <v>41411</v>
      </c>
      <c r="C1840" t="s">
        <v>4</v>
      </c>
      <c r="D1840" t="s">
        <v>3807</v>
      </c>
      <c r="H1840">
        <v>5</v>
      </c>
    </row>
    <row r="1841" spans="1:8" x14ac:dyDescent="0.2">
      <c r="A1841" t="s">
        <v>1993</v>
      </c>
      <c r="B1841" s="44">
        <v>41414</v>
      </c>
      <c r="C1841" t="s">
        <v>4</v>
      </c>
      <c r="D1841" t="s">
        <v>3808</v>
      </c>
      <c r="F1841"/>
      <c r="G1841"/>
      <c r="H1841">
        <v>5</v>
      </c>
    </row>
    <row r="1842" spans="1:8" x14ac:dyDescent="0.2">
      <c r="A1842" t="s">
        <v>2040</v>
      </c>
      <c r="B1842" s="44">
        <v>41418</v>
      </c>
      <c r="C1842" t="s">
        <v>4</v>
      </c>
      <c r="D1842" t="s">
        <v>4061</v>
      </c>
      <c r="F1842"/>
      <c r="G1842"/>
      <c r="H1842">
        <v>5</v>
      </c>
    </row>
    <row r="1843" spans="1:8" x14ac:dyDescent="0.2">
      <c r="A1843" t="s">
        <v>2066</v>
      </c>
      <c r="B1843" s="44">
        <v>41422</v>
      </c>
      <c r="C1843" t="s">
        <v>4</v>
      </c>
      <c r="D1843" t="s">
        <v>4062</v>
      </c>
      <c r="F1843"/>
      <c r="G1843"/>
      <c r="H1843">
        <v>5</v>
      </c>
    </row>
    <row r="1844" spans="1:8" x14ac:dyDescent="0.2">
      <c r="A1844" t="s">
        <v>2067</v>
      </c>
      <c r="B1844" s="44">
        <v>41422</v>
      </c>
      <c r="C1844" t="s">
        <v>4</v>
      </c>
      <c r="D1844" t="s">
        <v>3782</v>
      </c>
      <c r="F1844"/>
      <c r="G1844"/>
      <c r="H1844">
        <v>5</v>
      </c>
    </row>
    <row r="1845" spans="1:8" x14ac:dyDescent="0.2">
      <c r="A1845" t="s">
        <v>2071</v>
      </c>
      <c r="B1845" s="44">
        <v>41423</v>
      </c>
      <c r="C1845" t="s">
        <v>4</v>
      </c>
      <c r="D1845" t="s">
        <v>3809</v>
      </c>
      <c r="F1845"/>
      <c r="G1845"/>
      <c r="H1845">
        <v>5</v>
      </c>
    </row>
    <row r="1846" spans="1:8" x14ac:dyDescent="0.2">
      <c r="A1846" t="s">
        <v>2072</v>
      </c>
      <c r="B1846" s="44">
        <v>41423</v>
      </c>
      <c r="C1846" t="s">
        <v>4</v>
      </c>
      <c r="D1846" t="s">
        <v>4063</v>
      </c>
      <c r="F1846"/>
      <c r="G1846"/>
      <c r="H1846">
        <v>5</v>
      </c>
    </row>
    <row r="1847" spans="1:8" x14ac:dyDescent="0.2">
      <c r="A1847" t="s">
        <v>2085</v>
      </c>
      <c r="B1847" s="44">
        <v>41425</v>
      </c>
      <c r="C1847" t="s">
        <v>4</v>
      </c>
      <c r="D1847" t="s">
        <v>4064</v>
      </c>
      <c r="F1847"/>
      <c r="G1847"/>
      <c r="H1847">
        <v>5</v>
      </c>
    </row>
    <row r="1848" spans="1:8" x14ac:dyDescent="0.2">
      <c r="A1848" t="s">
        <v>879</v>
      </c>
      <c r="B1848" s="44">
        <v>41428</v>
      </c>
      <c r="C1848" t="s">
        <v>4</v>
      </c>
      <c r="D1848" t="s">
        <v>3392</v>
      </c>
      <c r="F1848"/>
      <c r="G1848"/>
      <c r="H1848">
        <v>5</v>
      </c>
    </row>
    <row r="1849" spans="1:8" x14ac:dyDescent="0.2">
      <c r="A1849" t="s">
        <v>884</v>
      </c>
      <c r="B1849" s="44">
        <v>41429</v>
      </c>
      <c r="C1849" t="s">
        <v>4</v>
      </c>
      <c r="D1849" t="s">
        <v>4065</v>
      </c>
      <c r="F1849"/>
      <c r="G1849"/>
      <c r="H1849">
        <v>5</v>
      </c>
    </row>
    <row r="1850" spans="1:8" x14ac:dyDescent="0.2">
      <c r="A1850" t="s">
        <v>928</v>
      </c>
      <c r="B1850" s="44">
        <v>41437</v>
      </c>
      <c r="C1850" t="s">
        <v>4</v>
      </c>
      <c r="D1850" t="s">
        <v>3810</v>
      </c>
      <c r="F1850"/>
      <c r="G1850"/>
      <c r="H1850">
        <v>5</v>
      </c>
    </row>
    <row r="1851" spans="1:8" x14ac:dyDescent="0.2">
      <c r="A1851" t="s">
        <v>930</v>
      </c>
      <c r="B1851" s="44">
        <v>41437</v>
      </c>
      <c r="C1851" t="s">
        <v>4</v>
      </c>
      <c r="D1851" t="s">
        <v>4067</v>
      </c>
      <c r="F1851"/>
      <c r="G1851"/>
      <c r="H1851">
        <v>5</v>
      </c>
    </row>
    <row r="1852" spans="1:8" x14ac:dyDescent="0.2">
      <c r="A1852" t="s">
        <v>928</v>
      </c>
      <c r="B1852" s="44">
        <v>41437</v>
      </c>
      <c r="C1852" t="s">
        <v>4</v>
      </c>
      <c r="D1852" t="s">
        <v>4066</v>
      </c>
      <c r="F1852"/>
      <c r="G1852"/>
      <c r="H1852">
        <v>5</v>
      </c>
    </row>
    <row r="1853" spans="1:8" x14ac:dyDescent="0.2">
      <c r="A1853" t="s">
        <v>928</v>
      </c>
      <c r="B1853" s="44">
        <v>41437</v>
      </c>
      <c r="C1853" t="s">
        <v>4</v>
      </c>
      <c r="D1853" t="s">
        <v>929</v>
      </c>
      <c r="F1853"/>
      <c r="G1853"/>
      <c r="H1853">
        <v>5</v>
      </c>
    </row>
    <row r="1854" spans="1:8" x14ac:dyDescent="0.2">
      <c r="A1854" t="s">
        <v>2094</v>
      </c>
      <c r="B1854" s="44">
        <v>41438</v>
      </c>
      <c r="C1854" t="s">
        <v>4</v>
      </c>
      <c r="D1854" t="s">
        <v>4069</v>
      </c>
      <c r="F1854"/>
      <c r="G1854"/>
      <c r="H1854">
        <v>5</v>
      </c>
    </row>
    <row r="1855" spans="1:8" x14ac:dyDescent="0.2">
      <c r="A1855" t="s">
        <v>2093</v>
      </c>
      <c r="B1855" s="44">
        <v>41438</v>
      </c>
      <c r="C1855" t="s">
        <v>2042</v>
      </c>
      <c r="D1855" t="s">
        <v>4068</v>
      </c>
      <c r="F1855"/>
      <c r="G1855"/>
      <c r="H1855">
        <v>5</v>
      </c>
    </row>
    <row r="1856" spans="1:8" x14ac:dyDescent="0.2">
      <c r="A1856" t="s">
        <v>2102</v>
      </c>
      <c r="B1856" s="44">
        <v>41439</v>
      </c>
      <c r="C1856" t="s">
        <v>4</v>
      </c>
      <c r="D1856" t="s">
        <v>4070</v>
      </c>
      <c r="F1856"/>
      <c r="G1856"/>
      <c r="H1856">
        <v>5</v>
      </c>
    </row>
    <row r="1857" spans="1:8" x14ac:dyDescent="0.2">
      <c r="A1857" t="s">
        <v>2255</v>
      </c>
      <c r="B1857" s="44">
        <v>41451</v>
      </c>
      <c r="C1857" t="s">
        <v>4</v>
      </c>
      <c r="D1857" t="s">
        <v>3737</v>
      </c>
      <c r="F1857"/>
      <c r="G1857"/>
      <c r="H1857">
        <v>5</v>
      </c>
    </row>
    <row r="1858" spans="1:8" x14ac:dyDescent="0.2">
      <c r="A1858" t="s">
        <v>908</v>
      </c>
      <c r="B1858" s="44">
        <v>41464</v>
      </c>
      <c r="C1858" t="s">
        <v>4</v>
      </c>
      <c r="D1858" t="s">
        <v>3393</v>
      </c>
      <c r="F1858"/>
      <c r="G1858"/>
      <c r="H1858">
        <v>5</v>
      </c>
    </row>
    <row r="1859" spans="1:8" x14ac:dyDescent="0.2">
      <c r="A1859" t="s">
        <v>921</v>
      </c>
      <c r="B1859" s="44">
        <v>41466</v>
      </c>
      <c r="C1859" t="s">
        <v>4</v>
      </c>
      <c r="D1859" t="s">
        <v>3811</v>
      </c>
      <c r="F1859"/>
      <c r="G1859"/>
      <c r="H1859">
        <v>5</v>
      </c>
    </row>
    <row r="1860" spans="1:8" x14ac:dyDescent="0.2">
      <c r="A1860" t="s">
        <v>2329</v>
      </c>
      <c r="B1860" s="44">
        <v>41471</v>
      </c>
      <c r="C1860" t="s">
        <v>4</v>
      </c>
      <c r="D1860" t="s">
        <v>4071</v>
      </c>
      <c r="F1860"/>
      <c r="G1860"/>
      <c r="H1860">
        <v>5</v>
      </c>
    </row>
    <row r="1861" spans="1:8" x14ac:dyDescent="0.2">
      <c r="A1861" t="s">
        <v>2355</v>
      </c>
      <c r="B1861" s="44">
        <v>41473</v>
      </c>
      <c r="C1861" t="s">
        <v>4</v>
      </c>
      <c r="D1861" t="s">
        <v>3812</v>
      </c>
      <c r="F1861"/>
      <c r="G1861"/>
      <c r="H1861">
        <v>5</v>
      </c>
    </row>
    <row r="1862" spans="1:8" x14ac:dyDescent="0.2">
      <c r="A1862" t="s">
        <v>886</v>
      </c>
      <c r="B1862" s="44">
        <v>41521</v>
      </c>
      <c r="C1862" t="s">
        <v>4</v>
      </c>
      <c r="D1862" t="s">
        <v>4073</v>
      </c>
      <c r="F1862"/>
      <c r="G1862"/>
      <c r="H1862">
        <v>5</v>
      </c>
    </row>
    <row r="1863" spans="1:8" x14ac:dyDescent="0.2">
      <c r="A1863" t="s">
        <v>922</v>
      </c>
      <c r="B1863" s="44">
        <v>41528</v>
      </c>
      <c r="C1863" t="s">
        <v>4</v>
      </c>
      <c r="D1863" t="s">
        <v>3727</v>
      </c>
      <c r="F1863"/>
      <c r="G1863"/>
      <c r="H1863">
        <v>5</v>
      </c>
    </row>
    <row r="1864" spans="1:8" x14ac:dyDescent="0.2">
      <c r="A1864" t="s">
        <v>2508</v>
      </c>
      <c r="B1864" s="44">
        <v>41534</v>
      </c>
      <c r="C1864" t="s">
        <v>4</v>
      </c>
      <c r="D1864" t="s">
        <v>3813</v>
      </c>
      <c r="F1864"/>
      <c r="G1864"/>
      <c r="H1864">
        <v>5</v>
      </c>
    </row>
    <row r="1865" spans="1:8" x14ac:dyDescent="0.2">
      <c r="A1865" t="s">
        <v>2509</v>
      </c>
      <c r="B1865" s="44">
        <v>41534</v>
      </c>
      <c r="C1865" t="s">
        <v>4</v>
      </c>
      <c r="D1865" t="s">
        <v>3814</v>
      </c>
      <c r="F1865"/>
      <c r="G1865"/>
      <c r="H1865">
        <v>5</v>
      </c>
    </row>
    <row r="1866" spans="1:8" x14ac:dyDescent="0.2">
      <c r="A1866" t="s">
        <v>2543</v>
      </c>
      <c r="B1866" s="44">
        <v>41537</v>
      </c>
      <c r="C1866" t="s">
        <v>4</v>
      </c>
      <c r="D1866" t="s">
        <v>3815</v>
      </c>
      <c r="F1866"/>
      <c r="G1866"/>
      <c r="H1866">
        <v>5</v>
      </c>
    </row>
    <row r="1867" spans="1:8" x14ac:dyDescent="0.2">
      <c r="A1867" t="s">
        <v>2570</v>
      </c>
      <c r="B1867" s="44">
        <v>41540</v>
      </c>
      <c r="C1867" t="s">
        <v>4</v>
      </c>
      <c r="D1867" t="s">
        <v>3816</v>
      </c>
      <c r="F1867"/>
      <c r="G1867"/>
      <c r="H1867">
        <v>5</v>
      </c>
    </row>
    <row r="1868" spans="1:8" x14ac:dyDescent="0.2">
      <c r="A1868" t="s">
        <v>2580</v>
      </c>
      <c r="B1868" s="44">
        <v>41541</v>
      </c>
      <c r="C1868" t="s">
        <v>4</v>
      </c>
      <c r="D1868" t="s">
        <v>3700</v>
      </c>
      <c r="F1868"/>
      <c r="G1868"/>
      <c r="H1868">
        <v>5</v>
      </c>
    </row>
    <row r="1869" spans="1:8" x14ac:dyDescent="0.2">
      <c r="A1869" t="s">
        <v>2579</v>
      </c>
      <c r="B1869" s="44">
        <v>41541</v>
      </c>
      <c r="C1869" t="s">
        <v>4</v>
      </c>
      <c r="D1869" t="s">
        <v>3778</v>
      </c>
      <c r="F1869"/>
      <c r="G1869"/>
      <c r="H1869">
        <v>5</v>
      </c>
    </row>
    <row r="1870" spans="1:8" x14ac:dyDescent="0.2">
      <c r="A1870" t="s">
        <v>2578</v>
      </c>
      <c r="B1870" s="44">
        <v>41541</v>
      </c>
      <c r="C1870" t="s">
        <v>4</v>
      </c>
      <c r="D1870" t="s">
        <v>3818</v>
      </c>
      <c r="F1870"/>
      <c r="G1870"/>
      <c r="H1870">
        <v>5</v>
      </c>
    </row>
    <row r="1871" spans="1:8" x14ac:dyDescent="0.2">
      <c r="A1871" t="s">
        <v>2577</v>
      </c>
      <c r="B1871" s="44">
        <v>41541</v>
      </c>
      <c r="C1871" t="s">
        <v>4</v>
      </c>
      <c r="D1871" t="s">
        <v>3817</v>
      </c>
      <c r="F1871"/>
      <c r="G1871"/>
      <c r="H1871">
        <v>5</v>
      </c>
    </row>
    <row r="1872" spans="1:8" x14ac:dyDescent="0.2">
      <c r="A1872" t="s">
        <v>862</v>
      </c>
      <c r="B1872" s="44">
        <v>41548</v>
      </c>
      <c r="C1872" t="s">
        <v>4</v>
      </c>
      <c r="D1872" t="s">
        <v>863</v>
      </c>
      <c r="F1872"/>
      <c r="G1872"/>
      <c r="H1872">
        <v>5</v>
      </c>
    </row>
    <row r="1873" spans="1:8" x14ac:dyDescent="0.2">
      <c r="A1873" t="s">
        <v>860</v>
      </c>
      <c r="B1873" s="44">
        <v>41548</v>
      </c>
      <c r="C1873" t="s">
        <v>4</v>
      </c>
      <c r="D1873" t="s">
        <v>4074</v>
      </c>
      <c r="F1873"/>
      <c r="G1873"/>
      <c r="H1873">
        <v>5</v>
      </c>
    </row>
    <row r="1874" spans="1:8" x14ac:dyDescent="0.2">
      <c r="A1874" t="s">
        <v>861</v>
      </c>
      <c r="B1874" s="44">
        <v>41548</v>
      </c>
      <c r="C1874" t="s">
        <v>4</v>
      </c>
      <c r="D1874" t="s">
        <v>4075</v>
      </c>
      <c r="F1874"/>
      <c r="G1874"/>
      <c r="H1874">
        <v>5</v>
      </c>
    </row>
    <row r="1875" spans="1:8" x14ac:dyDescent="0.2">
      <c r="A1875" t="s">
        <v>871</v>
      </c>
      <c r="B1875" s="44">
        <v>41549</v>
      </c>
      <c r="C1875" t="s">
        <v>4</v>
      </c>
      <c r="D1875" t="s">
        <v>4076</v>
      </c>
      <c r="F1875"/>
      <c r="G1875"/>
      <c r="H1875">
        <v>5</v>
      </c>
    </row>
    <row r="1876" spans="1:8" x14ac:dyDescent="0.2">
      <c r="A1876" t="s">
        <v>905</v>
      </c>
      <c r="B1876" s="44">
        <v>41555</v>
      </c>
      <c r="C1876" t="s">
        <v>4</v>
      </c>
      <c r="D1876" t="s">
        <v>4077</v>
      </c>
      <c r="F1876"/>
      <c r="G1876"/>
      <c r="H1876">
        <v>5</v>
      </c>
    </row>
    <row r="1877" spans="1:8" x14ac:dyDescent="0.2">
      <c r="A1877" t="s">
        <v>923</v>
      </c>
      <c r="B1877" s="44">
        <v>41558</v>
      </c>
      <c r="C1877" t="s">
        <v>4</v>
      </c>
      <c r="D1877" t="s">
        <v>4078</v>
      </c>
      <c r="F1877"/>
      <c r="G1877"/>
      <c r="H1877">
        <v>5</v>
      </c>
    </row>
    <row r="1878" spans="1:8" x14ac:dyDescent="0.2">
      <c r="A1878" t="s">
        <v>924</v>
      </c>
      <c r="B1878" s="44">
        <v>41558</v>
      </c>
      <c r="C1878" t="s">
        <v>4</v>
      </c>
      <c r="D1878" t="s">
        <v>4051</v>
      </c>
      <c r="F1878"/>
      <c r="G1878"/>
      <c r="H1878">
        <v>5</v>
      </c>
    </row>
    <row r="1879" spans="1:8" x14ac:dyDescent="0.2">
      <c r="A1879" t="s">
        <v>933</v>
      </c>
      <c r="B1879" s="44">
        <v>41559</v>
      </c>
      <c r="C1879" t="s">
        <v>4</v>
      </c>
      <c r="D1879" t="s">
        <v>4079</v>
      </c>
      <c r="F1879"/>
      <c r="G1879"/>
      <c r="H1879">
        <v>5</v>
      </c>
    </row>
    <row r="1880" spans="1:8" x14ac:dyDescent="0.2">
      <c r="A1880" t="s">
        <v>2654</v>
      </c>
      <c r="B1880" s="44">
        <v>41561</v>
      </c>
      <c r="C1880" t="s">
        <v>4</v>
      </c>
      <c r="D1880" t="s">
        <v>4080</v>
      </c>
      <c r="F1880"/>
      <c r="G1880"/>
      <c r="H1880">
        <v>5</v>
      </c>
    </row>
    <row r="1881" spans="1:8" x14ac:dyDescent="0.2">
      <c r="A1881" t="s">
        <v>2663</v>
      </c>
      <c r="B1881" s="44">
        <v>41562</v>
      </c>
      <c r="C1881" t="s">
        <v>4</v>
      </c>
      <c r="D1881" t="s">
        <v>4081</v>
      </c>
      <c r="F1881"/>
      <c r="G1881"/>
      <c r="H1881">
        <v>5</v>
      </c>
    </row>
    <row r="1882" spans="1:8" x14ac:dyDescent="0.2">
      <c r="A1882" t="s">
        <v>2698</v>
      </c>
      <c r="B1882" s="44">
        <v>41565</v>
      </c>
      <c r="C1882" t="s">
        <v>4</v>
      </c>
      <c r="D1882" t="s">
        <v>4082</v>
      </c>
      <c r="F1882"/>
      <c r="G1882"/>
      <c r="H1882">
        <v>5</v>
      </c>
    </row>
    <row r="1883" spans="1:8" x14ac:dyDescent="0.2">
      <c r="A1883" t="s">
        <v>2734</v>
      </c>
      <c r="B1883" s="44">
        <v>41568</v>
      </c>
      <c r="C1883" t="s">
        <v>4</v>
      </c>
      <c r="D1883" t="s">
        <v>4083</v>
      </c>
      <c r="F1883"/>
      <c r="G1883"/>
      <c r="H1883">
        <v>5</v>
      </c>
    </row>
    <row r="1884" spans="1:8" x14ac:dyDescent="0.2">
      <c r="A1884" t="s">
        <v>2746</v>
      </c>
      <c r="B1884" s="44">
        <v>41569</v>
      </c>
      <c r="C1884" t="s">
        <v>4</v>
      </c>
      <c r="D1884" t="s">
        <v>4084</v>
      </c>
      <c r="F1884"/>
      <c r="G1884"/>
      <c r="H1884">
        <v>5</v>
      </c>
    </row>
    <row r="1885" spans="1:8" x14ac:dyDescent="0.2">
      <c r="A1885" t="s">
        <v>2759</v>
      </c>
      <c r="B1885" s="44">
        <v>41570</v>
      </c>
      <c r="C1885" t="s">
        <v>4</v>
      </c>
      <c r="D1885" t="s">
        <v>3389</v>
      </c>
      <c r="F1885"/>
      <c r="G1885"/>
      <c r="H1885">
        <v>5</v>
      </c>
    </row>
    <row r="1886" spans="1:8" x14ac:dyDescent="0.2">
      <c r="A1886" t="s">
        <v>2800</v>
      </c>
      <c r="B1886" s="44">
        <v>41575</v>
      </c>
      <c r="C1886" t="s">
        <v>4</v>
      </c>
      <c r="D1886" t="s">
        <v>3821</v>
      </c>
      <c r="F1886"/>
      <c r="G1886"/>
      <c r="H1886">
        <v>5</v>
      </c>
    </row>
    <row r="1887" spans="1:8" x14ac:dyDescent="0.2">
      <c r="A1887" t="s">
        <v>887</v>
      </c>
      <c r="B1887" s="44">
        <v>41582</v>
      </c>
      <c r="C1887" t="s">
        <v>4</v>
      </c>
      <c r="D1887" t="s">
        <v>4085</v>
      </c>
      <c r="F1887"/>
      <c r="G1887"/>
      <c r="H1887">
        <v>5</v>
      </c>
    </row>
    <row r="1888" spans="1:8" x14ac:dyDescent="0.2">
      <c r="A1888" t="s">
        <v>897</v>
      </c>
      <c r="B1888" s="44">
        <v>41584</v>
      </c>
      <c r="C1888" t="s">
        <v>4</v>
      </c>
      <c r="D1888" t="s">
        <v>4086</v>
      </c>
      <c r="F1888"/>
      <c r="G1888"/>
      <c r="H1888">
        <v>5</v>
      </c>
    </row>
    <row r="1889" spans="1:8" x14ac:dyDescent="0.2">
      <c r="A1889" t="s">
        <v>934</v>
      </c>
      <c r="B1889" s="44">
        <v>41590</v>
      </c>
      <c r="C1889" t="s">
        <v>4</v>
      </c>
      <c r="D1889" t="s">
        <v>4048</v>
      </c>
      <c r="F1889"/>
      <c r="G1889"/>
      <c r="H1889">
        <v>5</v>
      </c>
    </row>
    <row r="1890" spans="1:8" x14ac:dyDescent="0.2">
      <c r="A1890" t="s">
        <v>2854</v>
      </c>
      <c r="B1890" s="44">
        <v>41592</v>
      </c>
      <c r="C1890" t="s">
        <v>4</v>
      </c>
      <c r="D1890" t="s">
        <v>4087</v>
      </c>
      <c r="F1890"/>
      <c r="G1890"/>
      <c r="H1890">
        <v>5</v>
      </c>
    </row>
    <row r="1891" spans="1:8" x14ac:dyDescent="0.2">
      <c r="A1891" t="s">
        <v>2853</v>
      </c>
      <c r="B1891" s="44">
        <v>41592</v>
      </c>
      <c r="C1891" t="s">
        <v>4</v>
      </c>
      <c r="D1891" t="s">
        <v>3819</v>
      </c>
      <c r="F1891"/>
      <c r="G1891"/>
      <c r="H1891">
        <v>5</v>
      </c>
    </row>
    <row r="1892" spans="1:8" x14ac:dyDescent="0.2">
      <c r="A1892" t="s">
        <v>2863</v>
      </c>
      <c r="B1892" s="44">
        <v>41593</v>
      </c>
      <c r="C1892" t="s">
        <v>4</v>
      </c>
      <c r="D1892" t="s">
        <v>4088</v>
      </c>
      <c r="F1892"/>
      <c r="G1892"/>
      <c r="H1892">
        <v>5</v>
      </c>
    </row>
    <row r="1893" spans="1:8" x14ac:dyDescent="0.2">
      <c r="A1893" t="s">
        <v>2920</v>
      </c>
      <c r="B1893" s="44">
        <v>41597</v>
      </c>
      <c r="C1893" t="s">
        <v>4</v>
      </c>
      <c r="D1893" t="s">
        <v>3820</v>
      </c>
      <c r="F1893"/>
      <c r="G1893"/>
      <c r="H1893">
        <v>5</v>
      </c>
    </row>
    <row r="1894" spans="1:8" x14ac:dyDescent="0.2">
      <c r="A1894" t="s">
        <v>2930</v>
      </c>
      <c r="B1894" s="44">
        <v>41598</v>
      </c>
      <c r="C1894" t="s">
        <v>4</v>
      </c>
      <c r="D1894" t="s">
        <v>3821</v>
      </c>
      <c r="F1894"/>
      <c r="G1894"/>
      <c r="H1894">
        <v>5</v>
      </c>
    </row>
    <row r="1895" spans="1:8" x14ac:dyDescent="0.2">
      <c r="A1895" t="s">
        <v>2933</v>
      </c>
      <c r="B1895" s="44">
        <v>41598</v>
      </c>
      <c r="C1895" t="s">
        <v>4</v>
      </c>
      <c r="D1895" t="s">
        <v>3822</v>
      </c>
      <c r="H1895">
        <v>5</v>
      </c>
    </row>
    <row r="1896" spans="1:8" x14ac:dyDescent="0.2">
      <c r="A1896" t="s">
        <v>2989</v>
      </c>
      <c r="B1896" s="44">
        <v>41604</v>
      </c>
      <c r="C1896" t="s">
        <v>4</v>
      </c>
      <c r="D1896" t="s">
        <v>4089</v>
      </c>
      <c r="F1896"/>
      <c r="G1896"/>
      <c r="H1896">
        <v>5</v>
      </c>
    </row>
    <row r="1897" spans="1:8" x14ac:dyDescent="0.2">
      <c r="A1897" t="s">
        <v>2997</v>
      </c>
      <c r="B1897" s="44">
        <v>41605</v>
      </c>
      <c r="C1897" t="s">
        <v>4</v>
      </c>
      <c r="D1897" t="s">
        <v>4090</v>
      </c>
      <c r="F1897"/>
      <c r="G1897"/>
      <c r="H1897">
        <v>5</v>
      </c>
    </row>
    <row r="1898" spans="1:8" x14ac:dyDescent="0.2">
      <c r="A1898" t="s">
        <v>927</v>
      </c>
      <c r="B1898" s="44">
        <v>41619</v>
      </c>
      <c r="C1898" t="s">
        <v>4</v>
      </c>
      <c r="D1898" t="s">
        <v>4091</v>
      </c>
      <c r="F1898"/>
      <c r="G1898"/>
      <c r="H1898">
        <v>5</v>
      </c>
    </row>
    <row r="1899" spans="1:8" x14ac:dyDescent="0.2">
      <c r="A1899" t="s">
        <v>3029</v>
      </c>
      <c r="B1899" s="44">
        <v>41621</v>
      </c>
      <c r="C1899" t="s">
        <v>4</v>
      </c>
      <c r="D1899" t="s">
        <v>4092</v>
      </c>
      <c r="F1899"/>
      <c r="G1899"/>
      <c r="H1899">
        <v>5</v>
      </c>
    </row>
    <row r="1900" spans="1:8" x14ac:dyDescent="0.2">
      <c r="A1900" t="s">
        <v>946</v>
      </c>
      <c r="B1900" s="44">
        <v>41642</v>
      </c>
      <c r="C1900" t="s">
        <v>912</v>
      </c>
      <c r="D1900" t="s">
        <v>4093</v>
      </c>
      <c r="F1900"/>
      <c r="G1900"/>
      <c r="H1900">
        <v>5</v>
      </c>
    </row>
    <row r="1901" spans="1:8" x14ac:dyDescent="0.2">
      <c r="A1901" t="s">
        <v>1367</v>
      </c>
      <c r="B1901" s="44">
        <v>41656</v>
      </c>
      <c r="C1901" t="s">
        <v>4</v>
      </c>
      <c r="D1901" t="s">
        <v>4094</v>
      </c>
      <c r="F1901"/>
      <c r="G1901"/>
      <c r="H1901">
        <v>5</v>
      </c>
    </row>
    <row r="1902" spans="1:8" x14ac:dyDescent="0.2">
      <c r="A1902" t="s">
        <v>1402</v>
      </c>
      <c r="B1902" s="44">
        <v>41660</v>
      </c>
      <c r="C1902" t="s">
        <v>4</v>
      </c>
      <c r="D1902" t="s">
        <v>4095</v>
      </c>
      <c r="F1902"/>
      <c r="G1902"/>
      <c r="H1902">
        <v>5</v>
      </c>
    </row>
    <row r="1903" spans="1:8" x14ac:dyDescent="0.2">
      <c r="A1903" t="s">
        <v>1414</v>
      </c>
      <c r="B1903" s="44">
        <v>41661</v>
      </c>
      <c r="C1903" t="s">
        <v>4</v>
      </c>
      <c r="D1903" t="s">
        <v>4096</v>
      </c>
      <c r="F1903"/>
      <c r="G1903"/>
      <c r="H1903">
        <v>5</v>
      </c>
    </row>
    <row r="1904" spans="1:8" x14ac:dyDescent="0.2">
      <c r="A1904" t="s">
        <v>1426</v>
      </c>
      <c r="B1904" s="44">
        <v>41662</v>
      </c>
      <c r="C1904" t="s">
        <v>4</v>
      </c>
      <c r="D1904" t="s">
        <v>4097</v>
      </c>
      <c r="F1904"/>
      <c r="G1904"/>
      <c r="H1904">
        <v>5</v>
      </c>
    </row>
    <row r="1905" spans="1:8" x14ac:dyDescent="0.2">
      <c r="A1905" t="s">
        <v>1467</v>
      </c>
      <c r="B1905" s="44">
        <v>41666</v>
      </c>
      <c r="C1905" t="s">
        <v>5834</v>
      </c>
      <c r="D1905" t="s">
        <v>3395</v>
      </c>
      <c r="F1905"/>
      <c r="G1905"/>
      <c r="H1905">
        <v>5</v>
      </c>
    </row>
    <row r="1906" spans="1:8" x14ac:dyDescent="0.2">
      <c r="A1906" t="s">
        <v>951</v>
      </c>
      <c r="B1906" s="44">
        <v>41674</v>
      </c>
      <c r="C1906" t="s">
        <v>4</v>
      </c>
      <c r="D1906" t="s">
        <v>3823</v>
      </c>
      <c r="F1906"/>
      <c r="G1906"/>
      <c r="H1906">
        <v>5</v>
      </c>
    </row>
    <row r="1907" spans="1:8" x14ac:dyDescent="0.2">
      <c r="A1907" t="s">
        <v>1615</v>
      </c>
      <c r="B1907" s="44">
        <v>41695</v>
      </c>
      <c r="C1907" t="s">
        <v>4</v>
      </c>
      <c r="D1907" t="s">
        <v>3824</v>
      </c>
      <c r="F1907"/>
      <c r="G1907"/>
      <c r="H1907">
        <v>5</v>
      </c>
    </row>
    <row r="1908" spans="1:8" x14ac:dyDescent="0.2">
      <c r="A1908" t="s">
        <v>1631</v>
      </c>
      <c r="B1908" s="44">
        <v>41696</v>
      </c>
      <c r="C1908" t="s">
        <v>4</v>
      </c>
      <c r="D1908" t="s">
        <v>4098</v>
      </c>
      <c r="F1908"/>
      <c r="G1908"/>
      <c r="H1908">
        <v>5</v>
      </c>
    </row>
    <row r="1909" spans="1:8" x14ac:dyDescent="0.2">
      <c r="A1909" t="s">
        <v>1642</v>
      </c>
      <c r="B1909" s="44">
        <v>41697</v>
      </c>
      <c r="C1909" t="s">
        <v>4</v>
      </c>
      <c r="D1909" t="s">
        <v>3825</v>
      </c>
      <c r="F1909"/>
      <c r="G1909"/>
      <c r="H1909">
        <v>5</v>
      </c>
    </row>
    <row r="1910" spans="1:8" x14ac:dyDescent="0.2">
      <c r="A1910" t="s">
        <v>1653</v>
      </c>
      <c r="B1910" s="44">
        <v>41698</v>
      </c>
      <c r="C1910" t="s">
        <v>4</v>
      </c>
      <c r="D1910" t="s">
        <v>4099</v>
      </c>
      <c r="F1910"/>
      <c r="G1910"/>
      <c r="H1910">
        <v>5</v>
      </c>
    </row>
    <row r="1911" spans="1:8" x14ac:dyDescent="0.2">
      <c r="A1911" t="s">
        <v>952</v>
      </c>
      <c r="B1911" s="44">
        <v>41702</v>
      </c>
      <c r="C1911" t="s">
        <v>4</v>
      </c>
      <c r="D1911" t="s">
        <v>4100</v>
      </c>
      <c r="F1911"/>
      <c r="G1911"/>
      <c r="H1911">
        <v>5</v>
      </c>
    </row>
    <row r="1912" spans="1:8" x14ac:dyDescent="0.2">
      <c r="A1912" t="s">
        <v>960</v>
      </c>
      <c r="B1912" s="44">
        <v>41703</v>
      </c>
      <c r="C1912" t="s">
        <v>4</v>
      </c>
      <c r="D1912" t="s">
        <v>4101</v>
      </c>
      <c r="F1912"/>
      <c r="G1912"/>
      <c r="H1912">
        <v>5</v>
      </c>
    </row>
    <row r="1913" spans="1:8" x14ac:dyDescent="0.2">
      <c r="A1913" t="s">
        <v>982</v>
      </c>
      <c r="B1913" s="44">
        <v>41708</v>
      </c>
      <c r="C1913" t="s">
        <v>4</v>
      </c>
      <c r="D1913" t="s">
        <v>4102</v>
      </c>
      <c r="F1913"/>
      <c r="G1913"/>
      <c r="H1913">
        <v>5</v>
      </c>
    </row>
    <row r="1914" spans="1:8" x14ac:dyDescent="0.2">
      <c r="A1914" t="s">
        <v>1695</v>
      </c>
      <c r="B1914" s="44">
        <v>41715</v>
      </c>
      <c r="C1914" t="s">
        <v>4</v>
      </c>
      <c r="D1914" t="s">
        <v>4103</v>
      </c>
      <c r="F1914"/>
      <c r="G1914"/>
      <c r="H1914">
        <v>5</v>
      </c>
    </row>
    <row r="1915" spans="1:8" x14ac:dyDescent="0.2">
      <c r="A1915" t="s">
        <v>1720</v>
      </c>
      <c r="B1915" s="44">
        <v>41718</v>
      </c>
      <c r="C1915" t="s">
        <v>4</v>
      </c>
      <c r="D1915" t="s">
        <v>4104</v>
      </c>
      <c r="F1915"/>
      <c r="G1915"/>
      <c r="H1915">
        <v>5</v>
      </c>
    </row>
    <row r="1916" spans="1:8" x14ac:dyDescent="0.2">
      <c r="A1916" t="s">
        <v>1729</v>
      </c>
      <c r="B1916" s="44">
        <v>41719</v>
      </c>
      <c r="C1916" t="s">
        <v>4</v>
      </c>
      <c r="D1916" t="s">
        <v>4105</v>
      </c>
      <c r="F1916"/>
      <c r="G1916"/>
      <c r="H1916">
        <v>5</v>
      </c>
    </row>
    <row r="1917" spans="1:8" x14ac:dyDescent="0.2">
      <c r="A1917" t="s">
        <v>1761</v>
      </c>
      <c r="B1917" s="44">
        <v>41722</v>
      </c>
      <c r="C1917" t="s">
        <v>4</v>
      </c>
      <c r="D1917" t="s">
        <v>4106</v>
      </c>
      <c r="F1917"/>
      <c r="G1917"/>
      <c r="H1917">
        <v>5</v>
      </c>
    </row>
    <row r="1918" spans="1:8" x14ac:dyDescent="0.2">
      <c r="A1918" t="s">
        <v>1796</v>
      </c>
      <c r="B1918" s="44">
        <v>41726</v>
      </c>
      <c r="C1918" t="s">
        <v>4</v>
      </c>
      <c r="D1918" t="s">
        <v>4107</v>
      </c>
      <c r="F1918"/>
      <c r="G1918"/>
      <c r="H1918">
        <v>5</v>
      </c>
    </row>
    <row r="1919" spans="1:8" x14ac:dyDescent="0.2">
      <c r="A1919" t="s">
        <v>1810</v>
      </c>
      <c r="B1919" s="44">
        <v>41729</v>
      </c>
      <c r="C1919" t="s">
        <v>4</v>
      </c>
      <c r="D1919" t="s">
        <v>3389</v>
      </c>
      <c r="F1919"/>
      <c r="G1919"/>
      <c r="H1919">
        <v>5</v>
      </c>
    </row>
    <row r="1920" spans="1:8" x14ac:dyDescent="0.2">
      <c r="A1920" t="s">
        <v>938</v>
      </c>
      <c r="B1920" s="44">
        <v>41730</v>
      </c>
      <c r="C1920" t="s">
        <v>4</v>
      </c>
      <c r="D1920" t="s">
        <v>3398</v>
      </c>
      <c r="F1920"/>
      <c r="G1920"/>
      <c r="H1920">
        <v>5</v>
      </c>
    </row>
    <row r="1921" spans="1:8" x14ac:dyDescent="0.2">
      <c r="A1921" t="s">
        <v>943</v>
      </c>
      <c r="B1921" s="44">
        <v>41731</v>
      </c>
      <c r="C1921" t="s">
        <v>4</v>
      </c>
      <c r="D1921" t="s">
        <v>4108</v>
      </c>
      <c r="F1921"/>
      <c r="G1921"/>
      <c r="H1921">
        <v>5</v>
      </c>
    </row>
    <row r="1922" spans="1:8" x14ac:dyDescent="0.2">
      <c r="A1922" t="s">
        <v>953</v>
      </c>
      <c r="B1922" s="44">
        <v>41733</v>
      </c>
      <c r="C1922" t="s">
        <v>4</v>
      </c>
      <c r="D1922" t="s">
        <v>3767</v>
      </c>
      <c r="F1922"/>
      <c r="G1922"/>
      <c r="H1922">
        <v>5</v>
      </c>
    </row>
    <row r="1923" spans="1:8" x14ac:dyDescent="0.2">
      <c r="A1923" t="s">
        <v>1910</v>
      </c>
      <c r="B1923" s="44">
        <v>41758</v>
      </c>
      <c r="C1923" t="s">
        <v>4</v>
      </c>
      <c r="D1923" t="s">
        <v>3705</v>
      </c>
      <c r="F1923"/>
      <c r="G1923"/>
      <c r="H1923">
        <v>5</v>
      </c>
    </row>
    <row r="1924" spans="1:8" x14ac:dyDescent="0.2">
      <c r="A1924" t="s">
        <v>1920</v>
      </c>
      <c r="B1924" s="44">
        <v>41759</v>
      </c>
      <c r="C1924" t="s">
        <v>4</v>
      </c>
      <c r="D1924" t="s">
        <v>3826</v>
      </c>
      <c r="F1924"/>
      <c r="G1924"/>
      <c r="H1924">
        <v>5</v>
      </c>
    </row>
    <row r="1925" spans="1:8" x14ac:dyDescent="0.2">
      <c r="A1925" t="s">
        <v>939</v>
      </c>
      <c r="B1925" s="44">
        <v>41760</v>
      </c>
      <c r="C1925" t="s">
        <v>4</v>
      </c>
      <c r="D1925" t="s">
        <v>3827</v>
      </c>
      <c r="F1925"/>
      <c r="G1925"/>
      <c r="H1925">
        <v>5</v>
      </c>
    </row>
    <row r="1926" spans="1:8" x14ac:dyDescent="0.2">
      <c r="A1926" t="s">
        <v>967</v>
      </c>
      <c r="B1926" s="44">
        <v>41766</v>
      </c>
      <c r="C1926" t="s">
        <v>4</v>
      </c>
      <c r="D1926" t="s">
        <v>3828</v>
      </c>
      <c r="F1926"/>
      <c r="G1926"/>
      <c r="H1926">
        <v>5</v>
      </c>
    </row>
    <row r="1927" spans="1:8" x14ac:dyDescent="0.2">
      <c r="A1927" t="s">
        <v>994</v>
      </c>
      <c r="B1927" s="44">
        <v>41770</v>
      </c>
      <c r="C1927" t="s">
        <v>4</v>
      </c>
      <c r="D1927" t="s">
        <v>4109</v>
      </c>
      <c r="F1927"/>
      <c r="G1927"/>
      <c r="H1927">
        <v>5</v>
      </c>
    </row>
    <row r="1928" spans="1:8" x14ac:dyDescent="0.2">
      <c r="A1928" t="s">
        <v>1927</v>
      </c>
      <c r="B1928" s="44">
        <v>41772</v>
      </c>
      <c r="C1928" t="s">
        <v>4</v>
      </c>
      <c r="D1928" t="s">
        <v>4110</v>
      </c>
      <c r="F1928"/>
      <c r="G1928"/>
      <c r="H1928">
        <v>5</v>
      </c>
    </row>
    <row r="1929" spans="1:8" x14ac:dyDescent="0.2">
      <c r="A1929" t="s">
        <v>1994</v>
      </c>
      <c r="B1929" s="44">
        <v>41779</v>
      </c>
      <c r="C1929" t="s">
        <v>4</v>
      </c>
      <c r="D1929" t="s">
        <v>4112</v>
      </c>
      <c r="F1929"/>
      <c r="G1929"/>
      <c r="H1929">
        <v>5</v>
      </c>
    </row>
    <row r="1930" spans="1:8" x14ac:dyDescent="0.2">
      <c r="A1930" t="s">
        <v>2011</v>
      </c>
      <c r="B1930" s="44">
        <v>41780</v>
      </c>
      <c r="C1930" t="s">
        <v>4</v>
      </c>
      <c r="D1930" t="s">
        <v>4113</v>
      </c>
      <c r="F1930"/>
      <c r="G1930"/>
      <c r="H1930">
        <v>5</v>
      </c>
    </row>
    <row r="1931" spans="1:8" x14ac:dyDescent="0.2">
      <c r="A1931" t="s">
        <v>948</v>
      </c>
      <c r="B1931" s="44">
        <v>41793</v>
      </c>
      <c r="C1931" t="s">
        <v>4</v>
      </c>
      <c r="D1931" t="s">
        <v>4114</v>
      </c>
      <c r="F1931"/>
      <c r="G1931"/>
      <c r="H1931">
        <v>5</v>
      </c>
    </row>
    <row r="1932" spans="1:8" x14ac:dyDescent="0.2">
      <c r="A1932" t="s">
        <v>954</v>
      </c>
      <c r="B1932" s="44">
        <v>41794</v>
      </c>
      <c r="C1932" t="s">
        <v>4</v>
      </c>
      <c r="D1932" t="s">
        <v>4115</v>
      </c>
      <c r="F1932"/>
      <c r="G1932"/>
      <c r="H1932">
        <v>5</v>
      </c>
    </row>
    <row r="1933" spans="1:8" x14ac:dyDescent="0.2">
      <c r="A1933" t="s">
        <v>955</v>
      </c>
      <c r="B1933" s="44">
        <v>41794</v>
      </c>
      <c r="C1933" t="s">
        <v>4</v>
      </c>
      <c r="D1933" t="s">
        <v>4116</v>
      </c>
      <c r="F1933"/>
      <c r="G1933"/>
      <c r="H1933">
        <v>5</v>
      </c>
    </row>
    <row r="1934" spans="1:8" x14ac:dyDescent="0.2">
      <c r="A1934" t="s">
        <v>995</v>
      </c>
      <c r="B1934" s="44">
        <v>41801</v>
      </c>
      <c r="C1934" t="s">
        <v>4</v>
      </c>
      <c r="D1934" t="s">
        <v>3829</v>
      </c>
      <c r="F1934"/>
      <c r="G1934"/>
      <c r="H1934">
        <v>5</v>
      </c>
    </row>
    <row r="1935" spans="1:8" x14ac:dyDescent="0.2">
      <c r="A1935" t="s">
        <v>2160</v>
      </c>
      <c r="B1935" s="44">
        <v>41808</v>
      </c>
      <c r="C1935" t="s">
        <v>4</v>
      </c>
      <c r="D1935" t="s">
        <v>4118</v>
      </c>
      <c r="H1935">
        <v>5</v>
      </c>
    </row>
    <row r="1936" spans="1:8" x14ac:dyDescent="0.2">
      <c r="A1936" t="s">
        <v>2161</v>
      </c>
      <c r="B1936" s="44">
        <v>41808</v>
      </c>
      <c r="C1936" t="s">
        <v>4</v>
      </c>
      <c r="D1936" t="s">
        <v>4119</v>
      </c>
      <c r="F1936"/>
      <c r="G1936"/>
      <c r="H1936">
        <v>5</v>
      </c>
    </row>
    <row r="1937" spans="1:8" x14ac:dyDescent="0.2">
      <c r="A1937" t="s">
        <v>2159</v>
      </c>
      <c r="B1937" s="44">
        <v>41808</v>
      </c>
      <c r="C1937" t="s">
        <v>4</v>
      </c>
      <c r="D1937" t="s">
        <v>4117</v>
      </c>
      <c r="F1937"/>
      <c r="G1937"/>
      <c r="H1937">
        <v>5</v>
      </c>
    </row>
    <row r="1938" spans="1:8" x14ac:dyDescent="0.2">
      <c r="A1938" t="s">
        <v>2170</v>
      </c>
      <c r="B1938" s="44">
        <v>41809</v>
      </c>
      <c r="C1938" t="s">
        <v>4</v>
      </c>
      <c r="D1938" t="s">
        <v>4120</v>
      </c>
      <c r="F1938"/>
      <c r="G1938"/>
      <c r="H1938">
        <v>5</v>
      </c>
    </row>
    <row r="1939" spans="1:8" x14ac:dyDescent="0.2">
      <c r="A1939" t="s">
        <v>944</v>
      </c>
      <c r="B1939" s="44">
        <v>41822</v>
      </c>
      <c r="C1939" t="s">
        <v>4</v>
      </c>
      <c r="D1939" t="s">
        <v>4121</v>
      </c>
      <c r="F1939"/>
      <c r="G1939"/>
      <c r="H1939">
        <v>5</v>
      </c>
    </row>
    <row r="1940" spans="1:8" x14ac:dyDescent="0.2">
      <c r="A1940" t="s">
        <v>949</v>
      </c>
      <c r="B1940" s="44">
        <v>41823</v>
      </c>
      <c r="C1940" t="s">
        <v>4</v>
      </c>
      <c r="D1940" t="s">
        <v>4122</v>
      </c>
      <c r="F1940"/>
      <c r="G1940"/>
      <c r="H1940">
        <v>5</v>
      </c>
    </row>
    <row r="1941" spans="1:8" x14ac:dyDescent="0.2">
      <c r="A1941" t="s">
        <v>977</v>
      </c>
      <c r="B1941" s="44">
        <v>41829</v>
      </c>
      <c r="C1941" t="s">
        <v>4</v>
      </c>
      <c r="D1941" t="s">
        <v>4123</v>
      </c>
      <c r="F1941"/>
      <c r="G1941"/>
      <c r="H1941">
        <v>5</v>
      </c>
    </row>
    <row r="1942" spans="1:8" x14ac:dyDescent="0.2">
      <c r="A1942" t="s">
        <v>984</v>
      </c>
      <c r="B1942" s="44">
        <v>41830</v>
      </c>
      <c r="C1942" t="s">
        <v>4</v>
      </c>
      <c r="D1942" t="s">
        <v>3400</v>
      </c>
      <c r="F1942"/>
      <c r="G1942"/>
      <c r="H1942">
        <v>5</v>
      </c>
    </row>
    <row r="1943" spans="1:8" x14ac:dyDescent="0.2">
      <c r="A1943" t="s">
        <v>2321</v>
      </c>
      <c r="B1943" s="44">
        <v>41835</v>
      </c>
      <c r="C1943" t="s">
        <v>4</v>
      </c>
      <c r="D1943" t="s">
        <v>4124</v>
      </c>
      <c r="F1943"/>
      <c r="G1943"/>
      <c r="H1943">
        <v>5</v>
      </c>
    </row>
    <row r="1944" spans="1:8" x14ac:dyDescent="0.2">
      <c r="A1944" t="s">
        <v>2340</v>
      </c>
      <c r="B1944" s="44">
        <v>41837</v>
      </c>
      <c r="C1944" t="s">
        <v>4</v>
      </c>
      <c r="D1944" t="s">
        <v>4100</v>
      </c>
      <c r="F1944"/>
      <c r="G1944"/>
      <c r="H1944">
        <v>5</v>
      </c>
    </row>
    <row r="1945" spans="1:8" x14ac:dyDescent="0.2">
      <c r="A1945" t="s">
        <v>2339</v>
      </c>
      <c r="B1945" s="44">
        <v>41837</v>
      </c>
      <c r="C1945" t="s">
        <v>4</v>
      </c>
      <c r="D1945" t="s">
        <v>4125</v>
      </c>
      <c r="F1945"/>
      <c r="G1945"/>
      <c r="H1945">
        <v>5</v>
      </c>
    </row>
    <row r="1946" spans="1:8" x14ac:dyDescent="0.2">
      <c r="A1946" t="s">
        <v>2410</v>
      </c>
      <c r="B1946" s="44">
        <v>41849</v>
      </c>
      <c r="C1946" t="s">
        <v>4</v>
      </c>
      <c r="D1946" t="s">
        <v>4126</v>
      </c>
      <c r="F1946"/>
      <c r="G1946"/>
      <c r="H1946">
        <v>5</v>
      </c>
    </row>
    <row r="1947" spans="1:8" x14ac:dyDescent="0.2">
      <c r="A1947" t="s">
        <v>2445</v>
      </c>
      <c r="B1947" s="44">
        <v>41874</v>
      </c>
      <c r="C1947" t="s">
        <v>4</v>
      </c>
      <c r="D1947" t="s">
        <v>4127</v>
      </c>
      <c r="F1947"/>
      <c r="G1947"/>
      <c r="H1947">
        <v>5</v>
      </c>
    </row>
    <row r="1948" spans="1:8" x14ac:dyDescent="0.2">
      <c r="A1948" t="s">
        <v>2636</v>
      </c>
      <c r="B1948" s="44">
        <v>41912</v>
      </c>
      <c r="C1948" t="s">
        <v>4</v>
      </c>
      <c r="D1948" t="s">
        <v>4128</v>
      </c>
      <c r="F1948"/>
      <c r="G1948"/>
      <c r="H1948">
        <v>5</v>
      </c>
    </row>
    <row r="1949" spans="1:8" x14ac:dyDescent="0.2">
      <c r="A1949" t="s">
        <v>941</v>
      </c>
      <c r="B1949" s="44">
        <v>41913</v>
      </c>
      <c r="C1949" t="s">
        <v>4</v>
      </c>
      <c r="D1949" t="s">
        <v>4129</v>
      </c>
      <c r="F1949"/>
      <c r="G1949"/>
      <c r="H1949">
        <v>5</v>
      </c>
    </row>
    <row r="1950" spans="1:8" x14ac:dyDescent="0.2">
      <c r="A1950" t="s">
        <v>942</v>
      </c>
      <c r="B1950" s="44">
        <v>41913</v>
      </c>
      <c r="C1950" t="s">
        <v>4</v>
      </c>
      <c r="D1950" t="s">
        <v>4130</v>
      </c>
      <c r="F1950"/>
      <c r="G1950"/>
      <c r="H1950">
        <v>5</v>
      </c>
    </row>
    <row r="1951" spans="1:8" x14ac:dyDescent="0.2">
      <c r="A1951" t="s">
        <v>989</v>
      </c>
      <c r="B1951" s="44">
        <v>41922</v>
      </c>
      <c r="C1951" t="s">
        <v>4</v>
      </c>
      <c r="D1951" t="s">
        <v>4132</v>
      </c>
      <c r="F1951"/>
      <c r="G1951"/>
      <c r="H1951">
        <v>5</v>
      </c>
    </row>
    <row r="1952" spans="1:8" x14ac:dyDescent="0.2">
      <c r="A1952" t="s">
        <v>988</v>
      </c>
      <c r="B1952" s="44">
        <v>41922</v>
      </c>
      <c r="C1952" t="s">
        <v>4</v>
      </c>
      <c r="D1952" t="s">
        <v>3402</v>
      </c>
      <c r="F1952"/>
      <c r="G1952"/>
      <c r="H1952">
        <v>5</v>
      </c>
    </row>
    <row r="1953" spans="1:8" x14ac:dyDescent="0.2">
      <c r="A1953" t="s">
        <v>990</v>
      </c>
      <c r="B1953" s="44">
        <v>41922</v>
      </c>
      <c r="C1953" t="s">
        <v>4</v>
      </c>
      <c r="D1953" t="s">
        <v>3831</v>
      </c>
      <c r="F1953"/>
      <c r="G1953"/>
      <c r="H1953">
        <v>5</v>
      </c>
    </row>
    <row r="1954" spans="1:8" x14ac:dyDescent="0.2">
      <c r="A1954" t="s">
        <v>997</v>
      </c>
      <c r="B1954" s="44">
        <v>41923</v>
      </c>
      <c r="C1954" t="s">
        <v>4</v>
      </c>
      <c r="D1954" t="s">
        <v>4133</v>
      </c>
      <c r="F1954"/>
      <c r="G1954"/>
      <c r="H1954">
        <v>5</v>
      </c>
    </row>
    <row r="1955" spans="1:8" x14ac:dyDescent="0.2">
      <c r="A1955" t="s">
        <v>1003</v>
      </c>
      <c r="B1955" s="44">
        <v>41924</v>
      </c>
      <c r="C1955" t="s">
        <v>4</v>
      </c>
      <c r="D1955" t="s">
        <v>3832</v>
      </c>
      <c r="F1955"/>
      <c r="G1955"/>
      <c r="H1955">
        <v>5</v>
      </c>
    </row>
    <row r="1956" spans="1:8" x14ac:dyDescent="0.2">
      <c r="A1956" t="s">
        <v>2671</v>
      </c>
      <c r="B1956" s="44">
        <v>41928</v>
      </c>
      <c r="C1956" t="s">
        <v>4</v>
      </c>
      <c r="D1956" t="s">
        <v>3292</v>
      </c>
      <c r="F1956"/>
      <c r="G1956"/>
      <c r="H1956">
        <v>5</v>
      </c>
    </row>
    <row r="1957" spans="1:8" x14ac:dyDescent="0.2">
      <c r="A1957" t="s">
        <v>2680</v>
      </c>
      <c r="B1957" s="44">
        <v>41929</v>
      </c>
      <c r="C1957" t="s">
        <v>4</v>
      </c>
      <c r="D1957" t="s">
        <v>4134</v>
      </c>
      <c r="F1957"/>
      <c r="G1957"/>
      <c r="H1957">
        <v>5</v>
      </c>
    </row>
    <row r="1958" spans="1:8" x14ac:dyDescent="0.2">
      <c r="A1958" t="s">
        <v>2724</v>
      </c>
      <c r="B1958" s="44">
        <v>41932</v>
      </c>
      <c r="C1958" t="s">
        <v>4</v>
      </c>
      <c r="D1958" t="s">
        <v>3827</v>
      </c>
      <c r="F1958"/>
      <c r="G1958"/>
      <c r="H1958">
        <v>5</v>
      </c>
    </row>
    <row r="1959" spans="1:8" x14ac:dyDescent="0.2">
      <c r="A1959" t="s">
        <v>2760</v>
      </c>
      <c r="B1959" s="44">
        <v>41935</v>
      </c>
      <c r="C1959" t="s">
        <v>4</v>
      </c>
      <c r="D1959" t="s">
        <v>4135</v>
      </c>
      <c r="F1959"/>
      <c r="G1959"/>
      <c r="H1959">
        <v>5</v>
      </c>
    </row>
    <row r="1960" spans="1:8" x14ac:dyDescent="0.2">
      <c r="A1960" t="s">
        <v>2796</v>
      </c>
      <c r="B1960" s="44">
        <v>41939</v>
      </c>
      <c r="C1960" t="s">
        <v>4</v>
      </c>
      <c r="D1960" t="s">
        <v>4136</v>
      </c>
      <c r="F1960"/>
      <c r="G1960"/>
      <c r="H1960">
        <v>5</v>
      </c>
    </row>
    <row r="1961" spans="1:8" x14ac:dyDescent="0.2">
      <c r="A1961" t="s">
        <v>2801</v>
      </c>
      <c r="B1961" s="44">
        <v>41940</v>
      </c>
      <c r="C1961" t="s">
        <v>4</v>
      </c>
      <c r="D1961" t="s">
        <v>4137</v>
      </c>
      <c r="F1961"/>
      <c r="G1961"/>
      <c r="H1961">
        <v>5</v>
      </c>
    </row>
    <row r="1962" spans="1:8" x14ac:dyDescent="0.2">
      <c r="A1962" t="s">
        <v>2812</v>
      </c>
      <c r="B1962" s="44">
        <v>41941</v>
      </c>
      <c r="C1962" t="s">
        <v>4</v>
      </c>
      <c r="D1962" t="s">
        <v>4138</v>
      </c>
      <c r="F1962"/>
      <c r="G1962"/>
      <c r="H1962">
        <v>5</v>
      </c>
    </row>
    <row r="1963" spans="1:8" x14ac:dyDescent="0.2">
      <c r="A1963" t="s">
        <v>957</v>
      </c>
      <c r="B1963" s="44">
        <v>41947</v>
      </c>
      <c r="C1963" t="s">
        <v>4</v>
      </c>
      <c r="D1963" t="s">
        <v>4139</v>
      </c>
      <c r="F1963"/>
      <c r="G1963"/>
      <c r="H1963">
        <v>5</v>
      </c>
    </row>
    <row r="1964" spans="1:8" x14ac:dyDescent="0.2">
      <c r="A1964" t="s">
        <v>2892</v>
      </c>
      <c r="B1964" s="44">
        <v>41960</v>
      </c>
      <c r="C1964" t="s">
        <v>4</v>
      </c>
      <c r="D1964" t="s">
        <v>4073</v>
      </c>
      <c r="F1964"/>
      <c r="G1964"/>
      <c r="H1964">
        <v>5</v>
      </c>
    </row>
    <row r="1965" spans="1:8" x14ac:dyDescent="0.2">
      <c r="A1965" t="s">
        <v>2900</v>
      </c>
      <c r="B1965" s="44">
        <v>41961</v>
      </c>
      <c r="C1965" t="s">
        <v>4</v>
      </c>
      <c r="D1965" t="s">
        <v>4130</v>
      </c>
      <c r="F1965"/>
      <c r="G1965"/>
      <c r="H1965">
        <v>5</v>
      </c>
    </row>
    <row r="1966" spans="1:8" x14ac:dyDescent="0.2">
      <c r="A1966" t="s">
        <v>2922</v>
      </c>
      <c r="B1966" s="44">
        <v>41962</v>
      </c>
      <c r="C1966" t="s">
        <v>4</v>
      </c>
      <c r="D1966" t="s">
        <v>4140</v>
      </c>
      <c r="F1966"/>
      <c r="G1966"/>
      <c r="H1966">
        <v>5</v>
      </c>
    </row>
    <row r="1967" spans="1:8" x14ac:dyDescent="0.2">
      <c r="A1967" t="s">
        <v>2934</v>
      </c>
      <c r="B1967" s="44">
        <v>41963</v>
      </c>
      <c r="C1967" t="s">
        <v>4</v>
      </c>
      <c r="D1967" t="s">
        <v>4141</v>
      </c>
      <c r="F1967"/>
      <c r="G1967"/>
      <c r="H1967">
        <v>5</v>
      </c>
    </row>
    <row r="1968" spans="1:8" x14ac:dyDescent="0.2">
      <c r="A1968" t="s">
        <v>2942</v>
      </c>
      <c r="B1968" s="44">
        <v>41964</v>
      </c>
      <c r="C1968" t="s">
        <v>4</v>
      </c>
      <c r="D1968" t="s">
        <v>4142</v>
      </c>
      <c r="F1968"/>
      <c r="G1968"/>
      <c r="H1968">
        <v>5</v>
      </c>
    </row>
    <row r="1969" spans="1:8" x14ac:dyDescent="0.2">
      <c r="A1969" t="s">
        <v>2974</v>
      </c>
      <c r="B1969" s="44">
        <v>41967</v>
      </c>
      <c r="C1969" t="s">
        <v>4</v>
      </c>
      <c r="D1969" t="s">
        <v>3190</v>
      </c>
      <c r="F1969"/>
      <c r="G1969"/>
      <c r="H1969">
        <v>5</v>
      </c>
    </row>
    <row r="1970" spans="1:8" x14ac:dyDescent="0.2">
      <c r="A1970" t="s">
        <v>959</v>
      </c>
      <c r="B1970" s="44">
        <v>41977</v>
      </c>
      <c r="C1970" t="s">
        <v>4</v>
      </c>
      <c r="D1970" t="s">
        <v>4143</v>
      </c>
      <c r="F1970"/>
      <c r="G1970"/>
      <c r="H1970">
        <v>5</v>
      </c>
    </row>
    <row r="1971" spans="1:8" x14ac:dyDescent="0.2">
      <c r="A1971" t="s">
        <v>974</v>
      </c>
      <c r="B1971" s="44">
        <v>41981</v>
      </c>
      <c r="C1971" t="s">
        <v>4</v>
      </c>
      <c r="D1971" t="s">
        <v>3833</v>
      </c>
      <c r="F1971"/>
      <c r="G1971"/>
      <c r="H1971">
        <v>5</v>
      </c>
    </row>
    <row r="1972" spans="1:8" x14ac:dyDescent="0.2">
      <c r="A1972" t="s">
        <v>975</v>
      </c>
      <c r="B1972" s="44">
        <v>41981</v>
      </c>
      <c r="C1972" t="s">
        <v>4</v>
      </c>
      <c r="D1972" t="s">
        <v>3783</v>
      </c>
      <c r="F1972"/>
      <c r="G1972"/>
      <c r="H1972">
        <v>5</v>
      </c>
    </row>
    <row r="1973" spans="1:8" x14ac:dyDescent="0.2">
      <c r="A1973" t="s">
        <v>992</v>
      </c>
      <c r="B1973" s="44">
        <v>41983</v>
      </c>
      <c r="C1973" t="s">
        <v>4</v>
      </c>
      <c r="D1973" t="s">
        <v>4144</v>
      </c>
      <c r="F1973"/>
      <c r="G1973"/>
      <c r="H1973">
        <v>5</v>
      </c>
    </row>
    <row r="1974" spans="1:8" x14ac:dyDescent="0.2">
      <c r="A1974" t="s">
        <v>1392</v>
      </c>
      <c r="B1974" s="44">
        <v>42024</v>
      </c>
      <c r="C1974" t="s">
        <v>4</v>
      </c>
      <c r="D1974" t="s">
        <v>4145</v>
      </c>
      <c r="F1974"/>
      <c r="G1974"/>
      <c r="H1974">
        <v>5</v>
      </c>
    </row>
    <row r="1975" spans="1:8" x14ac:dyDescent="0.2">
      <c r="A1975" t="s">
        <v>1404</v>
      </c>
      <c r="B1975" s="44">
        <v>42025</v>
      </c>
      <c r="C1975" t="s">
        <v>4</v>
      </c>
      <c r="D1975" t="s">
        <v>4146</v>
      </c>
      <c r="F1975"/>
      <c r="G1975"/>
      <c r="H1975">
        <v>5</v>
      </c>
    </row>
    <row r="1976" spans="1:8" x14ac:dyDescent="0.2">
      <c r="A1976" t="s">
        <v>1416</v>
      </c>
      <c r="B1976" s="44">
        <v>42026</v>
      </c>
      <c r="C1976" t="s">
        <v>4</v>
      </c>
      <c r="D1976" t="s">
        <v>3785</v>
      </c>
      <c r="F1976"/>
      <c r="G1976"/>
      <c r="H1976">
        <v>5</v>
      </c>
    </row>
    <row r="1977" spans="1:8" x14ac:dyDescent="0.2">
      <c r="A1977" t="s">
        <v>1415</v>
      </c>
      <c r="B1977" s="44">
        <v>42026</v>
      </c>
      <c r="C1977" t="s">
        <v>4</v>
      </c>
      <c r="D1977" t="s">
        <v>4030</v>
      </c>
      <c r="F1977"/>
      <c r="G1977"/>
      <c r="H1977">
        <v>5</v>
      </c>
    </row>
    <row r="1978" spans="1:8" x14ac:dyDescent="0.2">
      <c r="A1978" t="s">
        <v>1428</v>
      </c>
      <c r="B1978" s="44">
        <v>42027</v>
      </c>
      <c r="C1978" t="s">
        <v>4</v>
      </c>
      <c r="D1978" t="s">
        <v>4147</v>
      </c>
      <c r="F1978"/>
      <c r="G1978"/>
      <c r="H1978">
        <v>5</v>
      </c>
    </row>
    <row r="1979" spans="1:8" x14ac:dyDescent="0.2">
      <c r="A1979" t="s">
        <v>1013</v>
      </c>
      <c r="B1979" s="44">
        <v>42038</v>
      </c>
      <c r="C1979" t="s">
        <v>4</v>
      </c>
      <c r="D1979" t="s">
        <v>4432</v>
      </c>
      <c r="F1979"/>
      <c r="G1979"/>
      <c r="H1979">
        <v>5</v>
      </c>
    </row>
    <row r="1980" spans="1:8" x14ac:dyDescent="0.2">
      <c r="A1980" t="s">
        <v>1050</v>
      </c>
      <c r="B1980" s="44">
        <v>42046</v>
      </c>
      <c r="C1980" t="s">
        <v>4</v>
      </c>
      <c r="D1980" t="s">
        <v>4148</v>
      </c>
      <c r="F1980"/>
      <c r="G1980"/>
      <c r="H1980">
        <v>5</v>
      </c>
    </row>
    <row r="1981" spans="1:8" x14ac:dyDescent="0.2">
      <c r="A1981" t="s">
        <v>1070</v>
      </c>
      <c r="B1981" s="44">
        <v>42047</v>
      </c>
      <c r="C1981" t="s">
        <v>4</v>
      </c>
      <c r="D1981" t="s">
        <v>4149</v>
      </c>
      <c r="F1981"/>
      <c r="G1981"/>
      <c r="H1981">
        <v>5</v>
      </c>
    </row>
    <row r="1982" spans="1:8" x14ac:dyDescent="0.2">
      <c r="A1982" t="s">
        <v>1528</v>
      </c>
      <c r="B1982" s="44">
        <v>42052</v>
      </c>
      <c r="C1982" t="s">
        <v>4</v>
      </c>
      <c r="D1982" t="s">
        <v>4150</v>
      </c>
      <c r="F1982"/>
      <c r="G1982"/>
      <c r="H1982">
        <v>5</v>
      </c>
    </row>
    <row r="1983" spans="1:8" x14ac:dyDescent="0.2">
      <c r="A1983" t="s">
        <v>1599</v>
      </c>
      <c r="B1983" s="44">
        <v>42059</v>
      </c>
      <c r="C1983" t="s">
        <v>4</v>
      </c>
      <c r="D1983" t="s">
        <v>4151</v>
      </c>
      <c r="F1983"/>
      <c r="G1983"/>
      <c r="H1983">
        <v>5</v>
      </c>
    </row>
    <row r="1984" spans="1:8" x14ac:dyDescent="0.2">
      <c r="A1984" t="s">
        <v>1600</v>
      </c>
      <c r="B1984" s="44">
        <v>42059</v>
      </c>
      <c r="C1984" t="s">
        <v>4</v>
      </c>
      <c r="D1984" t="s">
        <v>4152</v>
      </c>
      <c r="H1984">
        <v>5</v>
      </c>
    </row>
    <row r="1985" spans="1:8" x14ac:dyDescent="0.2">
      <c r="A1985" t="s">
        <v>1617</v>
      </c>
      <c r="B1985" s="44">
        <v>42060</v>
      </c>
      <c r="C1985" t="s">
        <v>4</v>
      </c>
      <c r="D1985" t="s">
        <v>4153</v>
      </c>
      <c r="F1985"/>
      <c r="G1985"/>
      <c r="H1985">
        <v>5</v>
      </c>
    </row>
    <row r="1986" spans="1:8" x14ac:dyDescent="0.2">
      <c r="A1986" t="s">
        <v>1619</v>
      </c>
      <c r="B1986" s="44">
        <v>42060</v>
      </c>
      <c r="C1986" t="s">
        <v>4</v>
      </c>
      <c r="D1986" t="s">
        <v>4155</v>
      </c>
      <c r="F1986"/>
      <c r="G1986"/>
      <c r="H1986">
        <v>5</v>
      </c>
    </row>
    <row r="1987" spans="1:8" x14ac:dyDescent="0.2">
      <c r="A1987" t="s">
        <v>1618</v>
      </c>
      <c r="B1987" s="44">
        <v>42060</v>
      </c>
      <c r="C1987" t="s">
        <v>4</v>
      </c>
      <c r="D1987" t="s">
        <v>4154</v>
      </c>
      <c r="F1987"/>
      <c r="G1987"/>
      <c r="H1987">
        <v>5</v>
      </c>
    </row>
    <row r="1988" spans="1:8" x14ac:dyDescent="0.2">
      <c r="A1988" t="s">
        <v>1633</v>
      </c>
      <c r="B1988" s="44">
        <v>42061</v>
      </c>
      <c r="C1988" t="s">
        <v>4</v>
      </c>
      <c r="D1988" t="s">
        <v>4156</v>
      </c>
      <c r="F1988"/>
      <c r="G1988"/>
      <c r="H1988">
        <v>5</v>
      </c>
    </row>
    <row r="1989" spans="1:8" x14ac:dyDescent="0.2">
      <c r="A1989" t="s">
        <v>1015</v>
      </c>
      <c r="B1989" s="44">
        <v>42067</v>
      </c>
      <c r="C1989" t="s">
        <v>4</v>
      </c>
      <c r="D1989" t="s">
        <v>3405</v>
      </c>
      <c r="F1989"/>
      <c r="G1989"/>
      <c r="H1989">
        <v>5</v>
      </c>
    </row>
    <row r="1990" spans="1:8" x14ac:dyDescent="0.2">
      <c r="A1990" t="s">
        <v>1034</v>
      </c>
      <c r="B1990" s="44">
        <v>42072</v>
      </c>
      <c r="C1990" t="s">
        <v>4</v>
      </c>
      <c r="D1990" t="s">
        <v>4157</v>
      </c>
      <c r="F1990"/>
      <c r="G1990"/>
      <c r="H1990">
        <v>5</v>
      </c>
    </row>
    <row r="1991" spans="1:8" x14ac:dyDescent="0.2">
      <c r="A1991" t="s">
        <v>1041</v>
      </c>
      <c r="B1991" s="44">
        <v>42073</v>
      </c>
      <c r="C1991" t="s">
        <v>4</v>
      </c>
      <c r="D1991" t="s">
        <v>4158</v>
      </c>
      <c r="F1991"/>
      <c r="G1991"/>
      <c r="H1991">
        <v>5</v>
      </c>
    </row>
    <row r="1992" spans="1:8" x14ac:dyDescent="0.2">
      <c r="A1992" t="s">
        <v>1042</v>
      </c>
      <c r="B1992" s="44">
        <v>42073</v>
      </c>
      <c r="C1992" t="s">
        <v>4</v>
      </c>
      <c r="D1992" t="s">
        <v>4159</v>
      </c>
      <c r="F1992"/>
      <c r="G1992"/>
      <c r="H1992">
        <v>5</v>
      </c>
    </row>
    <row r="1993" spans="1:8" x14ac:dyDescent="0.2">
      <c r="A1993" t="s">
        <v>1051</v>
      </c>
      <c r="B1993" s="44">
        <v>42074</v>
      </c>
      <c r="C1993" t="s">
        <v>4</v>
      </c>
      <c r="D1993" t="s">
        <v>4160</v>
      </c>
      <c r="F1993"/>
      <c r="G1993"/>
      <c r="H1993">
        <v>5</v>
      </c>
    </row>
    <row r="1994" spans="1:8" x14ac:dyDescent="0.2">
      <c r="A1994" t="s">
        <v>1052</v>
      </c>
      <c r="B1994" s="44">
        <v>42074</v>
      </c>
      <c r="C1994" t="s">
        <v>4</v>
      </c>
      <c r="D1994" t="s">
        <v>4161</v>
      </c>
      <c r="F1994"/>
      <c r="G1994"/>
      <c r="H1994">
        <v>5</v>
      </c>
    </row>
    <row r="1995" spans="1:8" x14ac:dyDescent="0.2">
      <c r="A1995" t="s">
        <v>1668</v>
      </c>
      <c r="B1995" s="44">
        <v>42076</v>
      </c>
      <c r="C1995" t="s">
        <v>4</v>
      </c>
      <c r="D1995" t="s">
        <v>4162</v>
      </c>
      <c r="F1995"/>
      <c r="G1995"/>
      <c r="H1995">
        <v>5</v>
      </c>
    </row>
    <row r="1996" spans="1:8" x14ac:dyDescent="0.2">
      <c r="A1996" t="s">
        <v>1696</v>
      </c>
      <c r="B1996" s="44">
        <v>42080</v>
      </c>
      <c r="C1996" t="s">
        <v>4</v>
      </c>
      <c r="D1996" t="s">
        <v>3834</v>
      </c>
      <c r="F1996"/>
      <c r="G1996"/>
      <c r="H1996">
        <v>5</v>
      </c>
    </row>
    <row r="1997" spans="1:8" x14ac:dyDescent="0.2">
      <c r="A1997" t="s">
        <v>1704</v>
      </c>
      <c r="B1997" s="44">
        <v>42081</v>
      </c>
      <c r="C1997" t="s">
        <v>4</v>
      </c>
      <c r="D1997" t="s">
        <v>4163</v>
      </c>
      <c r="F1997"/>
      <c r="G1997"/>
      <c r="H1997">
        <v>5</v>
      </c>
    </row>
    <row r="1998" spans="1:8" x14ac:dyDescent="0.2">
      <c r="A1998" t="s">
        <v>1710</v>
      </c>
      <c r="B1998" s="44">
        <v>42082</v>
      </c>
      <c r="C1998" t="s">
        <v>4</v>
      </c>
      <c r="D1998" t="s">
        <v>4164</v>
      </c>
      <c r="F1998"/>
      <c r="G1998"/>
      <c r="H1998">
        <v>5</v>
      </c>
    </row>
    <row r="1999" spans="1:8" x14ac:dyDescent="0.2">
      <c r="A1999" t="s">
        <v>1792</v>
      </c>
      <c r="B1999" s="44">
        <v>42090</v>
      </c>
      <c r="C1999" t="s">
        <v>4</v>
      </c>
      <c r="D1999" t="s">
        <v>4126</v>
      </c>
      <c r="F1999"/>
      <c r="G1999"/>
      <c r="H1999">
        <v>5</v>
      </c>
    </row>
    <row r="2000" spans="1:8" x14ac:dyDescent="0.2">
      <c r="A2000" t="s">
        <v>1789</v>
      </c>
      <c r="B2000" s="44">
        <v>42090</v>
      </c>
      <c r="C2000" t="s">
        <v>4</v>
      </c>
      <c r="D2000" t="s">
        <v>4165</v>
      </c>
      <c r="F2000"/>
      <c r="G2000"/>
      <c r="H2000">
        <v>5</v>
      </c>
    </row>
    <row r="2001" spans="1:8" x14ac:dyDescent="0.2">
      <c r="A2001" t="s">
        <v>1984</v>
      </c>
      <c r="B2001" s="44">
        <v>42143</v>
      </c>
      <c r="C2001" t="s">
        <v>4</v>
      </c>
      <c r="D2001" t="s">
        <v>3835</v>
      </c>
      <c r="F2001"/>
      <c r="G2001"/>
      <c r="H2001">
        <v>5</v>
      </c>
    </row>
    <row r="2002" spans="1:8" x14ac:dyDescent="0.2">
      <c r="A2002" t="s">
        <v>1985</v>
      </c>
      <c r="B2002" s="44">
        <v>42143</v>
      </c>
      <c r="C2002" t="s">
        <v>4</v>
      </c>
      <c r="D2002" t="s">
        <v>3407</v>
      </c>
      <c r="F2002"/>
      <c r="G2002"/>
      <c r="H2002">
        <v>5</v>
      </c>
    </row>
    <row r="2003" spans="1:8" x14ac:dyDescent="0.2">
      <c r="A2003" t="s">
        <v>2012</v>
      </c>
      <c r="B2003" s="44">
        <v>42145</v>
      </c>
      <c r="C2003" t="s">
        <v>4</v>
      </c>
      <c r="D2003" t="s">
        <v>3392</v>
      </c>
      <c r="F2003"/>
      <c r="G2003"/>
      <c r="H2003">
        <v>5</v>
      </c>
    </row>
    <row r="2004" spans="1:8" x14ac:dyDescent="0.2">
      <c r="A2004" t="s">
        <v>2013</v>
      </c>
      <c r="B2004" s="44">
        <v>42145</v>
      </c>
      <c r="C2004" t="s">
        <v>4</v>
      </c>
      <c r="D2004" t="s">
        <v>3783</v>
      </c>
      <c r="F2004"/>
      <c r="G2004"/>
      <c r="H2004">
        <v>5</v>
      </c>
    </row>
    <row r="2005" spans="1:8" x14ac:dyDescent="0.2">
      <c r="A2005" t="s">
        <v>2022</v>
      </c>
      <c r="B2005" s="44">
        <v>42146</v>
      </c>
      <c r="C2005" t="s">
        <v>4</v>
      </c>
      <c r="D2005" t="s">
        <v>3843</v>
      </c>
      <c r="F2005"/>
      <c r="G2005"/>
      <c r="H2005">
        <v>5</v>
      </c>
    </row>
    <row r="2006" spans="1:8" x14ac:dyDescent="0.2">
      <c r="A2006" t="s">
        <v>1024</v>
      </c>
      <c r="B2006" s="44">
        <v>42162</v>
      </c>
      <c r="C2006" t="s">
        <v>4</v>
      </c>
      <c r="D2006" t="s">
        <v>1025</v>
      </c>
      <c r="F2006"/>
      <c r="G2006"/>
      <c r="H2006">
        <v>5</v>
      </c>
    </row>
    <row r="2007" spans="1:8" x14ac:dyDescent="0.2">
      <c r="A2007" t="s">
        <v>2110</v>
      </c>
      <c r="B2007" s="44">
        <v>42170</v>
      </c>
      <c r="C2007" t="s">
        <v>4</v>
      </c>
      <c r="D2007" t="s">
        <v>3836</v>
      </c>
      <c r="H2007">
        <v>5</v>
      </c>
    </row>
    <row r="2008" spans="1:8" x14ac:dyDescent="0.2">
      <c r="A2008" t="s">
        <v>2219</v>
      </c>
      <c r="B2008" s="44">
        <v>42177</v>
      </c>
      <c r="C2008" t="s">
        <v>4</v>
      </c>
      <c r="D2008" t="s">
        <v>4166</v>
      </c>
      <c r="F2008"/>
      <c r="G2008"/>
      <c r="H2008">
        <v>5</v>
      </c>
    </row>
    <row r="2009" spans="1:8" x14ac:dyDescent="0.2">
      <c r="A2009" t="s">
        <v>2247</v>
      </c>
      <c r="B2009" s="44">
        <v>42180</v>
      </c>
      <c r="C2009" t="s">
        <v>4</v>
      </c>
      <c r="D2009" t="s">
        <v>3837</v>
      </c>
      <c r="F2009"/>
      <c r="G2009"/>
      <c r="H2009">
        <v>5</v>
      </c>
    </row>
    <row r="2010" spans="1:8" x14ac:dyDescent="0.2">
      <c r="A2010" t="s">
        <v>2259</v>
      </c>
      <c r="B2010" s="44">
        <v>42181</v>
      </c>
      <c r="C2010" t="s">
        <v>4</v>
      </c>
      <c r="D2010" t="s">
        <v>4167</v>
      </c>
      <c r="F2010"/>
      <c r="G2010"/>
      <c r="H2010">
        <v>5</v>
      </c>
    </row>
    <row r="2011" spans="1:8" x14ac:dyDescent="0.2">
      <c r="A2011" t="s">
        <v>2277</v>
      </c>
      <c r="B2011" s="44">
        <v>42183</v>
      </c>
      <c r="C2011" t="s">
        <v>4</v>
      </c>
      <c r="D2011" t="s">
        <v>1025</v>
      </c>
      <c r="F2011"/>
      <c r="G2011"/>
      <c r="H2011">
        <v>5</v>
      </c>
    </row>
    <row r="2012" spans="1:8" x14ac:dyDescent="0.2">
      <c r="A2012" t="s">
        <v>2295</v>
      </c>
      <c r="B2012" s="44">
        <v>42185</v>
      </c>
      <c r="C2012" t="s">
        <v>4</v>
      </c>
      <c r="D2012" t="s">
        <v>4470</v>
      </c>
      <c r="F2012"/>
      <c r="G2012"/>
      <c r="H2012">
        <v>5</v>
      </c>
    </row>
    <row r="2013" spans="1:8" x14ac:dyDescent="0.2">
      <c r="A2013" t="s">
        <v>1012</v>
      </c>
      <c r="B2013" s="44">
        <v>42187</v>
      </c>
      <c r="C2013" t="s">
        <v>4</v>
      </c>
      <c r="D2013" t="s">
        <v>4167</v>
      </c>
      <c r="F2013"/>
      <c r="G2013"/>
      <c r="H2013">
        <v>5</v>
      </c>
    </row>
    <row r="2014" spans="1:8" x14ac:dyDescent="0.2">
      <c r="A2014" t="s">
        <v>2314</v>
      </c>
      <c r="B2014" s="44">
        <v>42199</v>
      </c>
      <c r="C2014" t="s">
        <v>4</v>
      </c>
      <c r="D2014" t="s">
        <v>3727</v>
      </c>
      <c r="F2014"/>
      <c r="G2014"/>
      <c r="H2014">
        <v>5</v>
      </c>
    </row>
    <row r="2015" spans="1:8" x14ac:dyDescent="0.2">
      <c r="A2015" t="s">
        <v>2313</v>
      </c>
      <c r="B2015" s="44">
        <v>42199</v>
      </c>
      <c r="C2015" t="s">
        <v>4</v>
      </c>
      <c r="D2015" t="s">
        <v>4168</v>
      </c>
      <c r="F2015"/>
      <c r="G2015"/>
      <c r="H2015">
        <v>5</v>
      </c>
    </row>
    <row r="2016" spans="1:8" x14ac:dyDescent="0.2">
      <c r="A2016" t="s">
        <v>2407</v>
      </c>
      <c r="B2016" s="44">
        <v>42213</v>
      </c>
      <c r="C2016" t="s">
        <v>4</v>
      </c>
      <c r="D2016" t="s">
        <v>4169</v>
      </c>
      <c r="F2016"/>
      <c r="G2016"/>
      <c r="H2016">
        <v>5</v>
      </c>
    </row>
    <row r="2017" spans="1:8" x14ac:dyDescent="0.2">
      <c r="A2017" t="s">
        <v>2408</v>
      </c>
      <c r="B2017" s="44">
        <v>42213</v>
      </c>
      <c r="C2017" t="s">
        <v>4</v>
      </c>
      <c r="D2017" t="s">
        <v>4110</v>
      </c>
      <c r="F2017"/>
      <c r="G2017"/>
      <c r="H2017">
        <v>5</v>
      </c>
    </row>
    <row r="2018" spans="1:8" x14ac:dyDescent="0.2">
      <c r="A2018" t="s">
        <v>2458</v>
      </c>
      <c r="B2018" s="44">
        <v>42244</v>
      </c>
      <c r="C2018" t="s">
        <v>4</v>
      </c>
      <c r="D2018" t="s">
        <v>3838</v>
      </c>
      <c r="F2018"/>
      <c r="G2018"/>
      <c r="H2018">
        <v>5</v>
      </c>
    </row>
    <row r="2019" spans="1:8" x14ac:dyDescent="0.2">
      <c r="A2019" t="s">
        <v>1026</v>
      </c>
      <c r="B2019" s="44">
        <v>42254</v>
      </c>
      <c r="C2019" t="s">
        <v>5834</v>
      </c>
      <c r="D2019" t="s">
        <v>4170</v>
      </c>
      <c r="F2019"/>
      <c r="G2019"/>
      <c r="H2019">
        <v>5</v>
      </c>
    </row>
    <row r="2020" spans="1:8" x14ac:dyDescent="0.2">
      <c r="A2020" t="s">
        <v>1037</v>
      </c>
      <c r="B2020" s="44">
        <v>42256</v>
      </c>
      <c r="C2020" t="s">
        <v>4</v>
      </c>
      <c r="D2020" t="s">
        <v>3839</v>
      </c>
      <c r="F2020"/>
      <c r="G2020"/>
      <c r="H2020">
        <v>5</v>
      </c>
    </row>
    <row r="2021" spans="1:8" x14ac:dyDescent="0.2">
      <c r="A2021" t="s">
        <v>1055</v>
      </c>
      <c r="B2021" s="44">
        <v>42258</v>
      </c>
      <c r="C2021" t="s">
        <v>4</v>
      </c>
      <c r="D2021" t="s">
        <v>4171</v>
      </c>
      <c r="F2021"/>
      <c r="G2021"/>
      <c r="H2021">
        <v>5</v>
      </c>
    </row>
    <row r="2022" spans="1:8" x14ac:dyDescent="0.2">
      <c r="A2022" t="s">
        <v>2486</v>
      </c>
      <c r="B2022" s="44">
        <v>42261</v>
      </c>
      <c r="C2022" t="s">
        <v>4</v>
      </c>
      <c r="D2022" t="s">
        <v>4172</v>
      </c>
      <c r="F2022"/>
      <c r="G2022"/>
      <c r="H2022">
        <v>5</v>
      </c>
    </row>
    <row r="2023" spans="1:8" x14ac:dyDescent="0.2">
      <c r="A2023" t="s">
        <v>2521</v>
      </c>
      <c r="B2023" s="44">
        <v>42265</v>
      </c>
      <c r="C2023" t="s">
        <v>4</v>
      </c>
      <c r="D2023" t="s">
        <v>4173</v>
      </c>
      <c r="F2023"/>
      <c r="G2023"/>
      <c r="H2023">
        <v>5</v>
      </c>
    </row>
    <row r="2024" spans="1:8" x14ac:dyDescent="0.2">
      <c r="A2024" t="s">
        <v>2563</v>
      </c>
      <c r="B2024" s="44">
        <v>42269</v>
      </c>
      <c r="C2024" t="s">
        <v>4</v>
      </c>
      <c r="D2024" t="s">
        <v>4174</v>
      </c>
      <c r="F2024"/>
      <c r="G2024"/>
      <c r="H2024">
        <v>5</v>
      </c>
    </row>
    <row r="2025" spans="1:8" x14ac:dyDescent="0.2">
      <c r="A2025" t="s">
        <v>2571</v>
      </c>
      <c r="B2025" s="44">
        <v>42270</v>
      </c>
      <c r="C2025" t="s">
        <v>4</v>
      </c>
      <c r="D2025" t="s">
        <v>4175</v>
      </c>
      <c r="F2025"/>
      <c r="G2025"/>
      <c r="H2025">
        <v>5</v>
      </c>
    </row>
    <row r="2026" spans="1:8" x14ac:dyDescent="0.2">
      <c r="A2026" t="s">
        <v>2587</v>
      </c>
      <c r="B2026" s="44">
        <v>42272</v>
      </c>
      <c r="C2026" t="s">
        <v>4</v>
      </c>
      <c r="D2026" t="s">
        <v>4176</v>
      </c>
      <c r="F2026"/>
      <c r="G2026"/>
      <c r="H2026">
        <v>5</v>
      </c>
    </row>
    <row r="2027" spans="1:8" x14ac:dyDescent="0.2">
      <c r="A2027" t="s">
        <v>2610</v>
      </c>
      <c r="B2027" s="44">
        <v>42275</v>
      </c>
      <c r="C2027" t="s">
        <v>4</v>
      </c>
      <c r="D2027" t="s">
        <v>3840</v>
      </c>
      <c r="F2027"/>
      <c r="G2027"/>
      <c r="H2027">
        <v>5</v>
      </c>
    </row>
    <row r="2028" spans="1:8" x14ac:dyDescent="0.2">
      <c r="A2028" t="s">
        <v>1031</v>
      </c>
      <c r="B2028" s="44">
        <v>42285</v>
      </c>
      <c r="C2028" t="s">
        <v>4</v>
      </c>
      <c r="D2028" t="s">
        <v>4177</v>
      </c>
      <c r="F2028"/>
      <c r="G2028"/>
      <c r="H2028">
        <v>5</v>
      </c>
    </row>
    <row r="2029" spans="1:8" x14ac:dyDescent="0.2">
      <c r="A2029" t="s">
        <v>1046</v>
      </c>
      <c r="B2029" s="44">
        <v>42287</v>
      </c>
      <c r="C2029" t="s">
        <v>4</v>
      </c>
      <c r="D2029" t="s">
        <v>4178</v>
      </c>
      <c r="F2029"/>
      <c r="G2029"/>
      <c r="H2029">
        <v>5</v>
      </c>
    </row>
    <row r="2030" spans="1:8" x14ac:dyDescent="0.2">
      <c r="A2030" t="s">
        <v>1073</v>
      </c>
      <c r="B2030" s="44">
        <v>42289</v>
      </c>
      <c r="C2030" t="s">
        <v>4</v>
      </c>
      <c r="D2030" t="s">
        <v>4179</v>
      </c>
      <c r="F2030"/>
      <c r="G2030"/>
      <c r="H2030">
        <v>5</v>
      </c>
    </row>
    <row r="2031" spans="1:8" x14ac:dyDescent="0.2">
      <c r="A2031" t="s">
        <v>2649</v>
      </c>
      <c r="B2031" s="44">
        <v>42290</v>
      </c>
      <c r="C2031" t="s">
        <v>4</v>
      </c>
      <c r="D2031" t="s">
        <v>3841</v>
      </c>
      <c r="F2031"/>
      <c r="G2031"/>
      <c r="H2031">
        <v>5</v>
      </c>
    </row>
    <row r="2032" spans="1:8" x14ac:dyDescent="0.2">
      <c r="A2032" t="s">
        <v>2647</v>
      </c>
      <c r="B2032" s="44">
        <v>42290</v>
      </c>
      <c r="C2032" t="s">
        <v>4</v>
      </c>
      <c r="D2032" t="s">
        <v>4180</v>
      </c>
      <c r="F2032"/>
      <c r="G2032"/>
      <c r="H2032">
        <v>5</v>
      </c>
    </row>
    <row r="2033" spans="1:8" x14ac:dyDescent="0.2">
      <c r="A2033" t="s">
        <v>2648</v>
      </c>
      <c r="B2033" s="44">
        <v>42290</v>
      </c>
      <c r="C2033" t="s">
        <v>4</v>
      </c>
      <c r="D2033" t="s">
        <v>4181</v>
      </c>
      <c r="F2033"/>
      <c r="G2033"/>
      <c r="H2033">
        <v>5</v>
      </c>
    </row>
    <row r="2034" spans="1:8" x14ac:dyDescent="0.2">
      <c r="A2034" t="s">
        <v>2672</v>
      </c>
      <c r="B2034" s="44">
        <v>42293</v>
      </c>
      <c r="C2034" t="s">
        <v>4</v>
      </c>
      <c r="D2034" t="s">
        <v>3842</v>
      </c>
      <c r="F2034"/>
      <c r="G2034"/>
      <c r="H2034">
        <v>5</v>
      </c>
    </row>
    <row r="2035" spans="1:8" x14ac:dyDescent="0.2">
      <c r="A2035" t="s">
        <v>2710</v>
      </c>
      <c r="B2035" s="44">
        <v>42296</v>
      </c>
      <c r="C2035" t="s">
        <v>4</v>
      </c>
      <c r="D2035" t="s">
        <v>4183</v>
      </c>
      <c r="F2035"/>
      <c r="G2035"/>
      <c r="H2035">
        <v>5</v>
      </c>
    </row>
    <row r="2036" spans="1:8" x14ac:dyDescent="0.2">
      <c r="A2036" t="s">
        <v>2725</v>
      </c>
      <c r="B2036" s="44">
        <v>42297</v>
      </c>
      <c r="C2036" t="s">
        <v>4</v>
      </c>
      <c r="D2036" t="s">
        <v>3409</v>
      </c>
      <c r="F2036"/>
      <c r="G2036"/>
      <c r="H2036">
        <v>5</v>
      </c>
    </row>
    <row r="2037" spans="1:8" x14ac:dyDescent="0.2">
      <c r="A2037" t="s">
        <v>2726</v>
      </c>
      <c r="B2037" s="44">
        <v>42297</v>
      </c>
      <c r="C2037" t="s">
        <v>4</v>
      </c>
      <c r="D2037" t="s">
        <v>4184</v>
      </c>
      <c r="F2037"/>
      <c r="G2037"/>
      <c r="H2037">
        <v>5</v>
      </c>
    </row>
    <row r="2038" spans="1:8" x14ac:dyDescent="0.2">
      <c r="A2038" t="s">
        <v>2750</v>
      </c>
      <c r="B2038" s="44">
        <v>42299</v>
      </c>
      <c r="C2038" t="s">
        <v>4</v>
      </c>
      <c r="D2038" t="s">
        <v>3407</v>
      </c>
      <c r="F2038"/>
      <c r="G2038"/>
      <c r="H2038">
        <v>5</v>
      </c>
    </row>
    <row r="2039" spans="1:8" x14ac:dyDescent="0.2">
      <c r="A2039" t="s">
        <v>2749</v>
      </c>
      <c r="B2039" s="44">
        <v>42299</v>
      </c>
      <c r="C2039" t="s">
        <v>4</v>
      </c>
      <c r="D2039" t="s">
        <v>4110</v>
      </c>
      <c r="F2039"/>
      <c r="G2039"/>
      <c r="H2039">
        <v>5</v>
      </c>
    </row>
    <row r="2040" spans="1:8" x14ac:dyDescent="0.2">
      <c r="A2040" t="s">
        <v>2797</v>
      </c>
      <c r="B2040" s="44">
        <v>42304</v>
      </c>
      <c r="C2040" t="s">
        <v>4</v>
      </c>
      <c r="D2040" t="s">
        <v>3843</v>
      </c>
      <c r="F2040"/>
      <c r="G2040"/>
      <c r="H2040">
        <v>5</v>
      </c>
    </row>
    <row r="2041" spans="1:8" x14ac:dyDescent="0.2">
      <c r="A2041" t="s">
        <v>2826</v>
      </c>
      <c r="B2041" s="44">
        <v>42307</v>
      </c>
      <c r="C2041" t="s">
        <v>4</v>
      </c>
      <c r="D2041" t="s">
        <v>3844</v>
      </c>
      <c r="F2041"/>
      <c r="G2041"/>
      <c r="H2041">
        <v>5</v>
      </c>
    </row>
    <row r="2042" spans="1:8" x14ac:dyDescent="0.2">
      <c r="A2042" t="s">
        <v>1047</v>
      </c>
      <c r="B2042" s="44">
        <v>42318</v>
      </c>
      <c r="C2042" t="s">
        <v>4</v>
      </c>
      <c r="D2042" t="s">
        <v>4185</v>
      </c>
      <c r="F2042"/>
      <c r="G2042"/>
      <c r="H2042">
        <v>5</v>
      </c>
    </row>
    <row r="2043" spans="1:8" x14ac:dyDescent="0.2">
      <c r="A2043" t="s">
        <v>1057</v>
      </c>
      <c r="B2043" s="44">
        <v>42319</v>
      </c>
      <c r="C2043" t="s">
        <v>4</v>
      </c>
      <c r="D2043" t="s">
        <v>3410</v>
      </c>
      <c r="F2043"/>
      <c r="G2043"/>
      <c r="H2043">
        <v>5</v>
      </c>
    </row>
    <row r="2044" spans="1:8" x14ac:dyDescent="0.2">
      <c r="A2044" t="s">
        <v>1060</v>
      </c>
      <c r="B2044" s="44">
        <v>42319</v>
      </c>
      <c r="C2044" t="s">
        <v>4</v>
      </c>
      <c r="D2044" t="s">
        <v>4187</v>
      </c>
      <c r="F2044"/>
      <c r="G2044"/>
      <c r="H2044">
        <v>5</v>
      </c>
    </row>
    <row r="2045" spans="1:8" x14ac:dyDescent="0.2">
      <c r="A2045" t="s">
        <v>1059</v>
      </c>
      <c r="B2045" s="44">
        <v>42319</v>
      </c>
      <c r="C2045" t="s">
        <v>4</v>
      </c>
      <c r="D2045" t="s">
        <v>4186</v>
      </c>
      <c r="F2045"/>
      <c r="G2045"/>
      <c r="H2045">
        <v>5</v>
      </c>
    </row>
    <row r="2046" spans="1:8" x14ac:dyDescent="0.2">
      <c r="A2046" t="s">
        <v>1074</v>
      </c>
      <c r="B2046" s="44">
        <v>42320</v>
      </c>
      <c r="C2046" t="s">
        <v>4</v>
      </c>
      <c r="D2046" t="s">
        <v>3849</v>
      </c>
      <c r="F2046"/>
      <c r="G2046"/>
      <c r="H2046">
        <v>5</v>
      </c>
    </row>
    <row r="2047" spans="1:8" x14ac:dyDescent="0.2">
      <c r="A2047" t="s">
        <v>2901</v>
      </c>
      <c r="B2047" s="44">
        <v>42326</v>
      </c>
      <c r="C2047" t="s">
        <v>4</v>
      </c>
      <c r="D2047" t="s">
        <v>3845</v>
      </c>
      <c r="F2047"/>
      <c r="G2047"/>
      <c r="H2047">
        <v>5</v>
      </c>
    </row>
    <row r="2048" spans="1:8" x14ac:dyDescent="0.2">
      <c r="A2048" t="s">
        <v>1062</v>
      </c>
      <c r="B2048" s="44">
        <v>42349</v>
      </c>
      <c r="C2048" t="s">
        <v>4</v>
      </c>
      <c r="D2048" t="s">
        <v>3846</v>
      </c>
      <c r="F2048"/>
      <c r="G2048"/>
      <c r="H2048">
        <v>5</v>
      </c>
    </row>
    <row r="2049" spans="1:9" x14ac:dyDescent="0.2">
      <c r="A2049" t="s">
        <v>3034</v>
      </c>
      <c r="B2049" s="44">
        <v>42352</v>
      </c>
      <c r="C2049" t="s">
        <v>4</v>
      </c>
      <c r="D2049" t="s">
        <v>4188</v>
      </c>
      <c r="F2049"/>
      <c r="G2049"/>
      <c r="H2049">
        <v>5</v>
      </c>
    </row>
    <row r="2050" spans="1:9" x14ac:dyDescent="0.2">
      <c r="A2050" t="s">
        <v>1348</v>
      </c>
      <c r="B2050" s="44">
        <v>42383</v>
      </c>
      <c r="C2050" t="s">
        <v>4</v>
      </c>
      <c r="D2050" t="s">
        <v>4469</v>
      </c>
      <c r="F2050"/>
      <c r="G2050"/>
      <c r="H2050">
        <v>5</v>
      </c>
      <c r="I2050" t="s">
        <v>4492</v>
      </c>
    </row>
    <row r="2051" spans="1:9" x14ac:dyDescent="0.2">
      <c r="A2051" t="s">
        <v>1349</v>
      </c>
      <c r="B2051" s="44">
        <v>42383</v>
      </c>
      <c r="C2051" t="s">
        <v>4</v>
      </c>
      <c r="D2051" t="s">
        <v>3411</v>
      </c>
      <c r="F2051"/>
      <c r="G2051"/>
      <c r="H2051">
        <v>5</v>
      </c>
    </row>
    <row r="2052" spans="1:9" x14ac:dyDescent="0.2">
      <c r="A2052" t="s">
        <v>1372</v>
      </c>
      <c r="B2052" s="44">
        <v>42387</v>
      </c>
      <c r="C2052" t="s">
        <v>4</v>
      </c>
      <c r="D2052" t="s">
        <v>3847</v>
      </c>
      <c r="F2052"/>
      <c r="G2052"/>
      <c r="H2052">
        <v>5</v>
      </c>
    </row>
    <row r="2053" spans="1:9" x14ac:dyDescent="0.2">
      <c r="A2053" t="s">
        <v>1417</v>
      </c>
      <c r="B2053" s="44">
        <v>42391</v>
      </c>
      <c r="C2053" t="s">
        <v>5834</v>
      </c>
      <c r="D2053" t="s">
        <v>4189</v>
      </c>
      <c r="F2053"/>
      <c r="G2053"/>
      <c r="H2053">
        <v>5</v>
      </c>
    </row>
    <row r="2054" spans="1:9" x14ac:dyDescent="0.2">
      <c r="A2054" t="s">
        <v>1462</v>
      </c>
      <c r="B2054" s="44">
        <v>42395</v>
      </c>
      <c r="C2054" t="s">
        <v>4</v>
      </c>
      <c r="D2054" t="s">
        <v>4190</v>
      </c>
      <c r="F2054"/>
      <c r="G2054"/>
      <c r="H2054">
        <v>5</v>
      </c>
    </row>
    <row r="2055" spans="1:9" x14ac:dyDescent="0.2">
      <c r="A2055" t="s">
        <v>1468</v>
      </c>
      <c r="B2055" s="44">
        <v>42396</v>
      </c>
      <c r="C2055" t="s">
        <v>4</v>
      </c>
      <c r="D2055" t="s">
        <v>3412</v>
      </c>
      <c r="F2055"/>
      <c r="G2055"/>
      <c r="H2055">
        <v>5</v>
      </c>
    </row>
    <row r="2056" spans="1:9" x14ac:dyDescent="0.2">
      <c r="A2056" t="s">
        <v>1469</v>
      </c>
      <c r="B2056" s="44">
        <v>42396</v>
      </c>
      <c r="C2056" t="s">
        <v>4</v>
      </c>
      <c r="D2056" t="s">
        <v>4191</v>
      </c>
      <c r="F2056"/>
      <c r="G2056"/>
      <c r="H2056">
        <v>5</v>
      </c>
    </row>
    <row r="2057" spans="1:9" x14ac:dyDescent="0.2">
      <c r="A2057" t="s">
        <v>1119</v>
      </c>
      <c r="B2057" s="44">
        <v>42409</v>
      </c>
      <c r="C2057" t="s">
        <v>4</v>
      </c>
      <c r="D2057" t="s">
        <v>4192</v>
      </c>
      <c r="F2057"/>
      <c r="G2057"/>
      <c r="H2057">
        <v>5</v>
      </c>
    </row>
    <row r="2058" spans="1:9" x14ac:dyDescent="0.2">
      <c r="A2058" t="s">
        <v>1128</v>
      </c>
      <c r="B2058" s="44">
        <v>42411</v>
      </c>
      <c r="C2058" t="s">
        <v>4</v>
      </c>
      <c r="D2058" t="s">
        <v>3413</v>
      </c>
      <c r="F2058"/>
      <c r="G2058"/>
      <c r="H2058">
        <v>5</v>
      </c>
    </row>
    <row r="2059" spans="1:9" x14ac:dyDescent="0.2">
      <c r="A2059" t="s">
        <v>1520</v>
      </c>
      <c r="B2059" s="44">
        <v>42416</v>
      </c>
      <c r="C2059" t="s">
        <v>4</v>
      </c>
      <c r="D2059" t="s">
        <v>4193</v>
      </c>
      <c r="F2059"/>
      <c r="G2059"/>
      <c r="H2059">
        <v>5</v>
      </c>
    </row>
    <row r="2060" spans="1:9" x14ac:dyDescent="0.2">
      <c r="A2060" t="s">
        <v>1538</v>
      </c>
      <c r="B2060" s="44">
        <v>42418</v>
      </c>
      <c r="C2060" t="s">
        <v>4</v>
      </c>
      <c r="D2060" t="s">
        <v>4194</v>
      </c>
      <c r="F2060"/>
      <c r="G2060"/>
      <c r="H2060">
        <v>5</v>
      </c>
    </row>
    <row r="2061" spans="1:9" x14ac:dyDescent="0.2">
      <c r="A2061" t="s">
        <v>1592</v>
      </c>
      <c r="B2061" s="44">
        <v>42423</v>
      </c>
      <c r="C2061" t="s">
        <v>4</v>
      </c>
      <c r="D2061" t="s">
        <v>4195</v>
      </c>
      <c r="F2061"/>
      <c r="G2061"/>
      <c r="H2061">
        <v>5</v>
      </c>
    </row>
    <row r="2062" spans="1:9" x14ac:dyDescent="0.2">
      <c r="A2062" t="s">
        <v>1601</v>
      </c>
      <c r="B2062" s="44">
        <v>42424</v>
      </c>
      <c r="C2062" t="s">
        <v>4</v>
      </c>
      <c r="D2062" t="s">
        <v>4145</v>
      </c>
      <c r="F2062"/>
      <c r="G2062"/>
      <c r="H2062">
        <v>5</v>
      </c>
    </row>
    <row r="2063" spans="1:9" x14ac:dyDescent="0.2">
      <c r="A2063" t="s">
        <v>1075</v>
      </c>
      <c r="B2063" s="44">
        <v>42431</v>
      </c>
      <c r="C2063" t="s">
        <v>4</v>
      </c>
      <c r="D2063" t="s">
        <v>3787</v>
      </c>
      <c r="F2063"/>
      <c r="G2063"/>
      <c r="H2063">
        <v>5</v>
      </c>
    </row>
    <row r="2064" spans="1:9" x14ac:dyDescent="0.2">
      <c r="A2064" t="s">
        <v>1076</v>
      </c>
      <c r="B2064" s="44">
        <v>42431</v>
      </c>
      <c r="C2064" t="s">
        <v>4</v>
      </c>
      <c r="D2064" t="s">
        <v>4196</v>
      </c>
      <c r="F2064"/>
      <c r="G2064"/>
      <c r="H2064">
        <v>5</v>
      </c>
    </row>
    <row r="2065" spans="1:8" x14ac:dyDescent="0.2">
      <c r="A2065" t="s">
        <v>1081</v>
      </c>
      <c r="B2065" s="44">
        <v>42432</v>
      </c>
      <c r="C2065" t="s">
        <v>4</v>
      </c>
      <c r="D2065" t="s">
        <v>4197</v>
      </c>
      <c r="F2065"/>
      <c r="G2065"/>
      <c r="H2065">
        <v>5</v>
      </c>
    </row>
    <row r="2066" spans="1:8" x14ac:dyDescent="0.2">
      <c r="A2066" t="s">
        <v>1109</v>
      </c>
      <c r="B2066" s="44">
        <v>42436</v>
      </c>
      <c r="C2066" t="s">
        <v>4</v>
      </c>
      <c r="D2066" t="s">
        <v>4199</v>
      </c>
      <c r="F2066"/>
      <c r="G2066"/>
      <c r="H2066">
        <v>5</v>
      </c>
    </row>
    <row r="2067" spans="1:8" x14ac:dyDescent="0.2">
      <c r="A2067" t="s">
        <v>1108</v>
      </c>
      <c r="B2067" s="44">
        <v>42436</v>
      </c>
      <c r="C2067" t="s">
        <v>4</v>
      </c>
      <c r="D2067" t="s">
        <v>4198</v>
      </c>
      <c r="F2067"/>
      <c r="G2067"/>
      <c r="H2067">
        <v>5</v>
      </c>
    </row>
    <row r="2068" spans="1:8" x14ac:dyDescent="0.2">
      <c r="A2068" t="s">
        <v>1117</v>
      </c>
      <c r="B2068" s="44">
        <v>42437</v>
      </c>
      <c r="C2068" t="s">
        <v>4</v>
      </c>
      <c r="D2068" t="s">
        <v>4200</v>
      </c>
      <c r="F2068"/>
      <c r="G2068"/>
      <c r="H2068">
        <v>5</v>
      </c>
    </row>
    <row r="2069" spans="1:8" x14ac:dyDescent="0.2">
      <c r="A2069" t="s">
        <v>1121</v>
      </c>
      <c r="B2069" s="44">
        <v>42438</v>
      </c>
      <c r="C2069" t="s">
        <v>4</v>
      </c>
      <c r="D2069" t="s">
        <v>4201</v>
      </c>
      <c r="F2069"/>
      <c r="G2069"/>
      <c r="H2069">
        <v>5</v>
      </c>
    </row>
    <row r="2070" spans="1:8" x14ac:dyDescent="0.2">
      <c r="A2070" t="s">
        <v>1122</v>
      </c>
      <c r="B2070" s="44">
        <v>42438</v>
      </c>
      <c r="C2070" t="s">
        <v>4</v>
      </c>
      <c r="D2070" t="s">
        <v>4202</v>
      </c>
      <c r="F2070"/>
      <c r="G2070"/>
      <c r="H2070">
        <v>5</v>
      </c>
    </row>
    <row r="2071" spans="1:8" x14ac:dyDescent="0.2">
      <c r="A2071" t="s">
        <v>1120</v>
      </c>
      <c r="B2071" s="44">
        <v>42438</v>
      </c>
      <c r="C2071" t="s">
        <v>4</v>
      </c>
      <c r="D2071" t="s">
        <v>3414</v>
      </c>
      <c r="F2071"/>
      <c r="G2071"/>
      <c r="H2071">
        <v>5</v>
      </c>
    </row>
    <row r="2072" spans="1:8" x14ac:dyDescent="0.2">
      <c r="A2072" t="s">
        <v>1732</v>
      </c>
      <c r="B2072" s="44">
        <v>42450</v>
      </c>
      <c r="C2072" t="s">
        <v>4</v>
      </c>
      <c r="D2072" t="s">
        <v>4203</v>
      </c>
      <c r="F2072"/>
      <c r="G2072"/>
      <c r="H2072">
        <v>5</v>
      </c>
    </row>
    <row r="2073" spans="1:8" x14ac:dyDescent="0.2">
      <c r="A2073" t="s">
        <v>1742</v>
      </c>
      <c r="B2073" s="44">
        <v>42451</v>
      </c>
      <c r="C2073" t="s">
        <v>4</v>
      </c>
      <c r="D2073" t="s">
        <v>4204</v>
      </c>
      <c r="F2073"/>
      <c r="G2073"/>
      <c r="H2073">
        <v>5</v>
      </c>
    </row>
    <row r="2074" spans="1:8" x14ac:dyDescent="0.2">
      <c r="A2074" t="s">
        <v>1750</v>
      </c>
      <c r="B2074" s="44">
        <v>42452</v>
      </c>
      <c r="C2074" t="s">
        <v>4</v>
      </c>
      <c r="D2074" t="s">
        <v>3389</v>
      </c>
      <c r="F2074"/>
      <c r="G2074"/>
      <c r="H2074">
        <v>5</v>
      </c>
    </row>
    <row r="2075" spans="1:8" x14ac:dyDescent="0.2">
      <c r="A2075" t="s">
        <v>1089</v>
      </c>
      <c r="B2075" s="44">
        <v>42464</v>
      </c>
      <c r="C2075" t="s">
        <v>4</v>
      </c>
      <c r="D2075" t="s">
        <v>1090</v>
      </c>
      <c r="F2075"/>
      <c r="G2075"/>
      <c r="H2075">
        <v>5</v>
      </c>
    </row>
    <row r="2076" spans="1:8" x14ac:dyDescent="0.2">
      <c r="A2076" t="s">
        <v>1129</v>
      </c>
      <c r="B2076" s="44">
        <v>42471</v>
      </c>
      <c r="C2076" t="s">
        <v>4</v>
      </c>
      <c r="D2076" t="s">
        <v>4205</v>
      </c>
      <c r="F2076"/>
      <c r="G2076"/>
      <c r="H2076">
        <v>5</v>
      </c>
    </row>
    <row r="2077" spans="1:8" x14ac:dyDescent="0.2">
      <c r="A2077" t="s">
        <v>1134</v>
      </c>
      <c r="B2077" s="44">
        <v>42472</v>
      </c>
      <c r="C2077" t="s">
        <v>4</v>
      </c>
      <c r="D2077" t="s">
        <v>1135</v>
      </c>
      <c r="F2077"/>
      <c r="G2077"/>
      <c r="H2077">
        <v>5</v>
      </c>
    </row>
    <row r="2078" spans="1:8" x14ac:dyDescent="0.2">
      <c r="A2078" t="s">
        <v>1854</v>
      </c>
      <c r="B2078" s="44">
        <v>42480</v>
      </c>
      <c r="C2078" t="s">
        <v>4</v>
      </c>
      <c r="D2078" t="s">
        <v>4206</v>
      </c>
      <c r="F2078"/>
      <c r="G2078"/>
      <c r="H2078">
        <v>5</v>
      </c>
    </row>
    <row r="2079" spans="1:8" x14ac:dyDescent="0.2">
      <c r="A2079" t="s">
        <v>1855</v>
      </c>
      <c r="B2079" s="44">
        <v>42480</v>
      </c>
      <c r="C2079" t="s">
        <v>4</v>
      </c>
      <c r="D2079" t="s">
        <v>4207</v>
      </c>
      <c r="F2079"/>
      <c r="G2079"/>
      <c r="H2079">
        <v>5</v>
      </c>
    </row>
    <row r="2080" spans="1:8" x14ac:dyDescent="0.2">
      <c r="A2080" t="s">
        <v>1898</v>
      </c>
      <c r="B2080" s="44">
        <v>42486</v>
      </c>
      <c r="C2080" t="s">
        <v>4</v>
      </c>
      <c r="D2080" t="s">
        <v>4208</v>
      </c>
      <c r="F2080"/>
      <c r="G2080"/>
      <c r="H2080">
        <v>5</v>
      </c>
    </row>
    <row r="2081" spans="1:8" x14ac:dyDescent="0.2">
      <c r="A2081" t="s">
        <v>1903</v>
      </c>
      <c r="B2081" s="44">
        <v>42487</v>
      </c>
      <c r="C2081" t="s">
        <v>4</v>
      </c>
      <c r="D2081" t="s">
        <v>4209</v>
      </c>
      <c r="F2081"/>
      <c r="G2081"/>
      <c r="H2081">
        <v>5</v>
      </c>
    </row>
    <row r="2082" spans="1:8" x14ac:dyDescent="0.2">
      <c r="A2082" t="s">
        <v>1912</v>
      </c>
      <c r="B2082" s="44">
        <v>42489</v>
      </c>
      <c r="C2082" t="s">
        <v>4</v>
      </c>
      <c r="D2082" t="s">
        <v>4211</v>
      </c>
      <c r="F2082"/>
      <c r="G2082"/>
      <c r="H2082">
        <v>5</v>
      </c>
    </row>
    <row r="2083" spans="1:8" x14ac:dyDescent="0.2">
      <c r="A2083" t="s">
        <v>1911</v>
      </c>
      <c r="B2083" s="44">
        <v>42489</v>
      </c>
      <c r="C2083" t="s">
        <v>4</v>
      </c>
      <c r="D2083" t="s">
        <v>4210</v>
      </c>
      <c r="F2083"/>
      <c r="G2083"/>
      <c r="H2083">
        <v>5</v>
      </c>
    </row>
    <row r="2084" spans="1:8" x14ac:dyDescent="0.2">
      <c r="A2084" t="s">
        <v>1929</v>
      </c>
      <c r="B2084" s="44">
        <v>42503</v>
      </c>
      <c r="C2084" t="s">
        <v>4</v>
      </c>
      <c r="D2084" t="s">
        <v>4212</v>
      </c>
      <c r="F2084"/>
      <c r="G2084"/>
      <c r="H2084">
        <v>5</v>
      </c>
    </row>
    <row r="2085" spans="1:8" x14ac:dyDescent="0.2">
      <c r="A2085" t="s">
        <v>1930</v>
      </c>
      <c r="B2085" s="44">
        <v>42503</v>
      </c>
      <c r="C2085" t="s">
        <v>4</v>
      </c>
      <c r="D2085" t="s">
        <v>4213</v>
      </c>
      <c r="F2085"/>
      <c r="G2085"/>
      <c r="H2085">
        <v>5</v>
      </c>
    </row>
    <row r="2086" spans="1:8" x14ac:dyDescent="0.2">
      <c r="A2086" t="s">
        <v>1969</v>
      </c>
      <c r="B2086" s="44">
        <v>42508</v>
      </c>
      <c r="C2086" t="s">
        <v>4</v>
      </c>
      <c r="D2086" t="s">
        <v>3849</v>
      </c>
      <c r="F2086"/>
      <c r="G2086"/>
      <c r="H2086">
        <v>5</v>
      </c>
    </row>
    <row r="2087" spans="1:8" x14ac:dyDescent="0.2">
      <c r="A2087" t="s">
        <v>1986</v>
      </c>
      <c r="B2087" s="44">
        <v>42509</v>
      </c>
      <c r="C2087" t="s">
        <v>4</v>
      </c>
      <c r="D2087" t="s">
        <v>4214</v>
      </c>
      <c r="F2087"/>
      <c r="G2087"/>
      <c r="H2087">
        <v>5</v>
      </c>
    </row>
    <row r="2088" spans="1:8" x14ac:dyDescent="0.2">
      <c r="A2088" t="s">
        <v>2044</v>
      </c>
      <c r="B2088" s="44">
        <v>42514</v>
      </c>
      <c r="C2088" t="s">
        <v>4</v>
      </c>
      <c r="D2088" t="s">
        <v>4216</v>
      </c>
      <c r="H2088">
        <v>5</v>
      </c>
    </row>
    <row r="2089" spans="1:8" x14ac:dyDescent="0.2">
      <c r="A2089" t="s">
        <v>2045</v>
      </c>
      <c r="B2089" s="44">
        <v>42514</v>
      </c>
      <c r="C2089" t="s">
        <v>4</v>
      </c>
      <c r="D2089" t="s">
        <v>4217</v>
      </c>
      <c r="F2089"/>
      <c r="G2089"/>
      <c r="H2089">
        <v>5</v>
      </c>
    </row>
    <row r="2090" spans="1:8" x14ac:dyDescent="0.2">
      <c r="A2090" t="s">
        <v>2043</v>
      </c>
      <c r="B2090" s="44">
        <v>42514</v>
      </c>
      <c r="C2090" t="s">
        <v>5834</v>
      </c>
      <c r="D2090" t="s">
        <v>4215</v>
      </c>
      <c r="F2090"/>
      <c r="G2090"/>
      <c r="H2090">
        <v>5</v>
      </c>
    </row>
    <row r="2091" spans="1:8" x14ac:dyDescent="0.2">
      <c r="A2091" t="s">
        <v>2049</v>
      </c>
      <c r="B2091" s="44">
        <v>42515</v>
      </c>
      <c r="C2091" t="s">
        <v>4</v>
      </c>
      <c r="D2091" t="s">
        <v>4218</v>
      </c>
      <c r="F2091"/>
      <c r="G2091"/>
      <c r="H2091">
        <v>5</v>
      </c>
    </row>
    <row r="2092" spans="1:8" x14ac:dyDescent="0.2">
      <c r="A2092" t="s">
        <v>2060</v>
      </c>
      <c r="B2092" s="44">
        <v>42516</v>
      </c>
      <c r="C2092" t="s">
        <v>2061</v>
      </c>
      <c r="D2092" t="s">
        <v>4219</v>
      </c>
      <c r="F2092"/>
      <c r="G2092"/>
      <c r="H2092">
        <v>5</v>
      </c>
    </row>
    <row r="2093" spans="1:8" x14ac:dyDescent="0.2">
      <c r="A2093" t="s">
        <v>2322</v>
      </c>
      <c r="B2093" s="44">
        <v>42566</v>
      </c>
      <c r="C2093" t="s">
        <v>4</v>
      </c>
      <c r="D2093" t="s">
        <v>4220</v>
      </c>
      <c r="F2093"/>
      <c r="G2093"/>
      <c r="H2093">
        <v>5</v>
      </c>
    </row>
    <row r="2094" spans="1:8" x14ac:dyDescent="0.2">
      <c r="A2094" t="s">
        <v>2356</v>
      </c>
      <c r="B2094" s="44">
        <v>42569</v>
      </c>
      <c r="C2094" t="s">
        <v>4</v>
      </c>
      <c r="D2094" t="s">
        <v>4221</v>
      </c>
      <c r="F2094"/>
      <c r="G2094"/>
      <c r="H2094">
        <v>5</v>
      </c>
    </row>
    <row r="2095" spans="1:8" x14ac:dyDescent="0.2">
      <c r="A2095" t="s">
        <v>2363</v>
      </c>
      <c r="B2095" s="44">
        <v>42570</v>
      </c>
      <c r="C2095" t="s">
        <v>4</v>
      </c>
      <c r="D2095" t="s">
        <v>4222</v>
      </c>
      <c r="F2095"/>
      <c r="G2095"/>
      <c r="H2095">
        <v>5</v>
      </c>
    </row>
    <row r="2096" spans="1:8" x14ac:dyDescent="0.2">
      <c r="A2096" t="s">
        <v>2453</v>
      </c>
      <c r="B2096" s="44">
        <v>42608</v>
      </c>
      <c r="C2096" t="s">
        <v>4</v>
      </c>
      <c r="D2096" t="s">
        <v>4223</v>
      </c>
      <c r="F2096"/>
      <c r="G2096"/>
      <c r="H2096">
        <v>5</v>
      </c>
    </row>
    <row r="2097" spans="1:8" x14ac:dyDescent="0.2">
      <c r="A2097" t="s">
        <v>2487</v>
      </c>
      <c r="B2097" s="44">
        <v>42627</v>
      </c>
      <c r="C2097" t="s">
        <v>4</v>
      </c>
      <c r="D2097" t="s">
        <v>4224</v>
      </c>
      <c r="F2097"/>
      <c r="G2097"/>
      <c r="H2097">
        <v>5</v>
      </c>
    </row>
    <row r="2098" spans="1:8" x14ac:dyDescent="0.2">
      <c r="A2098" t="s">
        <v>2545</v>
      </c>
      <c r="B2098" s="44">
        <v>42633</v>
      </c>
      <c r="C2098" t="s">
        <v>4</v>
      </c>
      <c r="D2098" t="s">
        <v>4225</v>
      </c>
      <c r="F2098"/>
      <c r="G2098"/>
      <c r="H2098">
        <v>5</v>
      </c>
    </row>
    <row r="2099" spans="1:8" x14ac:dyDescent="0.2">
      <c r="A2099" t="s">
        <v>2556</v>
      </c>
      <c r="B2099" s="44">
        <v>42634</v>
      </c>
      <c r="C2099" t="s">
        <v>4</v>
      </c>
      <c r="D2099" t="s">
        <v>4226</v>
      </c>
      <c r="F2099"/>
      <c r="G2099"/>
      <c r="H2099">
        <v>5</v>
      </c>
    </row>
    <row r="2100" spans="1:8" x14ac:dyDescent="0.2">
      <c r="A2100" t="s">
        <v>2564</v>
      </c>
      <c r="B2100" s="44">
        <v>42635</v>
      </c>
      <c r="C2100" t="s">
        <v>4</v>
      </c>
      <c r="D2100" t="s">
        <v>4227</v>
      </c>
      <c r="F2100"/>
      <c r="G2100"/>
      <c r="H2100">
        <v>5</v>
      </c>
    </row>
    <row r="2101" spans="1:8" x14ac:dyDescent="0.2">
      <c r="A2101" t="s">
        <v>2611</v>
      </c>
      <c r="B2101" s="44">
        <v>42641</v>
      </c>
      <c r="C2101" t="s">
        <v>4</v>
      </c>
      <c r="D2101" t="s">
        <v>4228</v>
      </c>
      <c r="F2101"/>
      <c r="G2101"/>
      <c r="H2101">
        <v>5</v>
      </c>
    </row>
    <row r="2102" spans="1:8" x14ac:dyDescent="0.2">
      <c r="A2102" t="s">
        <v>2622</v>
      </c>
      <c r="B2102" s="44">
        <v>42642</v>
      </c>
      <c r="C2102" t="s">
        <v>4</v>
      </c>
      <c r="D2102" t="s">
        <v>4229</v>
      </c>
      <c r="F2102"/>
      <c r="G2102"/>
      <c r="H2102">
        <v>5</v>
      </c>
    </row>
    <row r="2103" spans="1:8" x14ac:dyDescent="0.2">
      <c r="A2103" t="s">
        <v>1094</v>
      </c>
      <c r="B2103" s="44">
        <v>42647</v>
      </c>
      <c r="C2103" t="s">
        <v>4</v>
      </c>
      <c r="D2103" t="s">
        <v>4230</v>
      </c>
      <c r="F2103"/>
      <c r="G2103"/>
      <c r="H2103">
        <v>5</v>
      </c>
    </row>
    <row r="2104" spans="1:8" x14ac:dyDescent="0.2">
      <c r="A2104" t="s">
        <v>1101</v>
      </c>
      <c r="B2104" s="44">
        <v>42648</v>
      </c>
      <c r="C2104" t="s">
        <v>4</v>
      </c>
      <c r="D2104" t="s">
        <v>4231</v>
      </c>
      <c r="F2104"/>
      <c r="G2104"/>
      <c r="H2104">
        <v>5</v>
      </c>
    </row>
    <row r="2105" spans="1:8" x14ac:dyDescent="0.2">
      <c r="A2105" t="s">
        <v>1131</v>
      </c>
      <c r="B2105" s="44">
        <v>42654</v>
      </c>
      <c r="C2105" t="s">
        <v>4</v>
      </c>
      <c r="D2105" t="s">
        <v>4233</v>
      </c>
      <c r="F2105"/>
      <c r="G2105"/>
      <c r="H2105">
        <v>5</v>
      </c>
    </row>
    <row r="2106" spans="1:8" x14ac:dyDescent="0.2">
      <c r="A2106" t="s">
        <v>1130</v>
      </c>
      <c r="B2106" s="44">
        <v>42654</v>
      </c>
      <c r="C2106" t="s">
        <v>4</v>
      </c>
      <c r="D2106" t="s">
        <v>4232</v>
      </c>
      <c r="F2106"/>
      <c r="G2106"/>
      <c r="H2106">
        <v>5</v>
      </c>
    </row>
    <row r="2107" spans="1:8" x14ac:dyDescent="0.2">
      <c r="A2107" t="s">
        <v>1142</v>
      </c>
      <c r="B2107" s="44">
        <v>42655</v>
      </c>
      <c r="C2107" t="s">
        <v>4</v>
      </c>
      <c r="D2107" t="s">
        <v>4234</v>
      </c>
      <c r="F2107"/>
      <c r="G2107"/>
      <c r="H2107">
        <v>5</v>
      </c>
    </row>
    <row r="2108" spans="1:8" x14ac:dyDescent="0.2">
      <c r="A2108" t="s">
        <v>2656</v>
      </c>
      <c r="B2108" s="44">
        <v>42657</v>
      </c>
      <c r="C2108" t="s">
        <v>4</v>
      </c>
      <c r="D2108" t="s">
        <v>4235</v>
      </c>
      <c r="F2108"/>
      <c r="G2108"/>
      <c r="H2108">
        <v>5</v>
      </c>
    </row>
    <row r="2109" spans="1:8" x14ac:dyDescent="0.2">
      <c r="A2109" t="s">
        <v>2682</v>
      </c>
      <c r="B2109" s="44">
        <v>42660</v>
      </c>
      <c r="C2109" t="s">
        <v>4</v>
      </c>
      <c r="D2109" t="s">
        <v>3859</v>
      </c>
      <c r="F2109"/>
      <c r="G2109"/>
      <c r="H2109">
        <v>5</v>
      </c>
    </row>
    <row r="2110" spans="1:8" x14ac:dyDescent="0.2">
      <c r="A2110" t="s">
        <v>2714</v>
      </c>
      <c r="B2110" s="44">
        <v>42662</v>
      </c>
      <c r="C2110" t="s">
        <v>4</v>
      </c>
      <c r="D2110" t="s">
        <v>3849</v>
      </c>
      <c r="F2110"/>
      <c r="G2110"/>
      <c r="H2110">
        <v>5</v>
      </c>
    </row>
    <row r="2111" spans="1:8" x14ac:dyDescent="0.2">
      <c r="A2111" t="s">
        <v>2728</v>
      </c>
      <c r="B2111" s="44">
        <v>42663</v>
      </c>
      <c r="C2111" t="s">
        <v>4</v>
      </c>
      <c r="D2111" t="s">
        <v>4236</v>
      </c>
      <c r="F2111"/>
      <c r="G2111"/>
      <c r="H2111">
        <v>5</v>
      </c>
    </row>
    <row r="2112" spans="1:8" x14ac:dyDescent="0.2">
      <c r="A2112" t="s">
        <v>2771</v>
      </c>
      <c r="B2112" s="44">
        <v>42667</v>
      </c>
      <c r="C2112" t="s">
        <v>4</v>
      </c>
      <c r="D2112" t="s">
        <v>4237</v>
      </c>
      <c r="F2112"/>
      <c r="G2112"/>
      <c r="H2112">
        <v>5</v>
      </c>
    </row>
    <row r="2113" spans="1:8" x14ac:dyDescent="0.2">
      <c r="A2113" t="s">
        <v>2772</v>
      </c>
      <c r="B2113" s="44">
        <v>42667</v>
      </c>
      <c r="C2113" t="s">
        <v>4</v>
      </c>
      <c r="D2113" t="s">
        <v>4238</v>
      </c>
      <c r="F2113"/>
      <c r="G2113"/>
      <c r="H2113">
        <v>5</v>
      </c>
    </row>
    <row r="2114" spans="1:8" x14ac:dyDescent="0.2">
      <c r="A2114" t="s">
        <v>1086</v>
      </c>
      <c r="B2114" s="44">
        <v>42677</v>
      </c>
      <c r="C2114" t="s">
        <v>4</v>
      </c>
      <c r="D2114" t="s">
        <v>4100</v>
      </c>
      <c r="F2114"/>
      <c r="G2114"/>
      <c r="H2114">
        <v>5</v>
      </c>
    </row>
    <row r="2115" spans="1:8" x14ac:dyDescent="0.2">
      <c r="A2115" t="s">
        <v>1095</v>
      </c>
      <c r="B2115" s="44">
        <v>42678</v>
      </c>
      <c r="C2115" t="s">
        <v>4</v>
      </c>
      <c r="D2115" t="s">
        <v>4239</v>
      </c>
      <c r="F2115"/>
      <c r="G2115"/>
      <c r="H2115">
        <v>5</v>
      </c>
    </row>
    <row r="2116" spans="1:8" x14ac:dyDescent="0.2">
      <c r="A2116" t="s">
        <v>1113</v>
      </c>
      <c r="B2116" s="44">
        <v>42681</v>
      </c>
      <c r="C2116" t="s">
        <v>4</v>
      </c>
      <c r="D2116" t="s">
        <v>3848</v>
      </c>
      <c r="F2116"/>
      <c r="G2116"/>
      <c r="H2116">
        <v>5</v>
      </c>
    </row>
    <row r="2117" spans="1:8" x14ac:dyDescent="0.2">
      <c r="A2117" t="s">
        <v>1118</v>
      </c>
      <c r="B2117" s="44">
        <v>42682</v>
      </c>
      <c r="C2117" t="s">
        <v>4</v>
      </c>
      <c r="D2117" t="s">
        <v>3849</v>
      </c>
      <c r="F2117"/>
      <c r="G2117"/>
      <c r="H2117">
        <v>5</v>
      </c>
    </row>
    <row r="2118" spans="1:8" x14ac:dyDescent="0.2">
      <c r="A2118" t="s">
        <v>1125</v>
      </c>
      <c r="B2118" s="44">
        <v>42683</v>
      </c>
      <c r="C2118" t="s">
        <v>4</v>
      </c>
      <c r="D2118" t="s">
        <v>3849</v>
      </c>
      <c r="F2118"/>
      <c r="G2118"/>
      <c r="H2118">
        <v>5</v>
      </c>
    </row>
    <row r="2119" spans="1:8" x14ac:dyDescent="0.2">
      <c r="A2119" t="s">
        <v>1124</v>
      </c>
      <c r="B2119" s="44">
        <v>42683</v>
      </c>
      <c r="C2119" t="s">
        <v>4</v>
      </c>
      <c r="D2119" t="s">
        <v>3850</v>
      </c>
      <c r="F2119"/>
      <c r="G2119"/>
      <c r="H2119">
        <v>5</v>
      </c>
    </row>
    <row r="2120" spans="1:8" x14ac:dyDescent="0.2">
      <c r="A2120" t="s">
        <v>1127</v>
      </c>
      <c r="B2120" s="44">
        <v>42684</v>
      </c>
      <c r="C2120" t="s">
        <v>4</v>
      </c>
      <c r="D2120" t="s">
        <v>4240</v>
      </c>
      <c r="F2120"/>
      <c r="G2120"/>
      <c r="H2120">
        <v>5</v>
      </c>
    </row>
    <row r="2121" spans="1:8" x14ac:dyDescent="0.2">
      <c r="A2121" t="s">
        <v>2882</v>
      </c>
      <c r="B2121" s="44">
        <v>42690</v>
      </c>
      <c r="C2121" t="s">
        <v>4</v>
      </c>
      <c r="D2121" t="s">
        <v>4241</v>
      </c>
      <c r="F2121"/>
      <c r="G2121"/>
      <c r="H2121">
        <v>5</v>
      </c>
    </row>
    <row r="2122" spans="1:8" x14ac:dyDescent="0.2">
      <c r="A2122" t="s">
        <v>2902</v>
      </c>
      <c r="B2122" s="44">
        <v>42692</v>
      </c>
      <c r="C2122" t="s">
        <v>4</v>
      </c>
      <c r="D2122" t="s">
        <v>4242</v>
      </c>
      <c r="F2122"/>
      <c r="G2122"/>
      <c r="H2122">
        <v>5</v>
      </c>
    </row>
    <row r="2123" spans="1:8" x14ac:dyDescent="0.2">
      <c r="A2123" t="s">
        <v>2944</v>
      </c>
      <c r="B2123" s="44">
        <v>42695</v>
      </c>
      <c r="C2123" t="s">
        <v>4</v>
      </c>
      <c r="D2123" t="s">
        <v>3849</v>
      </c>
      <c r="F2123"/>
      <c r="G2123"/>
      <c r="H2123">
        <v>5</v>
      </c>
    </row>
    <row r="2124" spans="1:8" x14ac:dyDescent="0.2">
      <c r="A2124" t="s">
        <v>2965</v>
      </c>
      <c r="B2124" s="44">
        <v>42697</v>
      </c>
      <c r="C2124" t="s">
        <v>4</v>
      </c>
      <c r="D2124" t="s">
        <v>4243</v>
      </c>
      <c r="F2124"/>
      <c r="G2124"/>
      <c r="H2124">
        <v>5</v>
      </c>
    </row>
    <row r="2125" spans="1:8" x14ac:dyDescent="0.2">
      <c r="A2125" t="s">
        <v>3005</v>
      </c>
      <c r="B2125" s="44">
        <v>42702</v>
      </c>
      <c r="C2125" t="s">
        <v>4</v>
      </c>
      <c r="D2125" t="s">
        <v>3851</v>
      </c>
      <c r="F2125"/>
      <c r="G2125"/>
      <c r="H2125">
        <v>5</v>
      </c>
    </row>
    <row r="2126" spans="1:8" x14ac:dyDescent="0.2">
      <c r="A2126" t="s">
        <v>1080</v>
      </c>
      <c r="B2126" s="44">
        <v>42706</v>
      </c>
      <c r="C2126" t="s">
        <v>4</v>
      </c>
      <c r="D2126" t="s">
        <v>4244</v>
      </c>
      <c r="F2126"/>
      <c r="G2126"/>
      <c r="H2126">
        <v>5</v>
      </c>
    </row>
    <row r="2127" spans="1:8" x14ac:dyDescent="0.2">
      <c r="A2127" t="s">
        <v>1166</v>
      </c>
      <c r="B2127" s="44">
        <v>42740</v>
      </c>
      <c r="C2127" t="s">
        <v>4</v>
      </c>
      <c r="D2127" t="s">
        <v>3849</v>
      </c>
      <c r="F2127"/>
      <c r="G2127"/>
      <c r="H2127">
        <v>5</v>
      </c>
    </row>
    <row r="2128" spans="1:8" x14ac:dyDescent="0.2">
      <c r="A2128" t="s">
        <v>1345</v>
      </c>
      <c r="B2128" s="44">
        <v>42748</v>
      </c>
      <c r="C2128" t="s">
        <v>4</v>
      </c>
      <c r="D2128" t="s">
        <v>3852</v>
      </c>
      <c r="F2128"/>
      <c r="G2128"/>
      <c r="H2128">
        <v>5</v>
      </c>
    </row>
    <row r="2129" spans="1:8" x14ac:dyDescent="0.2">
      <c r="A2129" t="s">
        <v>1175</v>
      </c>
      <c r="B2129" s="44">
        <v>42773</v>
      </c>
      <c r="C2129" t="s">
        <v>4</v>
      </c>
      <c r="D2129" t="s">
        <v>4245</v>
      </c>
      <c r="F2129"/>
      <c r="G2129"/>
      <c r="H2129">
        <v>5</v>
      </c>
    </row>
    <row r="2130" spans="1:8" x14ac:dyDescent="0.2">
      <c r="A2130" t="s">
        <v>1180</v>
      </c>
      <c r="B2130" s="44">
        <v>42774</v>
      </c>
      <c r="C2130" t="s">
        <v>4</v>
      </c>
      <c r="D2130" t="s">
        <v>4246</v>
      </c>
      <c r="F2130"/>
      <c r="G2130"/>
      <c r="H2130">
        <v>5</v>
      </c>
    </row>
    <row r="2131" spans="1:8" x14ac:dyDescent="0.2">
      <c r="A2131" t="s">
        <v>1570</v>
      </c>
      <c r="B2131" s="44">
        <v>42787</v>
      </c>
      <c r="C2131" t="s">
        <v>4</v>
      </c>
      <c r="D2131" t="s">
        <v>4247</v>
      </c>
      <c r="H2131">
        <v>5</v>
      </c>
    </row>
    <row r="2132" spans="1:8" x14ac:dyDescent="0.2">
      <c r="A2132" t="s">
        <v>1579</v>
      </c>
      <c r="B2132" s="44">
        <v>42788</v>
      </c>
      <c r="C2132" t="s">
        <v>4</v>
      </c>
      <c r="D2132" t="s">
        <v>4100</v>
      </c>
      <c r="F2132"/>
      <c r="G2132"/>
      <c r="H2132">
        <v>5</v>
      </c>
    </row>
    <row r="2133" spans="1:8" x14ac:dyDescent="0.2">
      <c r="A2133" t="s">
        <v>1580</v>
      </c>
      <c r="B2133" s="44">
        <v>42788</v>
      </c>
      <c r="C2133" t="s">
        <v>4</v>
      </c>
      <c r="D2133" t="s">
        <v>4248</v>
      </c>
      <c r="F2133"/>
      <c r="G2133"/>
      <c r="H2133">
        <v>5</v>
      </c>
    </row>
    <row r="2134" spans="1:8" x14ac:dyDescent="0.2">
      <c r="A2134" t="s">
        <v>1582</v>
      </c>
      <c r="B2134" s="44">
        <v>42788</v>
      </c>
      <c r="C2134" t="s">
        <v>4</v>
      </c>
      <c r="D2134" t="s">
        <v>4249</v>
      </c>
      <c r="F2134"/>
      <c r="G2134"/>
      <c r="H2134">
        <v>5</v>
      </c>
    </row>
    <row r="2135" spans="1:8" x14ac:dyDescent="0.2">
      <c r="A2135" t="s">
        <v>1656</v>
      </c>
      <c r="B2135" s="44">
        <v>42794</v>
      </c>
      <c r="C2135" t="s">
        <v>4</v>
      </c>
      <c r="D2135" t="s">
        <v>4250</v>
      </c>
      <c r="F2135"/>
      <c r="G2135"/>
      <c r="H2135">
        <v>5</v>
      </c>
    </row>
    <row r="2136" spans="1:8" x14ac:dyDescent="0.2">
      <c r="A2136" t="s">
        <v>1171</v>
      </c>
      <c r="B2136" s="44">
        <v>42800</v>
      </c>
      <c r="C2136" t="s">
        <v>4</v>
      </c>
      <c r="D2136" t="s">
        <v>3849</v>
      </c>
      <c r="F2136"/>
      <c r="G2136"/>
      <c r="H2136">
        <v>5</v>
      </c>
    </row>
    <row r="2137" spans="1:8" x14ac:dyDescent="0.2">
      <c r="A2137" t="s">
        <v>1172</v>
      </c>
      <c r="B2137" s="44">
        <v>42800</v>
      </c>
      <c r="C2137" t="s">
        <v>4</v>
      </c>
      <c r="D2137" t="s">
        <v>4251</v>
      </c>
      <c r="F2137"/>
      <c r="G2137"/>
      <c r="H2137">
        <v>5</v>
      </c>
    </row>
    <row r="2138" spans="1:8" x14ac:dyDescent="0.2">
      <c r="A2138" t="s">
        <v>1721</v>
      </c>
      <c r="B2138" s="44">
        <v>42814</v>
      </c>
      <c r="C2138" t="s">
        <v>4</v>
      </c>
      <c r="D2138" t="s">
        <v>3849</v>
      </c>
      <c r="F2138"/>
      <c r="G2138"/>
      <c r="H2138">
        <v>5</v>
      </c>
    </row>
    <row r="2139" spans="1:8" x14ac:dyDescent="0.2">
      <c r="A2139" t="s">
        <v>1751</v>
      </c>
      <c r="B2139" s="44">
        <v>42817</v>
      </c>
      <c r="C2139" t="s">
        <v>4</v>
      </c>
      <c r="D2139" t="s">
        <v>3859</v>
      </c>
      <c r="F2139"/>
      <c r="G2139"/>
      <c r="H2139">
        <v>5</v>
      </c>
    </row>
    <row r="2140" spans="1:8" x14ac:dyDescent="0.2">
      <c r="A2140" t="s">
        <v>1167</v>
      </c>
      <c r="B2140" s="44">
        <v>42830</v>
      </c>
      <c r="C2140" t="s">
        <v>4</v>
      </c>
      <c r="D2140" t="s">
        <v>4214</v>
      </c>
      <c r="F2140"/>
      <c r="G2140"/>
      <c r="H2140">
        <v>5</v>
      </c>
    </row>
    <row r="2141" spans="1:8" x14ac:dyDescent="0.2">
      <c r="A2141" t="s">
        <v>1866</v>
      </c>
      <c r="B2141" s="44">
        <v>42846</v>
      </c>
      <c r="C2141" t="s">
        <v>4</v>
      </c>
      <c r="D2141" t="s">
        <v>4252</v>
      </c>
      <c r="F2141"/>
      <c r="G2141"/>
      <c r="H2141">
        <v>5</v>
      </c>
    </row>
    <row r="2142" spans="1:8" x14ac:dyDescent="0.2">
      <c r="A2142" t="s">
        <v>2095</v>
      </c>
      <c r="B2142" s="44">
        <v>42899</v>
      </c>
      <c r="C2142" t="s">
        <v>4</v>
      </c>
      <c r="D2142" t="s">
        <v>4253</v>
      </c>
      <c r="F2142"/>
      <c r="G2142"/>
      <c r="H2142">
        <v>5</v>
      </c>
    </row>
    <row r="2143" spans="1:8" x14ac:dyDescent="0.2">
      <c r="A2143" t="s">
        <v>2204</v>
      </c>
      <c r="B2143" s="44">
        <v>42907</v>
      </c>
      <c r="C2143" t="s">
        <v>4</v>
      </c>
      <c r="D2143" t="s">
        <v>4254</v>
      </c>
      <c r="F2143"/>
      <c r="G2143"/>
      <c r="H2143">
        <v>5</v>
      </c>
    </row>
    <row r="2144" spans="1:8" x14ac:dyDescent="0.2">
      <c r="A2144" t="s">
        <v>2220</v>
      </c>
      <c r="B2144" s="44">
        <v>42908</v>
      </c>
      <c r="C2144" t="s">
        <v>4</v>
      </c>
      <c r="D2144" t="s">
        <v>4255</v>
      </c>
      <c r="F2144"/>
      <c r="G2144"/>
      <c r="H2144">
        <v>5</v>
      </c>
    </row>
    <row r="2145" spans="1:8" x14ac:dyDescent="0.2">
      <c r="A2145" t="s">
        <v>1182</v>
      </c>
      <c r="B2145" s="44">
        <v>42924</v>
      </c>
      <c r="C2145" t="s">
        <v>4</v>
      </c>
      <c r="D2145" t="s">
        <v>4256</v>
      </c>
      <c r="F2145"/>
      <c r="G2145"/>
      <c r="H2145">
        <v>5</v>
      </c>
    </row>
    <row r="2146" spans="1:8" x14ac:dyDescent="0.2">
      <c r="A2146" t="s">
        <v>1197</v>
      </c>
      <c r="B2146" s="44">
        <v>42927</v>
      </c>
      <c r="C2146" t="s">
        <v>4</v>
      </c>
      <c r="D2146" t="s">
        <v>4257</v>
      </c>
      <c r="F2146"/>
      <c r="G2146"/>
      <c r="H2146">
        <v>5</v>
      </c>
    </row>
    <row r="2147" spans="1:8" x14ac:dyDescent="0.2">
      <c r="A2147" t="s">
        <v>1198</v>
      </c>
      <c r="B2147" s="44">
        <v>42927</v>
      </c>
      <c r="C2147" t="s">
        <v>4</v>
      </c>
      <c r="D2147" t="s">
        <v>4258</v>
      </c>
      <c r="F2147"/>
      <c r="G2147"/>
      <c r="H2147">
        <v>5</v>
      </c>
    </row>
    <row r="2148" spans="1:8" x14ac:dyDescent="0.2">
      <c r="A2148" t="s">
        <v>2341</v>
      </c>
      <c r="B2148" s="44">
        <v>42933</v>
      </c>
      <c r="C2148" t="s">
        <v>4</v>
      </c>
      <c r="D2148" t="s">
        <v>4259</v>
      </c>
      <c r="F2148"/>
      <c r="G2148"/>
      <c r="H2148">
        <v>5</v>
      </c>
    </row>
    <row r="2149" spans="1:8" x14ac:dyDescent="0.2">
      <c r="A2149" t="s">
        <v>2394</v>
      </c>
      <c r="B2149" s="44">
        <v>42940</v>
      </c>
      <c r="C2149" t="s">
        <v>4</v>
      </c>
      <c r="D2149" t="s">
        <v>4260</v>
      </c>
      <c r="F2149"/>
      <c r="G2149"/>
      <c r="H2149">
        <v>5</v>
      </c>
    </row>
    <row r="2150" spans="1:8" x14ac:dyDescent="0.2">
      <c r="A2150" t="s">
        <v>2399</v>
      </c>
      <c r="B2150" s="44">
        <v>42941</v>
      </c>
      <c r="C2150" t="s">
        <v>4</v>
      </c>
      <c r="D2150" t="s">
        <v>4261</v>
      </c>
      <c r="F2150"/>
      <c r="G2150"/>
      <c r="H2150">
        <v>5</v>
      </c>
    </row>
    <row r="2151" spans="1:8" x14ac:dyDescent="0.2">
      <c r="A2151" t="s">
        <v>2466</v>
      </c>
      <c r="B2151" s="44">
        <v>42977</v>
      </c>
      <c r="C2151" t="s">
        <v>4</v>
      </c>
      <c r="D2151" t="s">
        <v>4262</v>
      </c>
      <c r="F2151"/>
      <c r="G2151"/>
      <c r="H2151">
        <v>5</v>
      </c>
    </row>
    <row r="2152" spans="1:8" x14ac:dyDescent="0.2">
      <c r="A2152" t="s">
        <v>2468</v>
      </c>
      <c r="B2152" s="44">
        <v>42978</v>
      </c>
      <c r="C2152" t="s">
        <v>4</v>
      </c>
      <c r="D2152" t="s">
        <v>4263</v>
      </c>
      <c r="F2152"/>
      <c r="G2152"/>
      <c r="H2152">
        <v>5</v>
      </c>
    </row>
    <row r="2153" spans="1:8" x14ac:dyDescent="0.2">
      <c r="A2153" t="s">
        <v>1165</v>
      </c>
      <c r="B2153" s="44">
        <v>42982</v>
      </c>
      <c r="C2153" t="s">
        <v>4</v>
      </c>
      <c r="D2153" t="s">
        <v>4264</v>
      </c>
      <c r="F2153"/>
      <c r="G2153"/>
      <c r="H2153">
        <v>5</v>
      </c>
    </row>
    <row r="2154" spans="1:8" x14ac:dyDescent="0.2">
      <c r="A2154" t="s">
        <v>1200</v>
      </c>
      <c r="B2154" s="44">
        <v>42990</v>
      </c>
      <c r="C2154" t="s">
        <v>4</v>
      </c>
      <c r="D2154" t="s">
        <v>4265</v>
      </c>
      <c r="F2154"/>
      <c r="G2154"/>
      <c r="H2154">
        <v>5</v>
      </c>
    </row>
    <row r="2155" spans="1:8" x14ac:dyDescent="0.2">
      <c r="A2155" t="s">
        <v>2496</v>
      </c>
      <c r="B2155" s="44">
        <v>42993</v>
      </c>
      <c r="C2155" t="s">
        <v>4</v>
      </c>
      <c r="D2155" t="s">
        <v>4266</v>
      </c>
      <c r="F2155"/>
      <c r="G2155"/>
      <c r="H2155">
        <v>5</v>
      </c>
    </row>
    <row r="2156" spans="1:8" x14ac:dyDescent="0.2">
      <c r="A2156" t="s">
        <v>2530</v>
      </c>
      <c r="B2156" s="44">
        <v>42997</v>
      </c>
      <c r="C2156" t="s">
        <v>4</v>
      </c>
      <c r="D2156" t="s">
        <v>4267</v>
      </c>
      <c r="F2156"/>
      <c r="G2156"/>
      <c r="H2156">
        <v>5</v>
      </c>
    </row>
    <row r="2157" spans="1:8" x14ac:dyDescent="0.2">
      <c r="A2157" t="s">
        <v>2626</v>
      </c>
      <c r="B2157" s="44">
        <v>43007</v>
      </c>
      <c r="C2157" t="s">
        <v>4</v>
      </c>
      <c r="D2157" t="s">
        <v>4242</v>
      </c>
      <c r="F2157"/>
      <c r="G2157"/>
      <c r="H2157">
        <v>5</v>
      </c>
    </row>
    <row r="2158" spans="1:8" x14ac:dyDescent="0.2">
      <c r="A2158" t="s">
        <v>2625</v>
      </c>
      <c r="B2158" s="44">
        <v>43007</v>
      </c>
      <c r="C2158" t="s">
        <v>4</v>
      </c>
      <c r="D2158" t="s">
        <v>4271</v>
      </c>
      <c r="F2158"/>
      <c r="G2158"/>
      <c r="H2158">
        <v>5</v>
      </c>
    </row>
    <row r="2159" spans="1:8" x14ac:dyDescent="0.2">
      <c r="A2159" t="s">
        <v>1169</v>
      </c>
      <c r="B2159" s="44">
        <v>43013</v>
      </c>
      <c r="C2159" t="s">
        <v>4</v>
      </c>
      <c r="D2159" t="s">
        <v>4272</v>
      </c>
      <c r="F2159"/>
      <c r="G2159"/>
      <c r="H2159">
        <v>5</v>
      </c>
    </row>
    <row r="2160" spans="1:8" x14ac:dyDescent="0.2">
      <c r="A2160" t="s">
        <v>1168</v>
      </c>
      <c r="B2160" s="44">
        <v>43013</v>
      </c>
      <c r="C2160" t="s">
        <v>4</v>
      </c>
      <c r="D2160" t="s">
        <v>4184</v>
      </c>
      <c r="F2160"/>
      <c r="G2160"/>
      <c r="H2160">
        <v>5</v>
      </c>
    </row>
    <row r="2161" spans="1:8" x14ac:dyDescent="0.2">
      <c r="A2161" t="s">
        <v>1174</v>
      </c>
      <c r="B2161" s="44">
        <v>43014</v>
      </c>
      <c r="C2161" t="s">
        <v>4</v>
      </c>
      <c r="D2161" t="s">
        <v>4273</v>
      </c>
      <c r="F2161"/>
      <c r="G2161"/>
      <c r="H2161">
        <v>5</v>
      </c>
    </row>
    <row r="2162" spans="1:8" x14ac:dyDescent="0.2">
      <c r="A2162" t="s">
        <v>1201</v>
      </c>
      <c r="B2162" s="44">
        <v>43020</v>
      </c>
      <c r="C2162" t="s">
        <v>4</v>
      </c>
      <c r="D2162" t="s">
        <v>4274</v>
      </c>
      <c r="F2162"/>
      <c r="G2162"/>
      <c r="H2162">
        <v>5</v>
      </c>
    </row>
    <row r="2163" spans="1:8" x14ac:dyDescent="0.2">
      <c r="A2163" t="s">
        <v>2650</v>
      </c>
      <c r="B2163" s="44">
        <v>43021</v>
      </c>
      <c r="C2163" t="s">
        <v>4</v>
      </c>
      <c r="D2163" t="s">
        <v>4275</v>
      </c>
      <c r="F2163"/>
      <c r="G2163"/>
      <c r="H2163">
        <v>5</v>
      </c>
    </row>
    <row r="2164" spans="1:8" x14ac:dyDescent="0.2">
      <c r="A2164" t="s">
        <v>2685</v>
      </c>
      <c r="B2164" s="44">
        <v>43025</v>
      </c>
      <c r="C2164" t="s">
        <v>4</v>
      </c>
      <c r="D2164" t="s">
        <v>4276</v>
      </c>
      <c r="F2164"/>
      <c r="G2164"/>
      <c r="H2164">
        <v>5</v>
      </c>
    </row>
    <row r="2165" spans="1:8" x14ac:dyDescent="0.2">
      <c r="A2165" t="s">
        <v>1147</v>
      </c>
      <c r="B2165" s="44">
        <v>43040</v>
      </c>
      <c r="C2165" t="s">
        <v>4</v>
      </c>
      <c r="D2165" t="s">
        <v>3853</v>
      </c>
      <c r="F2165"/>
      <c r="G2165"/>
      <c r="H2165">
        <v>5</v>
      </c>
    </row>
    <row r="2166" spans="1:8" x14ac:dyDescent="0.2">
      <c r="A2166" t="s">
        <v>1179</v>
      </c>
      <c r="B2166" s="44">
        <v>43046</v>
      </c>
      <c r="C2166" t="s">
        <v>4</v>
      </c>
      <c r="D2166" t="s">
        <v>3854</v>
      </c>
      <c r="F2166"/>
      <c r="G2166"/>
      <c r="H2166">
        <v>5</v>
      </c>
    </row>
    <row r="2167" spans="1:8" x14ac:dyDescent="0.2">
      <c r="A2167" t="s">
        <v>1183</v>
      </c>
      <c r="B2167" s="44">
        <v>43047</v>
      </c>
      <c r="C2167" t="s">
        <v>4</v>
      </c>
      <c r="D2167" t="s">
        <v>3855</v>
      </c>
      <c r="F2167"/>
      <c r="G2167"/>
      <c r="H2167">
        <v>5</v>
      </c>
    </row>
    <row r="2168" spans="1:8" x14ac:dyDescent="0.2">
      <c r="A2168" t="s">
        <v>1187</v>
      </c>
      <c r="B2168" s="44">
        <v>43048</v>
      </c>
      <c r="C2168" t="s">
        <v>4</v>
      </c>
      <c r="D2168" t="s">
        <v>3856</v>
      </c>
      <c r="F2168"/>
      <c r="G2168"/>
      <c r="H2168">
        <v>5</v>
      </c>
    </row>
    <row r="2169" spans="1:8" x14ac:dyDescent="0.2">
      <c r="A2169" t="s">
        <v>2858</v>
      </c>
      <c r="B2169" s="44">
        <v>43053</v>
      </c>
      <c r="C2169" t="s">
        <v>4</v>
      </c>
      <c r="D2169" t="s">
        <v>4277</v>
      </c>
      <c r="F2169"/>
      <c r="G2169"/>
      <c r="H2169">
        <v>5</v>
      </c>
    </row>
    <row r="2170" spans="1:8" x14ac:dyDescent="0.2">
      <c r="A2170" t="s">
        <v>2856</v>
      </c>
      <c r="B2170" s="44">
        <v>43053</v>
      </c>
      <c r="C2170" t="s">
        <v>4</v>
      </c>
      <c r="D2170" t="s">
        <v>2857</v>
      </c>
      <c r="F2170"/>
      <c r="G2170"/>
      <c r="H2170">
        <v>5</v>
      </c>
    </row>
    <row r="2171" spans="1:8" x14ac:dyDescent="0.2">
      <c r="A2171" t="s">
        <v>2868</v>
      </c>
      <c r="B2171" s="44">
        <v>43054</v>
      </c>
      <c r="C2171" t="s">
        <v>4</v>
      </c>
      <c r="D2171" t="s">
        <v>4279</v>
      </c>
      <c r="F2171"/>
      <c r="G2171"/>
      <c r="H2171">
        <v>5</v>
      </c>
    </row>
    <row r="2172" spans="1:8" x14ac:dyDescent="0.2">
      <c r="A2172" t="s">
        <v>2867</v>
      </c>
      <c r="B2172" s="44">
        <v>43054</v>
      </c>
      <c r="C2172" t="s">
        <v>5834</v>
      </c>
      <c r="D2172" t="s">
        <v>4278</v>
      </c>
      <c r="F2172"/>
      <c r="G2172"/>
      <c r="H2172">
        <v>5</v>
      </c>
    </row>
    <row r="2173" spans="1:8" x14ac:dyDescent="0.2">
      <c r="A2173" t="s">
        <v>2935</v>
      </c>
      <c r="B2173" s="44">
        <v>43059</v>
      </c>
      <c r="C2173" t="s">
        <v>4</v>
      </c>
      <c r="D2173" t="s">
        <v>4280</v>
      </c>
      <c r="F2173"/>
      <c r="G2173"/>
      <c r="H2173">
        <v>5</v>
      </c>
    </row>
    <row r="2174" spans="1:8" x14ac:dyDescent="0.2">
      <c r="A2174" t="s">
        <v>2945</v>
      </c>
      <c r="B2174" s="44">
        <v>43060</v>
      </c>
      <c r="C2174" t="s">
        <v>4</v>
      </c>
      <c r="D2174" t="s">
        <v>4281</v>
      </c>
      <c r="F2174"/>
      <c r="G2174"/>
      <c r="H2174">
        <v>5</v>
      </c>
    </row>
    <row r="2175" spans="1:8" x14ac:dyDescent="0.2">
      <c r="A2175" t="s">
        <v>2998</v>
      </c>
      <c r="B2175" s="44">
        <v>43066</v>
      </c>
      <c r="C2175" t="s">
        <v>4</v>
      </c>
      <c r="D2175" t="s">
        <v>4282</v>
      </c>
      <c r="F2175"/>
      <c r="G2175"/>
      <c r="H2175">
        <v>5</v>
      </c>
    </row>
    <row r="2176" spans="1:8" x14ac:dyDescent="0.2">
      <c r="A2176" t="s">
        <v>3016</v>
      </c>
      <c r="B2176" s="44">
        <v>43068</v>
      </c>
      <c r="C2176" t="s">
        <v>4</v>
      </c>
      <c r="D2176" t="s">
        <v>4283</v>
      </c>
      <c r="F2176"/>
      <c r="G2176"/>
      <c r="H2176">
        <v>5</v>
      </c>
    </row>
    <row r="2177" spans="1:8" x14ac:dyDescent="0.2">
      <c r="A2177" t="s">
        <v>3024</v>
      </c>
      <c r="B2177" s="44">
        <v>43069</v>
      </c>
      <c r="C2177" t="s">
        <v>4</v>
      </c>
      <c r="D2177" t="s">
        <v>4284</v>
      </c>
      <c r="F2177"/>
      <c r="G2177"/>
      <c r="H2177">
        <v>5</v>
      </c>
    </row>
    <row r="2178" spans="1:8" x14ac:dyDescent="0.2">
      <c r="A2178" t="s">
        <v>3043</v>
      </c>
      <c r="B2178" s="44">
        <v>43084</v>
      </c>
      <c r="C2178" t="s">
        <v>4</v>
      </c>
      <c r="D2178" t="s">
        <v>4285</v>
      </c>
      <c r="F2178"/>
      <c r="G2178"/>
      <c r="H2178">
        <v>5</v>
      </c>
    </row>
    <row r="2179" spans="1:8" x14ac:dyDescent="0.2">
      <c r="A2179" t="s">
        <v>1355</v>
      </c>
      <c r="B2179" s="44">
        <v>43115</v>
      </c>
      <c r="C2179" t="s">
        <v>4</v>
      </c>
      <c r="D2179" t="s">
        <v>4286</v>
      </c>
      <c r="F2179"/>
      <c r="G2179"/>
      <c r="H2179">
        <v>5</v>
      </c>
    </row>
    <row r="2180" spans="1:8" x14ac:dyDescent="0.2">
      <c r="A2180" t="s">
        <v>1362</v>
      </c>
      <c r="B2180" s="44">
        <v>43116</v>
      </c>
      <c r="C2180" t="s">
        <v>4</v>
      </c>
      <c r="D2180" t="s">
        <v>1363</v>
      </c>
      <c r="F2180"/>
      <c r="G2180"/>
      <c r="H2180">
        <v>5</v>
      </c>
    </row>
    <row r="2181" spans="1:8" x14ac:dyDescent="0.2">
      <c r="A2181" t="s">
        <v>1369</v>
      </c>
      <c r="B2181" s="44">
        <v>43117</v>
      </c>
      <c r="C2181" t="s">
        <v>4</v>
      </c>
      <c r="D2181" t="s">
        <v>4287</v>
      </c>
      <c r="F2181"/>
      <c r="G2181"/>
      <c r="H2181">
        <v>5</v>
      </c>
    </row>
    <row r="2182" spans="1:8" x14ac:dyDescent="0.2">
      <c r="A2182" t="s">
        <v>1202</v>
      </c>
      <c r="B2182" s="44">
        <v>43132</v>
      </c>
      <c r="C2182" t="s">
        <v>4</v>
      </c>
      <c r="D2182" t="s">
        <v>3844</v>
      </c>
      <c r="F2182"/>
      <c r="G2182"/>
      <c r="H2182">
        <v>5</v>
      </c>
    </row>
    <row r="2183" spans="1:8" x14ac:dyDescent="0.2">
      <c r="A2183" t="s">
        <v>1234</v>
      </c>
      <c r="B2183" s="44">
        <v>43140</v>
      </c>
      <c r="C2183" t="s">
        <v>4</v>
      </c>
      <c r="D2183" t="s">
        <v>4288</v>
      </c>
      <c r="F2183"/>
      <c r="G2183"/>
      <c r="H2183">
        <v>5</v>
      </c>
    </row>
    <row r="2184" spans="1:8" x14ac:dyDescent="0.2">
      <c r="A2184" t="s">
        <v>1246</v>
      </c>
      <c r="B2184" s="44">
        <v>43143</v>
      </c>
      <c r="C2184" t="s">
        <v>4</v>
      </c>
      <c r="D2184" t="s">
        <v>4290</v>
      </c>
      <c r="F2184"/>
      <c r="G2184"/>
      <c r="H2184">
        <v>5</v>
      </c>
    </row>
    <row r="2185" spans="1:8" x14ac:dyDescent="0.2">
      <c r="A2185" t="s">
        <v>1245</v>
      </c>
      <c r="B2185" s="44">
        <v>43143</v>
      </c>
      <c r="C2185" t="s">
        <v>4</v>
      </c>
      <c r="D2185" t="s">
        <v>4289</v>
      </c>
      <c r="F2185"/>
      <c r="G2185"/>
      <c r="H2185">
        <v>5</v>
      </c>
    </row>
    <row r="2186" spans="1:8" x14ac:dyDescent="0.2">
      <c r="A2186" t="s">
        <v>1593</v>
      </c>
      <c r="B2186" s="44">
        <v>43154</v>
      </c>
      <c r="C2186" t="s">
        <v>4</v>
      </c>
      <c r="D2186" t="s">
        <v>4291</v>
      </c>
      <c r="F2186"/>
      <c r="G2186"/>
      <c r="H2186">
        <v>5</v>
      </c>
    </row>
    <row r="2187" spans="1:8" x14ac:dyDescent="0.2">
      <c r="A2187" t="s">
        <v>1634</v>
      </c>
      <c r="B2187" s="44">
        <v>43157</v>
      </c>
      <c r="C2187" t="s">
        <v>4</v>
      </c>
      <c r="D2187" t="s">
        <v>4292</v>
      </c>
      <c r="F2187"/>
      <c r="G2187"/>
      <c r="H2187">
        <v>5</v>
      </c>
    </row>
    <row r="2188" spans="1:8" x14ac:dyDescent="0.2">
      <c r="A2188" t="s">
        <v>1644</v>
      </c>
      <c r="B2188" s="44">
        <v>43158</v>
      </c>
      <c r="C2188" t="s">
        <v>4</v>
      </c>
      <c r="D2188" t="s">
        <v>4293</v>
      </c>
      <c r="F2188"/>
      <c r="G2188"/>
      <c r="H2188">
        <v>5</v>
      </c>
    </row>
    <row r="2189" spans="1:8" x14ac:dyDescent="0.2">
      <c r="A2189" t="s">
        <v>1226</v>
      </c>
      <c r="B2189" s="44">
        <v>43165</v>
      </c>
      <c r="C2189" t="s">
        <v>4</v>
      </c>
      <c r="D2189" t="s">
        <v>4073</v>
      </c>
      <c r="F2189"/>
      <c r="G2189"/>
      <c r="H2189">
        <v>5</v>
      </c>
    </row>
    <row r="2190" spans="1:8" x14ac:dyDescent="0.2">
      <c r="A2190" t="s">
        <v>1745</v>
      </c>
      <c r="B2190" s="44">
        <v>43181</v>
      </c>
      <c r="C2190" t="s">
        <v>4</v>
      </c>
      <c r="D2190" t="s">
        <v>4294</v>
      </c>
      <c r="F2190"/>
      <c r="G2190"/>
      <c r="H2190">
        <v>5</v>
      </c>
    </row>
    <row r="2191" spans="1:8" x14ac:dyDescent="0.2">
      <c r="A2191" t="s">
        <v>1752</v>
      </c>
      <c r="B2191" s="44">
        <v>43182</v>
      </c>
      <c r="C2191" t="s">
        <v>4</v>
      </c>
      <c r="D2191" t="s">
        <v>4295</v>
      </c>
      <c r="F2191"/>
      <c r="G2191"/>
      <c r="H2191">
        <v>5</v>
      </c>
    </row>
    <row r="2192" spans="1:8" x14ac:dyDescent="0.2">
      <c r="A2192" t="s">
        <v>1238</v>
      </c>
      <c r="B2192" s="44">
        <v>43200</v>
      </c>
      <c r="C2192" t="s">
        <v>4</v>
      </c>
      <c r="D2192" t="s">
        <v>4296</v>
      </c>
      <c r="F2192"/>
      <c r="G2192"/>
      <c r="H2192">
        <v>5</v>
      </c>
    </row>
    <row r="2193" spans="1:8" x14ac:dyDescent="0.2">
      <c r="A2193" t="s">
        <v>1247</v>
      </c>
      <c r="B2193" s="44">
        <v>43202</v>
      </c>
      <c r="C2193" t="s">
        <v>4</v>
      </c>
      <c r="D2193" t="s">
        <v>4297</v>
      </c>
      <c r="F2193"/>
      <c r="G2193"/>
      <c r="H2193">
        <v>5</v>
      </c>
    </row>
    <row r="2194" spans="1:8" x14ac:dyDescent="0.2">
      <c r="A2194" t="s">
        <v>1840</v>
      </c>
      <c r="B2194" s="44">
        <v>43208</v>
      </c>
      <c r="C2194" t="s">
        <v>4</v>
      </c>
      <c r="D2194" t="s">
        <v>4298</v>
      </c>
      <c r="F2194"/>
      <c r="G2194"/>
      <c r="H2194">
        <v>5</v>
      </c>
    </row>
    <row r="2195" spans="1:8" x14ac:dyDescent="0.2">
      <c r="A2195" t="s">
        <v>1847</v>
      </c>
      <c r="B2195" s="44">
        <v>43209</v>
      </c>
      <c r="C2195" t="s">
        <v>4</v>
      </c>
      <c r="D2195" t="s">
        <v>4299</v>
      </c>
      <c r="F2195"/>
      <c r="G2195"/>
      <c r="H2195">
        <v>5</v>
      </c>
    </row>
    <row r="2196" spans="1:8" x14ac:dyDescent="0.2">
      <c r="A2196" t="s">
        <v>1848</v>
      </c>
      <c r="B2196" s="44">
        <v>43209</v>
      </c>
      <c r="C2196" t="s">
        <v>4</v>
      </c>
      <c r="D2196" t="s">
        <v>4300</v>
      </c>
      <c r="F2196"/>
      <c r="G2196"/>
      <c r="H2196">
        <v>5</v>
      </c>
    </row>
    <row r="2197" spans="1:8" x14ac:dyDescent="0.2">
      <c r="A2197" t="s">
        <v>1858</v>
      </c>
      <c r="B2197" s="44">
        <v>43210</v>
      </c>
      <c r="C2197" t="s">
        <v>4</v>
      </c>
      <c r="D2197" t="s">
        <v>4301</v>
      </c>
      <c r="F2197"/>
      <c r="G2197"/>
      <c r="H2197">
        <v>5</v>
      </c>
    </row>
    <row r="2198" spans="1:8" x14ac:dyDescent="0.2">
      <c r="A2198" t="s">
        <v>1889</v>
      </c>
      <c r="B2198" s="44">
        <v>43214</v>
      </c>
      <c r="C2198" t="s">
        <v>4</v>
      </c>
      <c r="D2198" t="s">
        <v>4304</v>
      </c>
      <c r="F2198"/>
      <c r="G2198"/>
      <c r="H2198">
        <v>5</v>
      </c>
    </row>
    <row r="2199" spans="1:8" x14ac:dyDescent="0.2">
      <c r="A2199" t="s">
        <v>1888</v>
      </c>
      <c r="B2199" s="44">
        <v>43214</v>
      </c>
      <c r="C2199" t="s">
        <v>4</v>
      </c>
      <c r="D2199" t="s">
        <v>4303</v>
      </c>
      <c r="F2199"/>
      <c r="G2199"/>
      <c r="H2199">
        <v>5</v>
      </c>
    </row>
    <row r="2200" spans="1:8" x14ac:dyDescent="0.2">
      <c r="A2200" t="s">
        <v>1887</v>
      </c>
      <c r="B2200" s="44">
        <v>43214</v>
      </c>
      <c r="C2200" t="s">
        <v>4</v>
      </c>
      <c r="D2200" t="s">
        <v>4302</v>
      </c>
      <c r="F2200"/>
      <c r="G2200"/>
      <c r="H2200">
        <v>5</v>
      </c>
    </row>
    <row r="2201" spans="1:8" x14ac:dyDescent="0.2">
      <c r="A2201" t="s">
        <v>1890</v>
      </c>
      <c r="B2201" s="44">
        <v>43214</v>
      </c>
      <c r="C2201" t="s">
        <v>4</v>
      </c>
      <c r="D2201" t="s">
        <v>4305</v>
      </c>
      <c r="F2201"/>
      <c r="G2201"/>
      <c r="H2201">
        <v>5</v>
      </c>
    </row>
    <row r="2202" spans="1:8" x14ac:dyDescent="0.2">
      <c r="A2202" t="s">
        <v>1899</v>
      </c>
      <c r="B2202" s="44">
        <v>43216</v>
      </c>
      <c r="C2202" t="s">
        <v>4</v>
      </c>
      <c r="D2202" t="s">
        <v>3834</v>
      </c>
      <c r="F2202"/>
      <c r="G2202"/>
      <c r="H2202">
        <v>5</v>
      </c>
    </row>
    <row r="2203" spans="1:8" x14ac:dyDescent="0.2">
      <c r="A2203" t="s">
        <v>1950</v>
      </c>
      <c r="B2203" s="44">
        <v>43236</v>
      </c>
      <c r="C2203" t="s">
        <v>4</v>
      </c>
      <c r="D2203" t="s">
        <v>4306</v>
      </c>
      <c r="F2203"/>
      <c r="G2203"/>
      <c r="H2203">
        <v>5</v>
      </c>
    </row>
    <row r="2204" spans="1:8" x14ac:dyDescent="0.2">
      <c r="A2204" t="s">
        <v>1960</v>
      </c>
      <c r="B2204" s="44">
        <v>43237</v>
      </c>
      <c r="C2204" t="s">
        <v>4</v>
      </c>
      <c r="D2204" t="s">
        <v>4261</v>
      </c>
      <c r="F2204"/>
      <c r="G2204"/>
      <c r="H2204">
        <v>5</v>
      </c>
    </row>
    <row r="2205" spans="1:8" x14ac:dyDescent="0.2">
      <c r="A2205" t="s">
        <v>2024</v>
      </c>
      <c r="B2205" s="44">
        <v>43242</v>
      </c>
      <c r="C2205" t="s">
        <v>4</v>
      </c>
      <c r="D2205" t="s">
        <v>4307</v>
      </c>
      <c r="F2205"/>
      <c r="G2205"/>
      <c r="H2205">
        <v>5</v>
      </c>
    </row>
    <row r="2206" spans="1:8" x14ac:dyDescent="0.2">
      <c r="A2206" t="s">
        <v>1218</v>
      </c>
      <c r="B2206" s="44">
        <v>43255</v>
      </c>
      <c r="C2206" t="s">
        <v>4</v>
      </c>
      <c r="D2206" t="s">
        <v>4308</v>
      </c>
      <c r="F2206"/>
      <c r="G2206"/>
      <c r="H2206">
        <v>5</v>
      </c>
    </row>
    <row r="2207" spans="1:8" x14ac:dyDescent="0.2">
      <c r="A2207" t="s">
        <v>1224</v>
      </c>
      <c r="B2207" s="44">
        <v>43256</v>
      </c>
      <c r="C2207" t="s">
        <v>4</v>
      </c>
      <c r="D2207" t="s">
        <v>4309</v>
      </c>
      <c r="F2207"/>
      <c r="G2207"/>
      <c r="H2207">
        <v>5</v>
      </c>
    </row>
    <row r="2208" spans="1:8" x14ac:dyDescent="0.2">
      <c r="A2208" t="s">
        <v>1228</v>
      </c>
      <c r="B2208" s="44">
        <v>43257</v>
      </c>
      <c r="C2208" t="s">
        <v>4</v>
      </c>
      <c r="D2208" t="s">
        <v>4310</v>
      </c>
      <c r="F2208"/>
      <c r="G2208"/>
      <c r="H2208">
        <v>5</v>
      </c>
    </row>
    <row r="2209" spans="1:8" x14ac:dyDescent="0.2">
      <c r="A2209" t="s">
        <v>1230</v>
      </c>
      <c r="B2209" s="44">
        <v>43258</v>
      </c>
      <c r="C2209" t="s">
        <v>4</v>
      </c>
      <c r="D2209" t="s">
        <v>4311</v>
      </c>
      <c r="F2209"/>
      <c r="G2209"/>
      <c r="H2209">
        <v>5</v>
      </c>
    </row>
    <row r="2210" spans="1:8" x14ac:dyDescent="0.2">
      <c r="A2210" t="s">
        <v>2096</v>
      </c>
      <c r="B2210" s="44">
        <v>43264</v>
      </c>
      <c r="C2210" t="s">
        <v>4</v>
      </c>
      <c r="D2210" t="s">
        <v>3857</v>
      </c>
      <c r="F2210"/>
      <c r="G2210"/>
      <c r="H2210">
        <v>5</v>
      </c>
    </row>
    <row r="2211" spans="1:8" x14ac:dyDescent="0.2">
      <c r="A2211" t="s">
        <v>2262</v>
      </c>
      <c r="B2211" s="44">
        <v>43277</v>
      </c>
      <c r="C2211" t="s">
        <v>4</v>
      </c>
      <c r="D2211" t="s">
        <v>4184</v>
      </c>
      <c r="F2211"/>
      <c r="G2211"/>
      <c r="H2211">
        <v>5</v>
      </c>
    </row>
    <row r="2212" spans="1:8" x14ac:dyDescent="0.2">
      <c r="A2212" t="s">
        <v>2261</v>
      </c>
      <c r="B2212" s="44">
        <v>43277</v>
      </c>
      <c r="C2212" t="s">
        <v>4</v>
      </c>
      <c r="D2212" t="s">
        <v>4312</v>
      </c>
      <c r="F2212"/>
      <c r="G2212"/>
      <c r="H2212">
        <v>5</v>
      </c>
    </row>
    <row r="2213" spans="1:8" x14ac:dyDescent="0.2">
      <c r="A2213" t="s">
        <v>2282</v>
      </c>
      <c r="B2213" s="44">
        <v>43279</v>
      </c>
      <c r="C2213" t="s">
        <v>4</v>
      </c>
      <c r="D2213" t="s">
        <v>3849</v>
      </c>
      <c r="F2213"/>
      <c r="G2213"/>
      <c r="H2213">
        <v>5</v>
      </c>
    </row>
    <row r="2214" spans="1:8" x14ac:dyDescent="0.2">
      <c r="A2214" t="s">
        <v>2281</v>
      </c>
      <c r="B2214" s="44">
        <v>43279</v>
      </c>
      <c r="C2214" t="s">
        <v>4</v>
      </c>
      <c r="D2214" t="s">
        <v>3422</v>
      </c>
      <c r="F2214"/>
      <c r="G2214"/>
      <c r="H2214">
        <v>5</v>
      </c>
    </row>
    <row r="2215" spans="1:8" x14ac:dyDescent="0.2">
      <c r="A2215" t="s">
        <v>1220</v>
      </c>
      <c r="B2215" s="44">
        <v>43285</v>
      </c>
      <c r="C2215" t="s">
        <v>4</v>
      </c>
      <c r="D2215" t="s">
        <v>4314</v>
      </c>
      <c r="F2215"/>
      <c r="G2215"/>
      <c r="H2215">
        <v>5</v>
      </c>
    </row>
    <row r="2216" spans="1:8" x14ac:dyDescent="0.2">
      <c r="A2216" t="s">
        <v>1219</v>
      </c>
      <c r="B2216" s="44">
        <v>43285</v>
      </c>
      <c r="C2216" t="s">
        <v>4</v>
      </c>
      <c r="D2216" t="s">
        <v>4313</v>
      </c>
      <c r="F2216"/>
      <c r="G2216"/>
      <c r="H2216">
        <v>5</v>
      </c>
    </row>
    <row r="2217" spans="1:8" x14ac:dyDescent="0.2">
      <c r="A2217" t="s">
        <v>1235</v>
      </c>
      <c r="B2217" s="44">
        <v>43290</v>
      </c>
      <c r="C2217" t="s">
        <v>4</v>
      </c>
      <c r="D2217" t="s">
        <v>4242</v>
      </c>
      <c r="F2217"/>
      <c r="G2217"/>
      <c r="H2217">
        <v>5</v>
      </c>
    </row>
    <row r="2218" spans="1:8" x14ac:dyDescent="0.2">
      <c r="A2218" t="s">
        <v>1241</v>
      </c>
      <c r="B2218" s="44">
        <v>43291</v>
      </c>
      <c r="C2218" t="s">
        <v>4</v>
      </c>
      <c r="D2218" t="s">
        <v>4315</v>
      </c>
      <c r="F2218"/>
      <c r="G2218"/>
      <c r="H2218">
        <v>5</v>
      </c>
    </row>
    <row r="2219" spans="1:8" x14ac:dyDescent="0.2">
      <c r="A2219" t="s">
        <v>2309</v>
      </c>
      <c r="B2219" s="44">
        <v>43294</v>
      </c>
      <c r="C2219" t="s">
        <v>4</v>
      </c>
      <c r="D2219" t="s">
        <v>3858</v>
      </c>
      <c r="F2219"/>
      <c r="G2219"/>
      <c r="H2219">
        <v>5</v>
      </c>
    </row>
    <row r="2220" spans="1:8" x14ac:dyDescent="0.2">
      <c r="A2220" t="s">
        <v>2388</v>
      </c>
      <c r="B2220" s="44">
        <v>43304</v>
      </c>
      <c r="C2220" t="s">
        <v>4</v>
      </c>
      <c r="D2220" t="s">
        <v>3787</v>
      </c>
      <c r="F2220"/>
      <c r="G2220"/>
      <c r="H2220">
        <v>5</v>
      </c>
    </row>
    <row r="2221" spans="1:8" x14ac:dyDescent="0.2">
      <c r="A2221" t="s">
        <v>1231</v>
      </c>
      <c r="B2221" s="44">
        <v>43319</v>
      </c>
      <c r="C2221" t="s">
        <v>4</v>
      </c>
      <c r="D2221" t="s">
        <v>4316</v>
      </c>
      <c r="F2221"/>
      <c r="G2221"/>
      <c r="H2221">
        <v>5</v>
      </c>
    </row>
    <row r="2222" spans="1:8" x14ac:dyDescent="0.2">
      <c r="A2222" t="s">
        <v>2531</v>
      </c>
      <c r="B2222" s="44">
        <v>43362</v>
      </c>
      <c r="C2222" t="s">
        <v>4</v>
      </c>
      <c r="D2222" t="s">
        <v>4317</v>
      </c>
      <c r="F2222"/>
      <c r="G2222"/>
      <c r="H2222">
        <v>5</v>
      </c>
    </row>
    <row r="2223" spans="1:8" x14ac:dyDescent="0.2">
      <c r="A2223" t="s">
        <v>2588</v>
      </c>
      <c r="B2223" s="44">
        <v>43368</v>
      </c>
      <c r="C2223" t="s">
        <v>4</v>
      </c>
      <c r="D2223" t="s">
        <v>4266</v>
      </c>
      <c r="F2223"/>
      <c r="G2223"/>
      <c r="H2223">
        <v>5</v>
      </c>
    </row>
    <row r="2224" spans="1:8" x14ac:dyDescent="0.2">
      <c r="A2224" t="s">
        <v>2604</v>
      </c>
      <c r="B2224" s="44">
        <v>43370</v>
      </c>
      <c r="C2224" t="s">
        <v>4</v>
      </c>
      <c r="D2224" t="s">
        <v>3781</v>
      </c>
      <c r="F2224"/>
      <c r="G2224"/>
      <c r="H2224">
        <v>5</v>
      </c>
    </row>
    <row r="2225" spans="1:9" x14ac:dyDescent="0.2">
      <c r="A2225" t="s">
        <v>2615</v>
      </c>
      <c r="B2225" s="44">
        <v>43371</v>
      </c>
      <c r="C2225" t="s">
        <v>4</v>
      </c>
      <c r="D2225" t="s">
        <v>4318</v>
      </c>
      <c r="F2225"/>
      <c r="G2225"/>
      <c r="H2225">
        <v>5</v>
      </c>
    </row>
    <row r="2226" spans="1:9" x14ac:dyDescent="0.2">
      <c r="A2226" t="s">
        <v>1236</v>
      </c>
      <c r="B2226" s="44">
        <v>43382</v>
      </c>
      <c r="C2226" t="s">
        <v>4</v>
      </c>
      <c r="D2226" t="s">
        <v>4319</v>
      </c>
      <c r="F2226"/>
      <c r="G2226"/>
      <c r="H2226">
        <v>5</v>
      </c>
    </row>
    <row r="2227" spans="1:9" x14ac:dyDescent="0.2">
      <c r="A2227" t="s">
        <v>1242</v>
      </c>
      <c r="B2227" s="44">
        <v>43383</v>
      </c>
      <c r="C2227" t="s">
        <v>4</v>
      </c>
      <c r="D2227" t="s">
        <v>4320</v>
      </c>
      <c r="F2227"/>
      <c r="G2227"/>
      <c r="H2227">
        <v>5</v>
      </c>
    </row>
    <row r="2228" spans="1:9" x14ac:dyDescent="0.2">
      <c r="A2228" t="s">
        <v>2688</v>
      </c>
      <c r="B2228" s="44">
        <v>43390</v>
      </c>
      <c r="C2228" t="s">
        <v>4</v>
      </c>
      <c r="D2228" t="s">
        <v>4322</v>
      </c>
      <c r="F2228"/>
      <c r="G2228"/>
      <c r="H2228">
        <v>5</v>
      </c>
    </row>
    <row r="2229" spans="1:9" x14ac:dyDescent="0.2">
      <c r="A2229" t="s">
        <v>2687</v>
      </c>
      <c r="B2229" s="44">
        <v>43390</v>
      </c>
      <c r="C2229" t="s">
        <v>4</v>
      </c>
      <c r="D2229" t="s">
        <v>4321</v>
      </c>
      <c r="F2229"/>
      <c r="G2229"/>
      <c r="H2229">
        <v>5</v>
      </c>
    </row>
    <row r="2230" spans="1:9" x14ac:dyDescent="0.2">
      <c r="A2230" t="s">
        <v>2761</v>
      </c>
      <c r="B2230" s="44">
        <v>43396</v>
      </c>
      <c r="C2230" t="s">
        <v>4</v>
      </c>
      <c r="D2230" t="s">
        <v>4323</v>
      </c>
      <c r="F2230"/>
      <c r="G2230"/>
      <c r="H2230">
        <v>5</v>
      </c>
    </row>
    <row r="2231" spans="1:9" x14ac:dyDescent="0.2">
      <c r="A2231" t="s">
        <v>1237</v>
      </c>
      <c r="B2231" s="44">
        <v>43413</v>
      </c>
      <c r="C2231" t="s">
        <v>4</v>
      </c>
      <c r="D2231" t="s">
        <v>4113</v>
      </c>
      <c r="F2231"/>
      <c r="G2231"/>
      <c r="H2231">
        <v>5</v>
      </c>
    </row>
    <row r="2232" spans="1:9" x14ac:dyDescent="0.2">
      <c r="A2232" t="s">
        <v>2958</v>
      </c>
      <c r="B2232" s="44">
        <v>43426</v>
      </c>
      <c r="C2232" t="s">
        <v>4</v>
      </c>
      <c r="D2232" t="s">
        <v>4324</v>
      </c>
      <c r="F2232"/>
      <c r="G2232"/>
      <c r="H2232">
        <v>5</v>
      </c>
    </row>
    <row r="2233" spans="1:9" x14ac:dyDescent="0.2">
      <c r="A2233" t="s">
        <v>1216</v>
      </c>
      <c r="B2233" s="44">
        <v>43437</v>
      </c>
      <c r="C2233" t="s">
        <v>4</v>
      </c>
      <c r="D2233" t="s">
        <v>1217</v>
      </c>
      <c r="F2233"/>
      <c r="G2233"/>
      <c r="H2233">
        <v>5</v>
      </c>
    </row>
    <row r="2234" spans="1:9" x14ac:dyDescent="0.2">
      <c r="A2234" t="s">
        <v>1223</v>
      </c>
      <c r="B2234" s="44">
        <v>43438</v>
      </c>
      <c r="C2234" t="s">
        <v>4</v>
      </c>
      <c r="D2234" t="s">
        <v>4325</v>
      </c>
      <c r="F2234"/>
      <c r="G2234"/>
      <c r="H2234">
        <v>5</v>
      </c>
    </row>
    <row r="2235" spans="1:9" x14ac:dyDescent="0.2">
      <c r="A2235" t="s">
        <v>1229</v>
      </c>
      <c r="B2235" s="44">
        <v>43440</v>
      </c>
      <c r="C2235" t="s">
        <v>4</v>
      </c>
      <c r="D2235" t="s">
        <v>4318</v>
      </c>
      <c r="F2235"/>
      <c r="G2235"/>
      <c r="H2235">
        <v>5</v>
      </c>
    </row>
    <row r="2236" spans="1:9" x14ac:dyDescent="0.2">
      <c r="A2236" t="s">
        <v>1405</v>
      </c>
      <c r="B2236" s="44">
        <v>43486</v>
      </c>
      <c r="C2236" t="s">
        <v>4</v>
      </c>
      <c r="D2236" t="s">
        <v>4326</v>
      </c>
      <c r="F2236"/>
      <c r="G2236"/>
      <c r="H2236">
        <v>5</v>
      </c>
    </row>
    <row r="2237" spans="1:9" x14ac:dyDescent="0.2">
      <c r="A2237" t="s">
        <v>1430</v>
      </c>
      <c r="B2237" s="44">
        <v>43488</v>
      </c>
      <c r="C2237" t="s">
        <v>4</v>
      </c>
      <c r="D2237" t="s">
        <v>3787</v>
      </c>
      <c r="F2237"/>
      <c r="G2237"/>
      <c r="H2237">
        <v>5</v>
      </c>
    </row>
    <row r="2238" spans="1:9" x14ac:dyDescent="0.2">
      <c r="A2238" t="s">
        <v>1480</v>
      </c>
      <c r="B2238" s="44">
        <v>43494</v>
      </c>
      <c r="C2238" t="s">
        <v>4</v>
      </c>
      <c r="D2238" t="s">
        <v>4327</v>
      </c>
      <c r="F2238"/>
      <c r="G2238"/>
      <c r="H2238">
        <v>5</v>
      </c>
      <c r="I2238" t="s">
        <v>4489</v>
      </c>
    </row>
    <row r="2239" spans="1:9" x14ac:dyDescent="0.2">
      <c r="A2239" t="s">
        <v>1508</v>
      </c>
      <c r="B2239" s="44">
        <v>43510</v>
      </c>
      <c r="C2239" t="s">
        <v>4</v>
      </c>
      <c r="D2239" t="s">
        <v>4328</v>
      </c>
      <c r="F2239"/>
      <c r="G2239"/>
      <c r="H2239">
        <v>5</v>
      </c>
    </row>
    <row r="2240" spans="1:9" x14ac:dyDescent="0.2">
      <c r="A2240" t="s">
        <v>1635</v>
      </c>
      <c r="B2240" s="44">
        <v>43522</v>
      </c>
      <c r="C2240" t="s">
        <v>4</v>
      </c>
      <c r="D2240" t="s">
        <v>4439</v>
      </c>
      <c r="F2240"/>
      <c r="G2240"/>
      <c r="H2240">
        <v>5</v>
      </c>
    </row>
    <row r="2241" spans="1:8" x14ac:dyDescent="0.2">
      <c r="A2241" t="s">
        <v>1266</v>
      </c>
      <c r="B2241" s="44">
        <v>43530</v>
      </c>
      <c r="C2241" t="s">
        <v>4</v>
      </c>
      <c r="D2241" t="s">
        <v>4145</v>
      </c>
      <c r="F2241"/>
      <c r="G2241"/>
      <c r="H2241">
        <v>5</v>
      </c>
    </row>
    <row r="2242" spans="1:8" x14ac:dyDescent="0.2">
      <c r="A2242" t="s">
        <v>1267</v>
      </c>
      <c r="B2242" s="44">
        <v>43530</v>
      </c>
      <c r="C2242" t="s">
        <v>4</v>
      </c>
      <c r="D2242" t="s">
        <v>3852</v>
      </c>
      <c r="F2242"/>
      <c r="G2242"/>
      <c r="H2242">
        <v>5</v>
      </c>
    </row>
    <row r="2243" spans="1:8" x14ac:dyDescent="0.2">
      <c r="A2243" t="s">
        <v>1271</v>
      </c>
      <c r="B2243" s="44">
        <v>43531</v>
      </c>
      <c r="C2243" t="s">
        <v>4</v>
      </c>
      <c r="D2243" t="s">
        <v>4329</v>
      </c>
      <c r="F2243"/>
      <c r="G2243"/>
      <c r="H2243">
        <v>5</v>
      </c>
    </row>
    <row r="2244" spans="1:8" x14ac:dyDescent="0.2">
      <c r="A2244" t="s">
        <v>1287</v>
      </c>
      <c r="B2244" s="44">
        <v>43535</v>
      </c>
      <c r="C2244" t="s">
        <v>4</v>
      </c>
      <c r="D2244" t="s">
        <v>4330</v>
      </c>
      <c r="F2244"/>
      <c r="G2244"/>
      <c r="H2244">
        <v>5</v>
      </c>
    </row>
    <row r="2245" spans="1:8" x14ac:dyDescent="0.2">
      <c r="A2245" t="s">
        <v>1776</v>
      </c>
      <c r="B2245" s="44">
        <v>43550</v>
      </c>
      <c r="C2245" t="s">
        <v>4</v>
      </c>
      <c r="D2245" t="s">
        <v>4331</v>
      </c>
      <c r="F2245"/>
      <c r="G2245"/>
      <c r="H2245">
        <v>5</v>
      </c>
    </row>
    <row r="2246" spans="1:8" x14ac:dyDescent="0.2">
      <c r="A2246" t="s">
        <v>1281</v>
      </c>
      <c r="B2246" s="44">
        <v>43565</v>
      </c>
      <c r="C2246" t="s">
        <v>4</v>
      </c>
      <c r="D2246" t="s">
        <v>4332</v>
      </c>
      <c r="F2246"/>
      <c r="G2246"/>
      <c r="H2246">
        <v>5</v>
      </c>
    </row>
    <row r="2247" spans="1:8" x14ac:dyDescent="0.2">
      <c r="A2247" t="s">
        <v>1289</v>
      </c>
      <c r="B2247" s="44">
        <v>43566</v>
      </c>
      <c r="C2247" t="s">
        <v>4</v>
      </c>
      <c r="D2247" t="s">
        <v>4333</v>
      </c>
      <c r="F2247"/>
      <c r="G2247"/>
      <c r="H2247">
        <v>5</v>
      </c>
    </row>
    <row r="2248" spans="1:8" x14ac:dyDescent="0.2">
      <c r="A2248" t="s">
        <v>1921</v>
      </c>
      <c r="B2248" s="44">
        <v>43585</v>
      </c>
      <c r="C2248" t="s">
        <v>4</v>
      </c>
      <c r="D2248" t="s">
        <v>4334</v>
      </c>
      <c r="F2248"/>
      <c r="G2248"/>
      <c r="H2248">
        <v>5</v>
      </c>
    </row>
    <row r="2249" spans="1:8" x14ac:dyDescent="0.2">
      <c r="A2249" t="s">
        <v>1251</v>
      </c>
      <c r="B2249" s="44">
        <v>43586</v>
      </c>
      <c r="C2249" t="s">
        <v>4</v>
      </c>
      <c r="D2249" t="s">
        <v>4335</v>
      </c>
      <c r="F2249"/>
      <c r="G2249"/>
      <c r="H2249">
        <v>5</v>
      </c>
    </row>
    <row r="2250" spans="1:8" x14ac:dyDescent="0.2">
      <c r="A2250" t="s">
        <v>1272</v>
      </c>
      <c r="B2250" s="44">
        <v>43592</v>
      </c>
      <c r="C2250" t="s">
        <v>4</v>
      </c>
      <c r="D2250" t="s">
        <v>4336</v>
      </c>
      <c r="F2250"/>
      <c r="G2250"/>
      <c r="H2250">
        <v>5</v>
      </c>
    </row>
    <row r="2251" spans="1:8" x14ac:dyDescent="0.2">
      <c r="A2251" t="s">
        <v>1273</v>
      </c>
      <c r="B2251" s="44">
        <v>43592</v>
      </c>
      <c r="C2251" t="s">
        <v>4</v>
      </c>
      <c r="D2251" t="s">
        <v>4337</v>
      </c>
      <c r="F2251"/>
      <c r="G2251"/>
      <c r="H2251">
        <v>5</v>
      </c>
    </row>
    <row r="2252" spans="1:8" x14ac:dyDescent="0.2">
      <c r="A2252" t="s">
        <v>1276</v>
      </c>
      <c r="B2252" s="44">
        <v>43593</v>
      </c>
      <c r="C2252" t="s">
        <v>4</v>
      </c>
      <c r="D2252" t="s">
        <v>4294</v>
      </c>
      <c r="F2252"/>
      <c r="G2252"/>
      <c r="H2252">
        <v>5</v>
      </c>
    </row>
    <row r="2253" spans="1:8" x14ac:dyDescent="0.2">
      <c r="A2253" t="s">
        <v>1951</v>
      </c>
      <c r="B2253" s="44">
        <v>43601</v>
      </c>
      <c r="C2253" t="s">
        <v>4</v>
      </c>
      <c r="D2253" t="s">
        <v>4338</v>
      </c>
      <c r="F2253"/>
      <c r="G2253"/>
      <c r="H2253">
        <v>5</v>
      </c>
    </row>
    <row r="2254" spans="1:8" x14ac:dyDescent="0.2">
      <c r="A2254" t="s">
        <v>1961</v>
      </c>
      <c r="B2254" s="44">
        <v>43602</v>
      </c>
      <c r="C2254" t="s">
        <v>4</v>
      </c>
      <c r="D2254" t="s">
        <v>4193</v>
      </c>
      <c r="F2254"/>
      <c r="G2254"/>
      <c r="H2254">
        <v>5</v>
      </c>
    </row>
    <row r="2255" spans="1:8" x14ac:dyDescent="0.2">
      <c r="A2255" t="s">
        <v>1996</v>
      </c>
      <c r="B2255" s="44">
        <v>43605</v>
      </c>
      <c r="C2255" t="s">
        <v>4</v>
      </c>
      <c r="D2255" t="s">
        <v>4339</v>
      </c>
      <c r="F2255"/>
      <c r="G2255"/>
      <c r="H2255">
        <v>5</v>
      </c>
    </row>
    <row r="2256" spans="1:8" x14ac:dyDescent="0.2">
      <c r="A2256" t="s">
        <v>2080</v>
      </c>
      <c r="B2256" s="44">
        <v>43615</v>
      </c>
      <c r="C2256" t="s">
        <v>4</v>
      </c>
      <c r="D2256" t="s">
        <v>4340</v>
      </c>
      <c r="F2256"/>
      <c r="G2256"/>
      <c r="H2256">
        <v>5</v>
      </c>
    </row>
    <row r="2257" spans="1:8" x14ac:dyDescent="0.2">
      <c r="A2257" t="s">
        <v>1264</v>
      </c>
      <c r="B2257" s="44">
        <v>43621</v>
      </c>
      <c r="C2257" t="s">
        <v>4</v>
      </c>
      <c r="D2257" t="s">
        <v>4341</v>
      </c>
      <c r="F2257"/>
      <c r="G2257"/>
      <c r="H2257">
        <v>5</v>
      </c>
    </row>
    <row r="2258" spans="1:8" x14ac:dyDescent="0.2">
      <c r="A2258" t="s">
        <v>1283</v>
      </c>
      <c r="B2258" s="44">
        <v>43626</v>
      </c>
      <c r="C2258" t="s">
        <v>4</v>
      </c>
      <c r="D2258" t="s">
        <v>4320</v>
      </c>
      <c r="F2258"/>
      <c r="G2258"/>
      <c r="H2258">
        <v>5</v>
      </c>
    </row>
    <row r="2259" spans="1:8" x14ac:dyDescent="0.2">
      <c r="A2259" t="s">
        <v>1284</v>
      </c>
      <c r="B2259" s="44">
        <v>43626</v>
      </c>
      <c r="C2259" t="s">
        <v>4</v>
      </c>
      <c r="D2259" t="s">
        <v>4342</v>
      </c>
      <c r="F2259"/>
      <c r="G2259"/>
      <c r="H2259">
        <v>5</v>
      </c>
    </row>
    <row r="2260" spans="1:8" x14ac:dyDescent="0.2">
      <c r="A2260" t="s">
        <v>1290</v>
      </c>
      <c r="B2260" s="44">
        <v>43627</v>
      </c>
      <c r="C2260" t="s">
        <v>4</v>
      </c>
      <c r="D2260" t="s">
        <v>4343</v>
      </c>
      <c r="F2260"/>
      <c r="G2260"/>
      <c r="H2260">
        <v>5</v>
      </c>
    </row>
    <row r="2261" spans="1:8" x14ac:dyDescent="0.2">
      <c r="A2261" t="s">
        <v>2208</v>
      </c>
      <c r="B2261" s="44">
        <v>43637</v>
      </c>
      <c r="C2261" t="s">
        <v>4</v>
      </c>
      <c r="D2261" t="s">
        <v>4344</v>
      </c>
      <c r="F2261"/>
      <c r="G2261"/>
      <c r="H2261">
        <v>5</v>
      </c>
    </row>
    <row r="2262" spans="1:8" x14ac:dyDescent="0.2">
      <c r="A2262" t="s">
        <v>1259</v>
      </c>
      <c r="B2262" s="44">
        <v>43649</v>
      </c>
      <c r="C2262" t="s">
        <v>4</v>
      </c>
      <c r="D2262" t="s">
        <v>4346</v>
      </c>
      <c r="F2262"/>
      <c r="G2262"/>
      <c r="H2262">
        <v>5</v>
      </c>
    </row>
    <row r="2263" spans="1:8" x14ac:dyDescent="0.2">
      <c r="A2263" t="s">
        <v>1258</v>
      </c>
      <c r="B2263" s="44">
        <v>43649</v>
      </c>
      <c r="C2263" t="s">
        <v>5834</v>
      </c>
      <c r="D2263" t="s">
        <v>4345</v>
      </c>
      <c r="F2263"/>
      <c r="G2263"/>
      <c r="H2263">
        <v>5</v>
      </c>
    </row>
    <row r="2264" spans="1:8" x14ac:dyDescent="0.2">
      <c r="A2264" t="s">
        <v>1285</v>
      </c>
      <c r="B2264" s="44">
        <v>43656</v>
      </c>
      <c r="C2264" t="s">
        <v>4</v>
      </c>
      <c r="D2264" t="s">
        <v>4347</v>
      </c>
      <c r="F2264"/>
      <c r="G2264"/>
      <c r="H2264">
        <v>5</v>
      </c>
    </row>
    <row r="2265" spans="1:8" x14ac:dyDescent="0.2">
      <c r="A2265" t="s">
        <v>1295</v>
      </c>
      <c r="B2265" s="44">
        <v>43658</v>
      </c>
      <c r="C2265" t="s">
        <v>4</v>
      </c>
      <c r="D2265" t="s">
        <v>4348</v>
      </c>
      <c r="F2265"/>
      <c r="G2265"/>
      <c r="H2265">
        <v>5</v>
      </c>
    </row>
    <row r="2266" spans="1:8" x14ac:dyDescent="0.2">
      <c r="A2266" t="s">
        <v>2455</v>
      </c>
      <c r="B2266" s="44">
        <v>43704</v>
      </c>
      <c r="C2266" t="s">
        <v>4</v>
      </c>
      <c r="D2266" t="s">
        <v>4349</v>
      </c>
      <c r="F2266"/>
      <c r="G2266"/>
      <c r="H2266">
        <v>5</v>
      </c>
    </row>
    <row r="2267" spans="1:8" x14ac:dyDescent="0.2">
      <c r="A2267" t="s">
        <v>1265</v>
      </c>
      <c r="B2267" s="44">
        <v>43713</v>
      </c>
      <c r="C2267" t="s">
        <v>5834</v>
      </c>
      <c r="D2267" t="s">
        <v>4350</v>
      </c>
      <c r="F2267"/>
      <c r="G2267"/>
      <c r="H2267">
        <v>5</v>
      </c>
    </row>
    <row r="2268" spans="1:8" x14ac:dyDescent="0.2">
      <c r="A2268" t="s">
        <v>1280</v>
      </c>
      <c r="B2268" s="44">
        <v>43717</v>
      </c>
      <c r="C2268" t="s">
        <v>4</v>
      </c>
      <c r="D2268" t="s">
        <v>4266</v>
      </c>
      <c r="F2268"/>
      <c r="G2268"/>
      <c r="H2268">
        <v>5</v>
      </c>
    </row>
    <row r="2269" spans="1:8" x14ac:dyDescent="0.2">
      <c r="A2269" t="s">
        <v>2572</v>
      </c>
      <c r="B2269" s="44">
        <v>43731</v>
      </c>
      <c r="C2269" t="s">
        <v>4</v>
      </c>
      <c r="D2269" t="s">
        <v>4351</v>
      </c>
      <c r="F2269"/>
      <c r="G2269"/>
      <c r="H2269">
        <v>5</v>
      </c>
    </row>
    <row r="2270" spans="1:8" x14ac:dyDescent="0.2">
      <c r="A2270" t="s">
        <v>2595</v>
      </c>
      <c r="B2270" s="44">
        <v>43734</v>
      </c>
      <c r="C2270" t="s">
        <v>5834</v>
      </c>
      <c r="D2270" t="s">
        <v>4352</v>
      </c>
      <c r="F2270"/>
      <c r="G2270"/>
      <c r="H2270">
        <v>5</v>
      </c>
    </row>
    <row r="2271" spans="1:8" x14ac:dyDescent="0.2">
      <c r="A2271" t="s">
        <v>2606</v>
      </c>
      <c r="B2271" s="44">
        <v>43735</v>
      </c>
      <c r="C2271" t="s">
        <v>4</v>
      </c>
      <c r="D2271" t="s">
        <v>4353</v>
      </c>
      <c r="F2271"/>
      <c r="G2271"/>
      <c r="H2271">
        <v>5</v>
      </c>
    </row>
    <row r="2272" spans="1:8" x14ac:dyDescent="0.2">
      <c r="A2272" t="s">
        <v>1260</v>
      </c>
      <c r="B2272" s="44">
        <v>43741</v>
      </c>
      <c r="C2272" t="s">
        <v>4</v>
      </c>
      <c r="D2272" t="s">
        <v>4354</v>
      </c>
      <c r="F2272"/>
      <c r="G2272"/>
      <c r="H2272">
        <v>5</v>
      </c>
    </row>
    <row r="2273" spans="1:8" x14ac:dyDescent="0.2">
      <c r="A2273" t="s">
        <v>1278</v>
      </c>
      <c r="B2273" s="44">
        <v>43746</v>
      </c>
      <c r="C2273" t="s">
        <v>4</v>
      </c>
      <c r="D2273" t="s">
        <v>4355</v>
      </c>
      <c r="F2273"/>
      <c r="G2273"/>
      <c r="H2273">
        <v>5</v>
      </c>
    </row>
    <row r="2274" spans="1:8" x14ac:dyDescent="0.2">
      <c r="A2274" t="s">
        <v>1278</v>
      </c>
      <c r="B2274" s="44">
        <v>43746</v>
      </c>
      <c r="C2274" t="s">
        <v>5834</v>
      </c>
      <c r="D2274" t="s">
        <v>4356</v>
      </c>
      <c r="F2274"/>
      <c r="G2274"/>
      <c r="H2274">
        <v>5</v>
      </c>
    </row>
    <row r="2275" spans="1:8" x14ac:dyDescent="0.2">
      <c r="A2275" t="s">
        <v>2658</v>
      </c>
      <c r="B2275" s="44">
        <v>43752</v>
      </c>
      <c r="C2275" t="s">
        <v>4</v>
      </c>
      <c r="D2275" t="s">
        <v>4357</v>
      </c>
      <c r="F2275"/>
      <c r="G2275"/>
      <c r="H2275">
        <v>5</v>
      </c>
    </row>
    <row r="2276" spans="1:8" x14ac:dyDescent="0.2">
      <c r="A2276" t="s">
        <v>2668</v>
      </c>
      <c r="B2276" s="44">
        <v>43753</v>
      </c>
      <c r="C2276" t="s">
        <v>4</v>
      </c>
      <c r="D2276" t="s">
        <v>4358</v>
      </c>
      <c r="F2276"/>
      <c r="G2276"/>
      <c r="H2276">
        <v>5</v>
      </c>
    </row>
    <row r="2277" spans="1:8" x14ac:dyDescent="0.2">
      <c r="A2277" t="s">
        <v>2701</v>
      </c>
      <c r="B2277" s="44">
        <v>43756</v>
      </c>
      <c r="C2277" t="s">
        <v>4</v>
      </c>
      <c r="D2277" t="s">
        <v>4359</v>
      </c>
      <c r="F2277"/>
      <c r="G2277"/>
      <c r="H2277">
        <v>5</v>
      </c>
    </row>
    <row r="2278" spans="1:8" x14ac:dyDescent="0.2">
      <c r="A2278" t="s">
        <v>2736</v>
      </c>
      <c r="B2278" s="44">
        <v>43759</v>
      </c>
      <c r="C2278" t="s">
        <v>4</v>
      </c>
      <c r="D2278" t="s">
        <v>4360</v>
      </c>
      <c r="F2278"/>
      <c r="G2278"/>
      <c r="H2278">
        <v>5</v>
      </c>
    </row>
    <row r="2279" spans="1:8" x14ac:dyDescent="0.2">
      <c r="A2279" t="s">
        <v>2802</v>
      </c>
      <c r="B2279" s="44">
        <v>43766</v>
      </c>
      <c r="C2279" t="s">
        <v>4</v>
      </c>
      <c r="D2279" t="s">
        <v>4361</v>
      </c>
      <c r="F2279"/>
      <c r="G2279"/>
      <c r="H2279">
        <v>5</v>
      </c>
    </row>
    <row r="2280" spans="1:8" x14ac:dyDescent="0.2">
      <c r="A2280" t="s">
        <v>3090</v>
      </c>
      <c r="B2280" s="44">
        <v>43819</v>
      </c>
      <c r="C2280" t="s">
        <v>4</v>
      </c>
      <c r="D2280" t="s">
        <v>4362</v>
      </c>
      <c r="F2280"/>
      <c r="G2280"/>
      <c r="H2280">
        <v>5</v>
      </c>
    </row>
    <row r="2281" spans="1:8" x14ac:dyDescent="0.2">
      <c r="A2281" t="s">
        <v>1309</v>
      </c>
      <c r="B2281" s="44">
        <v>43835</v>
      </c>
      <c r="C2281" t="s">
        <v>4</v>
      </c>
      <c r="D2281" t="s">
        <v>4363</v>
      </c>
      <c r="F2281"/>
      <c r="G2281"/>
      <c r="H2281">
        <v>5</v>
      </c>
    </row>
    <row r="2282" spans="1:8" x14ac:dyDescent="0.2">
      <c r="A2282" t="s">
        <v>1320</v>
      </c>
      <c r="B2282" s="44">
        <v>43838</v>
      </c>
      <c r="C2282" t="s">
        <v>4</v>
      </c>
      <c r="D2282" t="s">
        <v>4364</v>
      </c>
      <c r="F2282"/>
      <c r="G2282"/>
      <c r="H2282">
        <v>5</v>
      </c>
    </row>
    <row r="2283" spans="1:8" x14ac:dyDescent="0.2">
      <c r="A2283" t="s">
        <v>1326</v>
      </c>
      <c r="B2283" s="44">
        <v>43840</v>
      </c>
      <c r="C2283" t="s">
        <v>4</v>
      </c>
      <c r="D2283" t="s">
        <v>4365</v>
      </c>
      <c r="F2283"/>
      <c r="G2283"/>
      <c r="H2283">
        <v>5</v>
      </c>
    </row>
    <row r="2284" spans="1:8" x14ac:dyDescent="0.2">
      <c r="A2284" t="s">
        <v>1356</v>
      </c>
      <c r="B2284" s="44">
        <v>43845</v>
      </c>
      <c r="C2284" t="s">
        <v>4</v>
      </c>
      <c r="D2284" t="s">
        <v>4366</v>
      </c>
      <c r="F2284"/>
      <c r="G2284"/>
      <c r="H2284">
        <v>5</v>
      </c>
    </row>
    <row r="2285" spans="1:8" x14ac:dyDescent="0.2">
      <c r="A2285" t="s">
        <v>1445</v>
      </c>
      <c r="B2285" s="44">
        <v>43854</v>
      </c>
      <c r="C2285" t="s">
        <v>4</v>
      </c>
      <c r="D2285" t="s">
        <v>4367</v>
      </c>
      <c r="F2285"/>
      <c r="G2285"/>
      <c r="H2285">
        <v>5</v>
      </c>
    </row>
    <row r="2286" spans="1:8" x14ac:dyDescent="0.2">
      <c r="A2286" t="s">
        <v>1329</v>
      </c>
      <c r="B2286" s="44">
        <v>43872</v>
      </c>
      <c r="C2286" t="s">
        <v>4</v>
      </c>
      <c r="D2286" t="s">
        <v>4369</v>
      </c>
      <c r="F2286"/>
      <c r="G2286"/>
      <c r="H2286">
        <v>5</v>
      </c>
    </row>
    <row r="2287" spans="1:8" x14ac:dyDescent="0.2">
      <c r="A2287" t="s">
        <v>1327</v>
      </c>
      <c r="B2287" s="44">
        <v>43872</v>
      </c>
      <c r="C2287" t="s">
        <v>4</v>
      </c>
      <c r="D2287" t="s">
        <v>4368</v>
      </c>
      <c r="F2287"/>
      <c r="G2287"/>
      <c r="H2287">
        <v>5</v>
      </c>
    </row>
    <row r="2288" spans="1:8" x14ac:dyDescent="0.2">
      <c r="A2288" t="s">
        <v>1573</v>
      </c>
      <c r="B2288" s="44">
        <v>43882</v>
      </c>
      <c r="C2288" t="s">
        <v>4</v>
      </c>
      <c r="D2288" t="s">
        <v>4370</v>
      </c>
      <c r="F2288"/>
      <c r="G2288"/>
      <c r="H2288">
        <v>5</v>
      </c>
    </row>
    <row r="2289" spans="1:9" x14ac:dyDescent="0.2">
      <c r="A2289" t="s">
        <v>1602</v>
      </c>
      <c r="B2289" s="44">
        <v>43885</v>
      </c>
      <c r="C2289" t="s">
        <v>4</v>
      </c>
      <c r="D2289" t="s">
        <v>4261</v>
      </c>
      <c r="F2289"/>
      <c r="G2289"/>
      <c r="H2289">
        <v>5</v>
      </c>
    </row>
    <row r="2290" spans="1:9" x14ac:dyDescent="0.2">
      <c r="A2290" t="s">
        <v>1647</v>
      </c>
      <c r="B2290" s="44">
        <v>43888</v>
      </c>
      <c r="C2290" t="s">
        <v>4</v>
      </c>
      <c r="D2290" t="s">
        <v>4371</v>
      </c>
      <c r="F2290"/>
      <c r="G2290"/>
      <c r="H2290">
        <v>5</v>
      </c>
    </row>
    <row r="2291" spans="1:9" x14ac:dyDescent="0.2">
      <c r="A2291" t="s">
        <v>1658</v>
      </c>
      <c r="B2291" s="44">
        <v>43889</v>
      </c>
      <c r="C2291" t="s">
        <v>4</v>
      </c>
      <c r="D2291" t="s">
        <v>4372</v>
      </c>
      <c r="F2291"/>
      <c r="G2291"/>
      <c r="H2291">
        <v>5</v>
      </c>
    </row>
    <row r="2292" spans="1:9" x14ac:dyDescent="0.2">
      <c r="A2292" t="s">
        <v>1659</v>
      </c>
      <c r="B2292" s="44">
        <v>43889</v>
      </c>
      <c r="C2292" t="s">
        <v>4</v>
      </c>
      <c r="D2292" t="s">
        <v>4336</v>
      </c>
      <c r="F2292"/>
      <c r="G2292"/>
      <c r="H2292">
        <v>5</v>
      </c>
    </row>
    <row r="2293" spans="1:9" x14ac:dyDescent="0.2">
      <c r="A2293" t="s">
        <v>1305</v>
      </c>
      <c r="B2293" s="44">
        <v>43894</v>
      </c>
      <c r="C2293" t="s">
        <v>4</v>
      </c>
      <c r="D2293" t="s">
        <v>3859</v>
      </c>
      <c r="F2293"/>
      <c r="G2293"/>
      <c r="H2293">
        <v>5</v>
      </c>
    </row>
    <row r="2294" spans="1:9" x14ac:dyDescent="0.2">
      <c r="A2294" t="s">
        <v>1827</v>
      </c>
      <c r="B2294" s="44">
        <v>43937</v>
      </c>
      <c r="C2294" t="s">
        <v>4</v>
      </c>
      <c r="D2294" t="s">
        <v>4373</v>
      </c>
      <c r="F2294"/>
      <c r="G2294"/>
      <c r="H2294">
        <v>5</v>
      </c>
    </row>
    <row r="2295" spans="1:9" x14ac:dyDescent="0.2">
      <c r="A2295" t="s">
        <v>1859</v>
      </c>
      <c r="B2295" s="44">
        <v>43941</v>
      </c>
      <c r="C2295" t="s">
        <v>4</v>
      </c>
      <c r="D2295" t="s">
        <v>4374</v>
      </c>
      <c r="F2295"/>
      <c r="G2295"/>
      <c r="H2295">
        <v>5</v>
      </c>
    </row>
    <row r="2296" spans="1:9" x14ac:dyDescent="0.2">
      <c r="A2296" t="s">
        <v>1885</v>
      </c>
      <c r="B2296" s="44">
        <v>43944</v>
      </c>
      <c r="C2296" t="s">
        <v>4</v>
      </c>
      <c r="D2296" t="s">
        <v>4375</v>
      </c>
      <c r="F2296"/>
      <c r="G2296"/>
      <c r="H2296">
        <v>5</v>
      </c>
      <c r="I2296" t="s">
        <v>4491</v>
      </c>
    </row>
    <row r="2297" spans="1:9" x14ac:dyDescent="0.2">
      <c r="A2297" t="s">
        <v>1332</v>
      </c>
      <c r="B2297" s="44">
        <v>43962</v>
      </c>
      <c r="C2297" t="s">
        <v>4</v>
      </c>
      <c r="D2297" t="s">
        <v>4376</v>
      </c>
      <c r="F2297"/>
      <c r="G2297"/>
      <c r="H2297">
        <v>5</v>
      </c>
    </row>
    <row r="2298" spans="1:9" x14ac:dyDescent="0.2">
      <c r="A2298" t="s">
        <v>1970</v>
      </c>
      <c r="B2298" s="44">
        <v>43969</v>
      </c>
      <c r="C2298" t="s">
        <v>4</v>
      </c>
      <c r="D2298" t="s">
        <v>4377</v>
      </c>
      <c r="F2298"/>
      <c r="G2298"/>
      <c r="H2298">
        <v>5</v>
      </c>
    </row>
    <row r="2299" spans="1:9" x14ac:dyDescent="0.2">
      <c r="A2299" t="s">
        <v>2062</v>
      </c>
      <c r="B2299" s="44">
        <v>43977</v>
      </c>
      <c r="C2299" t="s">
        <v>4</v>
      </c>
      <c r="D2299" t="s">
        <v>4378</v>
      </c>
      <c r="F2299"/>
      <c r="G2299"/>
      <c r="H2299">
        <v>5</v>
      </c>
    </row>
    <row r="2300" spans="1:9" x14ac:dyDescent="0.2">
      <c r="A2300" t="s">
        <v>2068</v>
      </c>
      <c r="B2300" s="44">
        <v>43979</v>
      </c>
      <c r="C2300" t="s">
        <v>4</v>
      </c>
      <c r="D2300" t="s">
        <v>4379</v>
      </c>
      <c r="F2300"/>
      <c r="G2300"/>
      <c r="H2300">
        <v>5</v>
      </c>
    </row>
    <row r="2301" spans="1:9" x14ac:dyDescent="0.2">
      <c r="A2301" t="s">
        <v>2165</v>
      </c>
      <c r="B2301" s="44">
        <v>44000</v>
      </c>
      <c r="C2301" t="s">
        <v>4</v>
      </c>
      <c r="D2301" t="s">
        <v>4380</v>
      </c>
      <c r="F2301"/>
      <c r="G2301"/>
      <c r="H2301">
        <v>5</v>
      </c>
    </row>
    <row r="2302" spans="1:9" x14ac:dyDescent="0.2">
      <c r="A2302" t="s">
        <v>2248</v>
      </c>
      <c r="B2302" s="44">
        <v>44007</v>
      </c>
      <c r="C2302" t="s">
        <v>4</v>
      </c>
      <c r="D2302" t="s">
        <v>4381</v>
      </c>
      <c r="F2302"/>
      <c r="G2302"/>
      <c r="H2302">
        <v>5</v>
      </c>
    </row>
    <row r="2303" spans="1:9" x14ac:dyDescent="0.2">
      <c r="A2303" t="s">
        <v>2292</v>
      </c>
      <c r="B2303" s="44">
        <v>44011</v>
      </c>
      <c r="C2303" t="s">
        <v>4</v>
      </c>
      <c r="D2303" t="s">
        <v>4382</v>
      </c>
      <c r="F2303"/>
      <c r="G2303"/>
      <c r="H2303">
        <v>5</v>
      </c>
    </row>
    <row r="2304" spans="1:9" x14ac:dyDescent="0.2">
      <c r="A2304" t="s">
        <v>2299</v>
      </c>
      <c r="B2304" s="44">
        <v>44012</v>
      </c>
      <c r="C2304" t="s">
        <v>4</v>
      </c>
      <c r="D2304" t="s">
        <v>4383</v>
      </c>
      <c r="F2304"/>
      <c r="G2304"/>
      <c r="H2304">
        <v>5</v>
      </c>
    </row>
    <row r="2305" spans="1:8" x14ac:dyDescent="0.2">
      <c r="A2305" t="s">
        <v>1296</v>
      </c>
      <c r="B2305" s="44">
        <v>44013</v>
      </c>
      <c r="C2305" t="s">
        <v>4</v>
      </c>
      <c r="D2305" t="s">
        <v>4384</v>
      </c>
      <c r="F2305"/>
      <c r="G2305"/>
      <c r="H2305">
        <v>5</v>
      </c>
    </row>
    <row r="2306" spans="1:8" x14ac:dyDescent="0.2">
      <c r="A2306" t="s">
        <v>1318</v>
      </c>
      <c r="B2306" s="44">
        <v>44019</v>
      </c>
      <c r="C2306" t="s">
        <v>4</v>
      </c>
      <c r="D2306" t="s">
        <v>4385</v>
      </c>
      <c r="F2306"/>
      <c r="G2306"/>
      <c r="H2306">
        <v>5</v>
      </c>
    </row>
    <row r="2307" spans="1:8" x14ac:dyDescent="0.2">
      <c r="A2307" t="s">
        <v>2324</v>
      </c>
      <c r="B2307" s="44">
        <v>44027</v>
      </c>
      <c r="C2307" t="s">
        <v>4</v>
      </c>
      <c r="D2307" t="s">
        <v>4386</v>
      </c>
      <c r="F2307"/>
      <c r="G2307"/>
      <c r="H2307">
        <v>5</v>
      </c>
    </row>
    <row r="2308" spans="1:8" x14ac:dyDescent="0.2">
      <c r="A2308" t="s">
        <v>2372</v>
      </c>
      <c r="B2308" s="44">
        <v>44032</v>
      </c>
      <c r="C2308" t="s">
        <v>4</v>
      </c>
      <c r="D2308" t="s">
        <v>4387</v>
      </c>
      <c r="F2308"/>
      <c r="G2308"/>
      <c r="H2308">
        <v>5</v>
      </c>
    </row>
    <row r="2309" spans="1:8" x14ac:dyDescent="0.2">
      <c r="A2309" t="s">
        <v>2389</v>
      </c>
      <c r="B2309" s="44">
        <v>44035</v>
      </c>
      <c r="C2309" t="s">
        <v>4</v>
      </c>
      <c r="D2309" t="s">
        <v>4388</v>
      </c>
      <c r="F2309"/>
      <c r="G2309"/>
      <c r="H2309">
        <v>5</v>
      </c>
    </row>
    <row r="2310" spans="1:8" x14ac:dyDescent="0.2">
      <c r="A2310" t="s">
        <v>2454</v>
      </c>
      <c r="B2310" s="44">
        <v>44069</v>
      </c>
      <c r="C2310" t="s">
        <v>4</v>
      </c>
      <c r="D2310" t="s">
        <v>4389</v>
      </c>
      <c r="F2310"/>
      <c r="G2310"/>
      <c r="H2310">
        <v>5</v>
      </c>
    </row>
    <row r="2311" spans="1:8" x14ac:dyDescent="0.2">
      <c r="A2311" t="s">
        <v>1300</v>
      </c>
      <c r="B2311" s="44">
        <v>44076</v>
      </c>
      <c r="C2311" t="s">
        <v>4</v>
      </c>
      <c r="D2311" t="s">
        <v>4390</v>
      </c>
      <c r="F2311"/>
      <c r="G2311"/>
      <c r="H2311">
        <v>5</v>
      </c>
    </row>
    <row r="2312" spans="1:8" x14ac:dyDescent="0.2">
      <c r="A2312" t="s">
        <v>1303</v>
      </c>
      <c r="B2312" s="44">
        <v>44077</v>
      </c>
      <c r="C2312" t="s">
        <v>4</v>
      </c>
      <c r="D2312" t="s">
        <v>4391</v>
      </c>
      <c r="F2312"/>
      <c r="G2312"/>
      <c r="H2312">
        <v>5</v>
      </c>
    </row>
    <row r="2313" spans="1:8" x14ac:dyDescent="0.2">
      <c r="A2313" t="s">
        <v>1306</v>
      </c>
      <c r="B2313" s="44">
        <v>44078</v>
      </c>
      <c r="C2313" t="s">
        <v>4</v>
      </c>
      <c r="D2313" t="s">
        <v>4392</v>
      </c>
      <c r="F2313"/>
      <c r="G2313"/>
      <c r="H2313">
        <v>5</v>
      </c>
    </row>
    <row r="2314" spans="1:8" x14ac:dyDescent="0.2">
      <c r="A2314" t="s">
        <v>1319</v>
      </c>
      <c r="B2314" s="44">
        <v>44081</v>
      </c>
      <c r="C2314" t="s">
        <v>4</v>
      </c>
      <c r="D2314" t="s">
        <v>4393</v>
      </c>
      <c r="F2314"/>
      <c r="G2314"/>
      <c r="H2314">
        <v>5</v>
      </c>
    </row>
    <row r="2315" spans="1:8" x14ac:dyDescent="0.2">
      <c r="A2315" t="s">
        <v>2639</v>
      </c>
      <c r="B2315" s="44">
        <v>44104</v>
      </c>
      <c r="C2315" t="s">
        <v>4</v>
      </c>
      <c r="D2315" t="s">
        <v>4394</v>
      </c>
      <c r="F2315"/>
      <c r="G2315"/>
      <c r="H2315">
        <v>5</v>
      </c>
    </row>
    <row r="2316" spans="1:8" x14ac:dyDescent="0.2">
      <c r="A2316" t="s">
        <v>1297</v>
      </c>
      <c r="B2316" s="44">
        <v>44105</v>
      </c>
      <c r="C2316" t="s">
        <v>4</v>
      </c>
      <c r="D2316" t="s">
        <v>4395</v>
      </c>
      <c r="F2316"/>
      <c r="G2316"/>
      <c r="H2316">
        <v>5</v>
      </c>
    </row>
    <row r="2317" spans="1:8" x14ac:dyDescent="0.2">
      <c r="A2317" t="s">
        <v>1311</v>
      </c>
      <c r="B2317" s="44">
        <v>44109</v>
      </c>
      <c r="C2317" t="s">
        <v>4</v>
      </c>
      <c r="D2317" t="s">
        <v>4396</v>
      </c>
      <c r="F2317"/>
      <c r="G2317"/>
      <c r="H2317">
        <v>5</v>
      </c>
    </row>
    <row r="2318" spans="1:8" x14ac:dyDescent="0.2">
      <c r="A2318" t="s">
        <v>1312</v>
      </c>
      <c r="B2318" s="44">
        <v>44109</v>
      </c>
      <c r="C2318" t="s">
        <v>4</v>
      </c>
      <c r="D2318" t="s">
        <v>4397</v>
      </c>
      <c r="F2318"/>
      <c r="G2318"/>
      <c r="H2318">
        <v>5</v>
      </c>
    </row>
    <row r="2319" spans="1:8" x14ac:dyDescent="0.2">
      <c r="A2319" t="s">
        <v>1323</v>
      </c>
      <c r="B2319" s="44">
        <v>44113</v>
      </c>
      <c r="C2319" t="s">
        <v>4</v>
      </c>
      <c r="D2319" t="s">
        <v>4398</v>
      </c>
      <c r="F2319"/>
      <c r="G2319"/>
      <c r="H2319">
        <v>5</v>
      </c>
    </row>
    <row r="2320" spans="1:8" x14ac:dyDescent="0.2">
      <c r="A2320" t="s">
        <v>1335</v>
      </c>
      <c r="B2320" s="44">
        <v>44116</v>
      </c>
      <c r="C2320" t="s">
        <v>4</v>
      </c>
      <c r="D2320" t="s">
        <v>4400</v>
      </c>
      <c r="F2320"/>
      <c r="G2320"/>
      <c r="H2320">
        <v>5</v>
      </c>
    </row>
    <row r="2321" spans="1:9" x14ac:dyDescent="0.2">
      <c r="A2321" t="s">
        <v>1334</v>
      </c>
      <c r="B2321" s="44">
        <v>44116</v>
      </c>
      <c r="C2321" t="s">
        <v>4</v>
      </c>
      <c r="D2321" t="s">
        <v>4399</v>
      </c>
      <c r="F2321"/>
      <c r="G2321"/>
      <c r="H2321">
        <v>5</v>
      </c>
    </row>
    <row r="2322" spans="1:9" x14ac:dyDescent="0.2">
      <c r="A2322" t="s">
        <v>2659</v>
      </c>
      <c r="B2322" s="44">
        <v>44118</v>
      </c>
      <c r="C2322" t="s">
        <v>4</v>
      </c>
      <c r="D2322" t="s">
        <v>4401</v>
      </c>
      <c r="F2322"/>
      <c r="G2322"/>
      <c r="H2322">
        <v>5</v>
      </c>
    </row>
    <row r="2323" spans="1:9" x14ac:dyDescent="0.2">
      <c r="A2323" t="s">
        <v>2660</v>
      </c>
      <c r="B2323" s="44">
        <v>44118</v>
      </c>
      <c r="C2323" t="s">
        <v>4</v>
      </c>
      <c r="D2323" t="s">
        <v>4402</v>
      </c>
      <c r="F2323"/>
      <c r="G2323"/>
      <c r="H2323">
        <v>5</v>
      </c>
    </row>
    <row r="2324" spans="1:9" x14ac:dyDescent="0.2">
      <c r="A2324" t="s">
        <v>2669</v>
      </c>
      <c r="B2324" s="44">
        <v>44119</v>
      </c>
      <c r="C2324" t="s">
        <v>4</v>
      </c>
      <c r="D2324" t="s">
        <v>4403</v>
      </c>
      <c r="F2324"/>
      <c r="G2324"/>
      <c r="H2324">
        <v>5</v>
      </c>
    </row>
    <row r="2325" spans="1:9" x14ac:dyDescent="0.2">
      <c r="A2325" t="s">
        <v>2716</v>
      </c>
      <c r="B2325" s="44">
        <v>44123</v>
      </c>
      <c r="C2325" t="s">
        <v>4</v>
      </c>
      <c r="D2325" t="s">
        <v>4404</v>
      </c>
      <c r="F2325"/>
      <c r="G2325"/>
      <c r="H2325">
        <v>5</v>
      </c>
    </row>
    <row r="2326" spans="1:9" x14ac:dyDescent="0.2">
      <c r="A2326" t="s">
        <v>2717</v>
      </c>
      <c r="B2326" s="44">
        <v>44123</v>
      </c>
      <c r="C2326" t="s">
        <v>4</v>
      </c>
      <c r="D2326" t="s">
        <v>4405</v>
      </c>
      <c r="F2326"/>
      <c r="G2326"/>
      <c r="H2326">
        <v>5</v>
      </c>
    </row>
    <row r="2327" spans="1:9" x14ac:dyDescent="0.2">
      <c r="A2327" t="s">
        <v>2718</v>
      </c>
      <c r="B2327" s="44">
        <v>44123</v>
      </c>
      <c r="C2327" t="s">
        <v>4</v>
      </c>
      <c r="D2327" t="s">
        <v>4406</v>
      </c>
      <c r="F2327"/>
      <c r="G2327"/>
      <c r="H2327">
        <v>5</v>
      </c>
    </row>
    <row r="2328" spans="1:9" x14ac:dyDescent="0.2">
      <c r="A2328" t="s">
        <v>2729</v>
      </c>
      <c r="B2328" s="44">
        <v>44124</v>
      </c>
      <c r="C2328" t="s">
        <v>4</v>
      </c>
      <c r="D2328" t="s">
        <v>4407</v>
      </c>
      <c r="F2328"/>
      <c r="G2328"/>
      <c r="H2328">
        <v>5</v>
      </c>
    </row>
    <row r="2329" spans="1:9" x14ac:dyDescent="0.2">
      <c r="A2329" t="s">
        <v>2737</v>
      </c>
      <c r="B2329" s="44">
        <v>44125</v>
      </c>
      <c r="C2329" t="s">
        <v>4</v>
      </c>
      <c r="D2329" t="s">
        <v>4408</v>
      </c>
      <c r="F2329"/>
      <c r="G2329"/>
      <c r="H2329">
        <v>5</v>
      </c>
    </row>
    <row r="2330" spans="1:9" x14ac:dyDescent="0.2">
      <c r="A2330" t="s">
        <v>2751</v>
      </c>
      <c r="B2330" s="44">
        <v>44126</v>
      </c>
      <c r="C2330" t="s">
        <v>4</v>
      </c>
      <c r="D2330" t="s">
        <v>4409</v>
      </c>
      <c r="F2330"/>
      <c r="G2330"/>
      <c r="H2330">
        <v>5</v>
      </c>
    </row>
    <row r="2331" spans="1:9" x14ac:dyDescent="0.2">
      <c r="A2331" t="s">
        <v>2763</v>
      </c>
      <c r="B2331" s="44">
        <v>44127</v>
      </c>
      <c r="C2331" t="s">
        <v>4</v>
      </c>
      <c r="D2331" t="s">
        <v>4410</v>
      </c>
      <c r="F2331"/>
      <c r="G2331"/>
      <c r="H2331">
        <v>5</v>
      </c>
      <c r="I2331" t="s">
        <v>3214</v>
      </c>
    </row>
    <row r="2332" spans="1:9" x14ac:dyDescent="0.2">
      <c r="A2332" t="s">
        <v>1315</v>
      </c>
      <c r="B2332" s="44">
        <v>44141</v>
      </c>
      <c r="C2332" t="s">
        <v>4</v>
      </c>
      <c r="D2332" t="s">
        <v>4411</v>
      </c>
      <c r="F2332"/>
      <c r="G2332"/>
      <c r="H2332">
        <v>5</v>
      </c>
    </row>
    <row r="2333" spans="1:9" x14ac:dyDescent="0.2">
      <c r="A2333" t="s">
        <v>1325</v>
      </c>
      <c r="B2333" s="44">
        <v>44144</v>
      </c>
      <c r="C2333" t="s">
        <v>4</v>
      </c>
      <c r="D2333" t="s">
        <v>4412</v>
      </c>
      <c r="F2333"/>
      <c r="G2333"/>
      <c r="H2333">
        <v>5</v>
      </c>
    </row>
    <row r="2334" spans="1:9" x14ac:dyDescent="0.2">
      <c r="A2334" t="s">
        <v>1338</v>
      </c>
      <c r="B2334" s="44">
        <v>44147</v>
      </c>
      <c r="C2334" t="s">
        <v>4</v>
      </c>
      <c r="D2334" t="s">
        <v>4413</v>
      </c>
      <c r="F2334"/>
      <c r="G2334"/>
      <c r="H2334">
        <v>5</v>
      </c>
    </row>
    <row r="2335" spans="1:9" x14ac:dyDescent="0.2">
      <c r="A2335" t="s">
        <v>2846</v>
      </c>
      <c r="B2335" s="44">
        <v>44148</v>
      </c>
      <c r="C2335" t="s">
        <v>4</v>
      </c>
      <c r="D2335" t="s">
        <v>4413</v>
      </c>
      <c r="F2335"/>
      <c r="G2335"/>
      <c r="H2335">
        <v>5</v>
      </c>
    </row>
    <row r="2336" spans="1:9" x14ac:dyDescent="0.2">
      <c r="A2336" t="s">
        <v>2847</v>
      </c>
      <c r="B2336" s="44">
        <v>44148</v>
      </c>
      <c r="C2336" t="s">
        <v>4</v>
      </c>
      <c r="D2336" t="s">
        <v>4414</v>
      </c>
      <c r="F2336"/>
      <c r="G2336"/>
      <c r="H2336">
        <v>5</v>
      </c>
    </row>
    <row r="2337" spans="1:1018 1026:2042 2050:3066 3074:4090 4098:5114 5122:6138 6146:7162 7170:8186 8194:9210 9218:10234 10242:11258 11266:12282 12290:13306 13314:14330 14338:15354 15362:16378" x14ac:dyDescent="0.2">
      <c r="A2337" t="s">
        <v>2884</v>
      </c>
      <c r="B2337" s="44">
        <v>44151</v>
      </c>
      <c r="C2337" t="s">
        <v>4</v>
      </c>
      <c r="D2337" t="s">
        <v>4415</v>
      </c>
      <c r="F2337"/>
      <c r="G2337"/>
      <c r="H2337">
        <v>5</v>
      </c>
    </row>
    <row r="2338" spans="1:1018 1026:2042 2050:3066 3074:4090 4098:5114 5122:6138 6146:7162 7170:8186 8194:9210 9218:10234 10242:11258 11266:12282 12290:13306 13314:14330 14338:15354 15362:16378" x14ac:dyDescent="0.2">
      <c r="A2338" t="s">
        <v>2894</v>
      </c>
      <c r="B2338" s="44">
        <v>44152</v>
      </c>
      <c r="C2338" t="s">
        <v>4</v>
      </c>
      <c r="D2338" t="s">
        <v>4416</v>
      </c>
      <c r="F2338"/>
      <c r="G2338"/>
      <c r="H2338">
        <v>5</v>
      </c>
    </row>
    <row r="2339" spans="1:1018 1026:2042 2050:3066 3074:4090 4098:5114 5122:6138 6146:7162 7170:8186 8194:9210 9218:10234 10242:11258 11266:12282 12290:13306 13314:14330 14338:15354 15362:16378" x14ac:dyDescent="0.2">
      <c r="A2339" t="s">
        <v>2903</v>
      </c>
      <c r="B2339" s="44">
        <v>44153</v>
      </c>
      <c r="C2339" t="s">
        <v>4</v>
      </c>
      <c r="D2339" t="s">
        <v>4417</v>
      </c>
      <c r="F2339"/>
      <c r="G2339"/>
      <c r="H2339">
        <v>5</v>
      </c>
    </row>
    <row r="2340" spans="1:1018 1026:2042 2050:3066 3074:4090 4098:5114 5122:6138 6146:7162 7170:8186 8194:9210 9218:10234 10242:11258 11266:12282 12290:13306 13314:14330 14338:15354 15362:16378" x14ac:dyDescent="0.2">
      <c r="A2340" t="s">
        <v>2977</v>
      </c>
      <c r="B2340" s="44">
        <v>44159</v>
      </c>
      <c r="C2340" t="s">
        <v>4</v>
      </c>
      <c r="D2340" t="s">
        <v>4418</v>
      </c>
      <c r="F2340"/>
      <c r="G2340"/>
      <c r="H2340">
        <v>5</v>
      </c>
    </row>
    <row r="2341" spans="1:1018 1026:2042 2050:3066 3074:4090 4098:5114 5122:6138 6146:7162 7170:8186 8194:9210 9218:10234 10242:11258 11266:12282 12290:13306 13314:14330 14338:15354 15362:16378" x14ac:dyDescent="0.2">
      <c r="A2341" t="s">
        <v>3025</v>
      </c>
      <c r="B2341" s="44">
        <v>44165</v>
      </c>
      <c r="C2341" t="s">
        <v>4</v>
      </c>
      <c r="D2341" t="s">
        <v>4419</v>
      </c>
      <c r="F2341"/>
      <c r="G2341"/>
      <c r="H2341">
        <v>5</v>
      </c>
    </row>
    <row r="2342" spans="1:1018 1026:2042 2050:3066 3074:4090 4098:5114 5122:6138 6146:7162 7170:8186 8194:9210 9218:10234 10242:11258 11266:12282 12290:13306 13314:14330 14338:15354 15362:16378" x14ac:dyDescent="0.2">
      <c r="A2342" t="s">
        <v>1301</v>
      </c>
      <c r="B2342" s="44">
        <v>44167</v>
      </c>
      <c r="C2342" t="s">
        <v>4</v>
      </c>
      <c r="D2342" t="s">
        <v>4397</v>
      </c>
      <c r="F2342"/>
      <c r="G2342"/>
      <c r="H2342">
        <v>5</v>
      </c>
    </row>
    <row r="2343" spans="1:1018 1026:2042 2050:3066 3074:4090 4098:5114 5122:6138 6146:7162 7170:8186 8194:9210 9218:10234 10242:11258 11266:12282 12290:13306 13314:14330 14338:15354 15362:16378" x14ac:dyDescent="0.2">
      <c r="A2343" t="s">
        <v>1307</v>
      </c>
      <c r="B2343" s="44">
        <v>44169</v>
      </c>
      <c r="C2343" t="s">
        <v>4</v>
      </c>
      <c r="D2343" t="s">
        <v>4392</v>
      </c>
      <c r="F2343"/>
      <c r="G2343"/>
      <c r="H2343">
        <v>5</v>
      </c>
    </row>
    <row r="2344" spans="1:1018 1026:2042 2050:3066 3074:4090 4098:5114 5122:6138 6146:7162 7170:8186 8194:9210 9218:10234 10242:11258 11266:12282 12290:13306 13314:14330 14338:15354 15362:16378" x14ac:dyDescent="0.2">
      <c r="A2344" t="s">
        <v>1308</v>
      </c>
      <c r="B2344" s="44">
        <v>44169</v>
      </c>
      <c r="C2344" t="s">
        <v>4</v>
      </c>
      <c r="D2344" t="s">
        <v>4420</v>
      </c>
      <c r="F2344"/>
      <c r="G2344"/>
      <c r="H2344">
        <v>5</v>
      </c>
    </row>
    <row r="2345" spans="1:1018 1026:2042 2050:3066 3074:4090 4098:5114 5122:6138 6146:7162 7170:8186 8194:9210 9218:10234 10242:11258 11266:12282 12290:13306 13314:14330 14338:15354 15362:16378" x14ac:dyDescent="0.2">
      <c r="A2345" s="44">
        <v>41450</v>
      </c>
      <c r="B2345" s="44">
        <v>41450</v>
      </c>
      <c r="C2345" t="s">
        <v>4</v>
      </c>
      <c r="D2345" t="s">
        <v>5815</v>
      </c>
      <c r="F2345"/>
      <c r="G2345"/>
      <c r="H2345">
        <v>5</v>
      </c>
    </row>
    <row r="2346" spans="1:1018 1026:2042 2050:3066 3074:4090 4098:5114 5122:6138 6146:7162 7170:8186 8194:9210 9218:10234 10242:11258 11266:12282 12290:13306 13314:14330 14338:15354 15362:16378" x14ac:dyDescent="0.2">
      <c r="A2346" s="44">
        <v>41451</v>
      </c>
      <c r="B2346" s="44">
        <v>41451</v>
      </c>
      <c r="C2346" t="s">
        <v>4</v>
      </c>
      <c r="D2346" t="s">
        <v>5815</v>
      </c>
      <c r="F2346"/>
      <c r="G2346"/>
      <c r="H2346">
        <v>5</v>
      </c>
      <c r="J2346" s="44"/>
      <c r="R2346" s="44"/>
      <c r="Z2346" s="44"/>
      <c r="AH2346" s="44"/>
      <c r="AP2346" s="44"/>
      <c r="AX2346" s="44"/>
      <c r="BF2346" s="44"/>
      <c r="BN2346" s="44"/>
      <c r="BV2346" s="44"/>
      <c r="CD2346" s="44"/>
      <c r="CL2346" s="44"/>
      <c r="CT2346" s="44"/>
      <c r="DB2346" s="44"/>
      <c r="DJ2346" s="44"/>
      <c r="DR2346" s="44"/>
      <c r="DZ2346" s="44"/>
      <c r="EH2346" s="44"/>
      <c r="EP2346" s="44"/>
      <c r="EX2346" s="44"/>
      <c r="FF2346" s="44"/>
      <c r="FN2346" s="44"/>
      <c r="FV2346" s="44"/>
      <c r="GD2346" s="44"/>
      <c r="GL2346" s="44"/>
      <c r="GT2346" s="44"/>
      <c r="HB2346" s="44"/>
      <c r="HJ2346" s="44"/>
      <c r="HR2346" s="44"/>
      <c r="HZ2346" s="44"/>
      <c r="IH2346" s="44"/>
      <c r="IP2346" s="44"/>
      <c r="IX2346" s="44"/>
      <c r="JF2346" s="44"/>
      <c r="JN2346" s="44"/>
      <c r="JV2346" s="44"/>
      <c r="KD2346" s="44"/>
      <c r="KL2346" s="44"/>
      <c r="KT2346" s="44"/>
      <c r="LB2346" s="44"/>
      <c r="LJ2346" s="44"/>
      <c r="LR2346" s="44"/>
      <c r="LZ2346" s="44"/>
      <c r="MH2346" s="44"/>
      <c r="MP2346" s="44"/>
      <c r="MX2346" s="44"/>
      <c r="NF2346" s="44"/>
      <c r="NN2346" s="44"/>
      <c r="NV2346" s="44"/>
      <c r="OD2346" s="44"/>
      <c r="OL2346" s="44"/>
      <c r="OT2346" s="44"/>
      <c r="PB2346" s="44"/>
      <c r="PJ2346" s="44"/>
      <c r="PR2346" s="44"/>
      <c r="PZ2346" s="44"/>
      <c r="QH2346" s="44"/>
      <c r="QP2346" s="44"/>
      <c r="QX2346" s="44"/>
      <c r="RF2346" s="44"/>
      <c r="RN2346" s="44"/>
      <c r="RV2346" s="44"/>
      <c r="SD2346" s="44"/>
      <c r="SL2346" s="44"/>
      <c r="ST2346" s="44"/>
      <c r="TB2346" s="44"/>
      <c r="TJ2346" s="44"/>
      <c r="TR2346" s="44"/>
      <c r="TZ2346" s="44"/>
      <c r="UH2346" s="44"/>
      <c r="UP2346" s="44"/>
      <c r="UX2346" s="44"/>
      <c r="VF2346" s="44"/>
      <c r="VN2346" s="44"/>
      <c r="VV2346" s="44"/>
      <c r="WD2346" s="44"/>
      <c r="WL2346" s="44"/>
      <c r="WT2346" s="44"/>
      <c r="XB2346" s="44"/>
      <c r="XJ2346" s="44"/>
      <c r="XR2346" s="44"/>
      <c r="XZ2346" s="44"/>
      <c r="YH2346" s="44"/>
      <c r="YP2346" s="44"/>
      <c r="YX2346" s="44"/>
      <c r="ZF2346" s="44"/>
      <c r="ZN2346" s="44"/>
      <c r="ZV2346" s="44"/>
      <c r="AAD2346" s="44"/>
      <c r="AAL2346" s="44"/>
      <c r="AAT2346" s="44"/>
      <c r="ABB2346" s="44"/>
      <c r="ABJ2346" s="44"/>
      <c r="ABR2346" s="44"/>
      <c r="ABZ2346" s="44"/>
      <c r="ACH2346" s="44"/>
      <c r="ACP2346" s="44"/>
      <c r="ACX2346" s="44"/>
      <c r="ADF2346" s="44"/>
      <c r="ADN2346" s="44"/>
      <c r="ADV2346" s="44"/>
      <c r="AED2346" s="44"/>
      <c r="AEL2346" s="44"/>
      <c r="AET2346" s="44"/>
      <c r="AFB2346" s="44"/>
      <c r="AFJ2346" s="44"/>
      <c r="AFR2346" s="44"/>
      <c r="AFZ2346" s="44"/>
      <c r="AGH2346" s="44"/>
      <c r="AGP2346" s="44"/>
      <c r="AGX2346" s="44"/>
      <c r="AHF2346" s="44"/>
      <c r="AHN2346" s="44"/>
      <c r="AHV2346" s="44"/>
      <c r="AID2346" s="44"/>
      <c r="AIL2346" s="44"/>
      <c r="AIT2346" s="44"/>
      <c r="AJB2346" s="44"/>
      <c r="AJJ2346" s="44"/>
      <c r="AJR2346" s="44"/>
      <c r="AJZ2346" s="44"/>
      <c r="AKH2346" s="44"/>
      <c r="AKP2346" s="44"/>
      <c r="AKX2346" s="44"/>
      <c r="ALF2346" s="44"/>
      <c r="ALN2346" s="44"/>
      <c r="ALV2346" s="44"/>
      <c r="AMD2346" s="44"/>
      <c r="AML2346" s="44"/>
      <c r="AMT2346" s="44"/>
      <c r="ANB2346" s="44"/>
      <c r="ANJ2346" s="44"/>
      <c r="ANR2346" s="44"/>
      <c r="ANZ2346" s="44"/>
      <c r="AOH2346" s="44"/>
      <c r="AOP2346" s="44"/>
      <c r="AOX2346" s="44"/>
      <c r="APF2346" s="44"/>
      <c r="APN2346" s="44"/>
      <c r="APV2346" s="44"/>
      <c r="AQD2346" s="44"/>
      <c r="AQL2346" s="44"/>
      <c r="AQT2346" s="44"/>
      <c r="ARB2346" s="44"/>
      <c r="ARJ2346" s="44"/>
      <c r="ARR2346" s="44"/>
      <c r="ARZ2346" s="44"/>
      <c r="ASH2346" s="44"/>
      <c r="ASP2346" s="44"/>
      <c r="ASX2346" s="44"/>
      <c r="ATF2346" s="44"/>
      <c r="ATN2346" s="44"/>
      <c r="ATV2346" s="44"/>
      <c r="AUD2346" s="44"/>
      <c r="AUL2346" s="44"/>
      <c r="AUT2346" s="44"/>
      <c r="AVB2346" s="44"/>
      <c r="AVJ2346" s="44"/>
      <c r="AVR2346" s="44"/>
      <c r="AVZ2346" s="44"/>
      <c r="AWH2346" s="44"/>
      <c r="AWP2346" s="44"/>
      <c r="AWX2346" s="44"/>
      <c r="AXF2346" s="44"/>
      <c r="AXN2346" s="44"/>
      <c r="AXV2346" s="44"/>
      <c r="AYD2346" s="44"/>
      <c r="AYL2346" s="44"/>
      <c r="AYT2346" s="44"/>
      <c r="AZB2346" s="44"/>
      <c r="AZJ2346" s="44"/>
      <c r="AZR2346" s="44"/>
      <c r="AZZ2346" s="44"/>
      <c r="BAH2346" s="44"/>
      <c r="BAP2346" s="44"/>
      <c r="BAX2346" s="44"/>
      <c r="BBF2346" s="44"/>
      <c r="BBN2346" s="44"/>
      <c r="BBV2346" s="44"/>
      <c r="BCD2346" s="44"/>
      <c r="BCL2346" s="44"/>
      <c r="BCT2346" s="44"/>
      <c r="BDB2346" s="44"/>
      <c r="BDJ2346" s="44"/>
      <c r="BDR2346" s="44"/>
      <c r="BDZ2346" s="44"/>
      <c r="BEH2346" s="44"/>
      <c r="BEP2346" s="44"/>
      <c r="BEX2346" s="44"/>
      <c r="BFF2346" s="44"/>
      <c r="BFN2346" s="44"/>
      <c r="BFV2346" s="44"/>
      <c r="BGD2346" s="44"/>
      <c r="BGL2346" s="44"/>
      <c r="BGT2346" s="44"/>
      <c r="BHB2346" s="44"/>
      <c r="BHJ2346" s="44"/>
      <c r="BHR2346" s="44"/>
      <c r="BHZ2346" s="44"/>
      <c r="BIH2346" s="44"/>
      <c r="BIP2346" s="44"/>
      <c r="BIX2346" s="44"/>
      <c r="BJF2346" s="44"/>
      <c r="BJN2346" s="44"/>
      <c r="BJV2346" s="44"/>
      <c r="BKD2346" s="44"/>
      <c r="BKL2346" s="44"/>
      <c r="BKT2346" s="44"/>
      <c r="BLB2346" s="44"/>
      <c r="BLJ2346" s="44"/>
      <c r="BLR2346" s="44"/>
      <c r="BLZ2346" s="44"/>
      <c r="BMH2346" s="44"/>
      <c r="BMP2346" s="44"/>
      <c r="BMX2346" s="44"/>
      <c r="BNF2346" s="44"/>
      <c r="BNN2346" s="44"/>
      <c r="BNV2346" s="44"/>
      <c r="BOD2346" s="44"/>
      <c r="BOL2346" s="44"/>
      <c r="BOT2346" s="44"/>
      <c r="BPB2346" s="44"/>
      <c r="BPJ2346" s="44"/>
      <c r="BPR2346" s="44"/>
      <c r="BPZ2346" s="44"/>
      <c r="BQH2346" s="44"/>
      <c r="BQP2346" s="44"/>
      <c r="BQX2346" s="44"/>
      <c r="BRF2346" s="44"/>
      <c r="BRN2346" s="44"/>
      <c r="BRV2346" s="44"/>
      <c r="BSD2346" s="44"/>
      <c r="BSL2346" s="44"/>
      <c r="BST2346" s="44"/>
      <c r="BTB2346" s="44"/>
      <c r="BTJ2346" s="44"/>
      <c r="BTR2346" s="44"/>
      <c r="BTZ2346" s="44"/>
      <c r="BUH2346" s="44"/>
      <c r="BUP2346" s="44"/>
      <c r="BUX2346" s="44"/>
      <c r="BVF2346" s="44"/>
      <c r="BVN2346" s="44"/>
      <c r="BVV2346" s="44"/>
      <c r="BWD2346" s="44"/>
      <c r="BWL2346" s="44"/>
      <c r="BWT2346" s="44"/>
      <c r="BXB2346" s="44"/>
      <c r="BXJ2346" s="44"/>
      <c r="BXR2346" s="44"/>
      <c r="BXZ2346" s="44"/>
      <c r="BYH2346" s="44"/>
      <c r="BYP2346" s="44"/>
      <c r="BYX2346" s="44"/>
      <c r="BZF2346" s="44"/>
      <c r="BZN2346" s="44"/>
      <c r="BZV2346" s="44"/>
      <c r="CAD2346" s="44"/>
      <c r="CAL2346" s="44"/>
      <c r="CAT2346" s="44"/>
      <c r="CBB2346" s="44"/>
      <c r="CBJ2346" s="44"/>
      <c r="CBR2346" s="44"/>
      <c r="CBZ2346" s="44"/>
      <c r="CCH2346" s="44"/>
      <c r="CCP2346" s="44"/>
      <c r="CCX2346" s="44"/>
      <c r="CDF2346" s="44"/>
      <c r="CDN2346" s="44"/>
      <c r="CDV2346" s="44"/>
      <c r="CED2346" s="44"/>
      <c r="CEL2346" s="44"/>
      <c r="CET2346" s="44"/>
      <c r="CFB2346" s="44"/>
      <c r="CFJ2346" s="44"/>
      <c r="CFR2346" s="44"/>
      <c r="CFZ2346" s="44"/>
      <c r="CGH2346" s="44"/>
      <c r="CGP2346" s="44"/>
      <c r="CGX2346" s="44"/>
      <c r="CHF2346" s="44"/>
      <c r="CHN2346" s="44"/>
      <c r="CHV2346" s="44"/>
      <c r="CID2346" s="44"/>
      <c r="CIL2346" s="44"/>
      <c r="CIT2346" s="44"/>
      <c r="CJB2346" s="44"/>
      <c r="CJJ2346" s="44"/>
      <c r="CJR2346" s="44"/>
      <c r="CJZ2346" s="44"/>
      <c r="CKH2346" s="44"/>
      <c r="CKP2346" s="44"/>
      <c r="CKX2346" s="44"/>
      <c r="CLF2346" s="44"/>
      <c r="CLN2346" s="44"/>
      <c r="CLV2346" s="44"/>
      <c r="CMD2346" s="44"/>
      <c r="CML2346" s="44"/>
      <c r="CMT2346" s="44"/>
      <c r="CNB2346" s="44"/>
      <c r="CNJ2346" s="44"/>
      <c r="CNR2346" s="44"/>
      <c r="CNZ2346" s="44"/>
      <c r="COH2346" s="44"/>
      <c r="COP2346" s="44"/>
      <c r="COX2346" s="44"/>
      <c r="CPF2346" s="44"/>
      <c r="CPN2346" s="44"/>
      <c r="CPV2346" s="44"/>
      <c r="CQD2346" s="44"/>
      <c r="CQL2346" s="44"/>
      <c r="CQT2346" s="44"/>
      <c r="CRB2346" s="44"/>
      <c r="CRJ2346" s="44"/>
      <c r="CRR2346" s="44"/>
      <c r="CRZ2346" s="44"/>
      <c r="CSH2346" s="44"/>
      <c r="CSP2346" s="44"/>
      <c r="CSX2346" s="44"/>
      <c r="CTF2346" s="44"/>
      <c r="CTN2346" s="44"/>
      <c r="CTV2346" s="44"/>
      <c r="CUD2346" s="44"/>
      <c r="CUL2346" s="44"/>
      <c r="CUT2346" s="44"/>
      <c r="CVB2346" s="44"/>
      <c r="CVJ2346" s="44"/>
      <c r="CVR2346" s="44"/>
      <c r="CVZ2346" s="44"/>
      <c r="CWH2346" s="44"/>
      <c r="CWP2346" s="44"/>
      <c r="CWX2346" s="44"/>
      <c r="CXF2346" s="44"/>
      <c r="CXN2346" s="44"/>
      <c r="CXV2346" s="44"/>
      <c r="CYD2346" s="44"/>
      <c r="CYL2346" s="44"/>
      <c r="CYT2346" s="44"/>
      <c r="CZB2346" s="44"/>
      <c r="CZJ2346" s="44"/>
      <c r="CZR2346" s="44"/>
      <c r="CZZ2346" s="44"/>
      <c r="DAH2346" s="44"/>
      <c r="DAP2346" s="44"/>
      <c r="DAX2346" s="44"/>
      <c r="DBF2346" s="44"/>
      <c r="DBN2346" s="44"/>
      <c r="DBV2346" s="44"/>
      <c r="DCD2346" s="44"/>
      <c r="DCL2346" s="44"/>
      <c r="DCT2346" s="44"/>
      <c r="DDB2346" s="44"/>
      <c r="DDJ2346" s="44"/>
      <c r="DDR2346" s="44"/>
      <c r="DDZ2346" s="44"/>
      <c r="DEH2346" s="44"/>
      <c r="DEP2346" s="44"/>
      <c r="DEX2346" s="44"/>
      <c r="DFF2346" s="44"/>
      <c r="DFN2346" s="44"/>
      <c r="DFV2346" s="44"/>
      <c r="DGD2346" s="44"/>
      <c r="DGL2346" s="44"/>
      <c r="DGT2346" s="44"/>
      <c r="DHB2346" s="44"/>
      <c r="DHJ2346" s="44"/>
      <c r="DHR2346" s="44"/>
      <c r="DHZ2346" s="44"/>
      <c r="DIH2346" s="44"/>
      <c r="DIP2346" s="44"/>
      <c r="DIX2346" s="44"/>
      <c r="DJF2346" s="44"/>
      <c r="DJN2346" s="44"/>
      <c r="DJV2346" s="44"/>
      <c r="DKD2346" s="44"/>
      <c r="DKL2346" s="44"/>
      <c r="DKT2346" s="44"/>
      <c r="DLB2346" s="44"/>
      <c r="DLJ2346" s="44"/>
      <c r="DLR2346" s="44"/>
      <c r="DLZ2346" s="44"/>
      <c r="DMH2346" s="44"/>
      <c r="DMP2346" s="44"/>
      <c r="DMX2346" s="44"/>
      <c r="DNF2346" s="44"/>
      <c r="DNN2346" s="44"/>
      <c r="DNV2346" s="44"/>
      <c r="DOD2346" s="44"/>
      <c r="DOL2346" s="44"/>
      <c r="DOT2346" s="44"/>
      <c r="DPB2346" s="44"/>
      <c r="DPJ2346" s="44"/>
      <c r="DPR2346" s="44"/>
      <c r="DPZ2346" s="44"/>
      <c r="DQH2346" s="44"/>
      <c r="DQP2346" s="44"/>
      <c r="DQX2346" s="44"/>
      <c r="DRF2346" s="44"/>
      <c r="DRN2346" s="44"/>
      <c r="DRV2346" s="44"/>
      <c r="DSD2346" s="44"/>
      <c r="DSL2346" s="44"/>
      <c r="DST2346" s="44"/>
      <c r="DTB2346" s="44"/>
      <c r="DTJ2346" s="44"/>
      <c r="DTR2346" s="44"/>
      <c r="DTZ2346" s="44"/>
      <c r="DUH2346" s="44"/>
      <c r="DUP2346" s="44"/>
      <c r="DUX2346" s="44"/>
      <c r="DVF2346" s="44"/>
      <c r="DVN2346" s="44"/>
      <c r="DVV2346" s="44"/>
      <c r="DWD2346" s="44"/>
      <c r="DWL2346" s="44"/>
      <c r="DWT2346" s="44"/>
      <c r="DXB2346" s="44"/>
      <c r="DXJ2346" s="44"/>
      <c r="DXR2346" s="44"/>
      <c r="DXZ2346" s="44"/>
      <c r="DYH2346" s="44"/>
      <c r="DYP2346" s="44"/>
      <c r="DYX2346" s="44"/>
      <c r="DZF2346" s="44"/>
      <c r="DZN2346" s="44"/>
      <c r="DZV2346" s="44"/>
      <c r="EAD2346" s="44"/>
      <c r="EAL2346" s="44"/>
      <c r="EAT2346" s="44"/>
      <c r="EBB2346" s="44"/>
      <c r="EBJ2346" s="44"/>
      <c r="EBR2346" s="44"/>
      <c r="EBZ2346" s="44"/>
      <c r="ECH2346" s="44"/>
      <c r="ECP2346" s="44"/>
      <c r="ECX2346" s="44"/>
      <c r="EDF2346" s="44"/>
      <c r="EDN2346" s="44"/>
      <c r="EDV2346" s="44"/>
      <c r="EED2346" s="44"/>
      <c r="EEL2346" s="44"/>
      <c r="EET2346" s="44"/>
      <c r="EFB2346" s="44"/>
      <c r="EFJ2346" s="44"/>
      <c r="EFR2346" s="44"/>
      <c r="EFZ2346" s="44"/>
      <c r="EGH2346" s="44"/>
      <c r="EGP2346" s="44"/>
      <c r="EGX2346" s="44"/>
      <c r="EHF2346" s="44"/>
      <c r="EHN2346" s="44"/>
      <c r="EHV2346" s="44"/>
      <c r="EID2346" s="44"/>
      <c r="EIL2346" s="44"/>
      <c r="EIT2346" s="44"/>
      <c r="EJB2346" s="44"/>
      <c r="EJJ2346" s="44"/>
      <c r="EJR2346" s="44"/>
      <c r="EJZ2346" s="44"/>
      <c r="EKH2346" s="44"/>
      <c r="EKP2346" s="44"/>
      <c r="EKX2346" s="44"/>
      <c r="ELF2346" s="44"/>
      <c r="ELN2346" s="44"/>
      <c r="ELV2346" s="44"/>
      <c r="EMD2346" s="44"/>
      <c r="EML2346" s="44"/>
      <c r="EMT2346" s="44"/>
      <c r="ENB2346" s="44"/>
      <c r="ENJ2346" s="44"/>
      <c r="ENR2346" s="44"/>
      <c r="ENZ2346" s="44"/>
      <c r="EOH2346" s="44"/>
      <c r="EOP2346" s="44"/>
      <c r="EOX2346" s="44"/>
      <c r="EPF2346" s="44"/>
      <c r="EPN2346" s="44"/>
      <c r="EPV2346" s="44"/>
      <c r="EQD2346" s="44"/>
      <c r="EQL2346" s="44"/>
      <c r="EQT2346" s="44"/>
      <c r="ERB2346" s="44"/>
      <c r="ERJ2346" s="44"/>
      <c r="ERR2346" s="44"/>
      <c r="ERZ2346" s="44"/>
      <c r="ESH2346" s="44"/>
      <c r="ESP2346" s="44"/>
      <c r="ESX2346" s="44"/>
      <c r="ETF2346" s="44"/>
      <c r="ETN2346" s="44"/>
      <c r="ETV2346" s="44"/>
      <c r="EUD2346" s="44"/>
      <c r="EUL2346" s="44"/>
      <c r="EUT2346" s="44"/>
      <c r="EVB2346" s="44"/>
      <c r="EVJ2346" s="44"/>
      <c r="EVR2346" s="44"/>
      <c r="EVZ2346" s="44"/>
      <c r="EWH2346" s="44"/>
      <c r="EWP2346" s="44"/>
      <c r="EWX2346" s="44"/>
      <c r="EXF2346" s="44"/>
      <c r="EXN2346" s="44"/>
      <c r="EXV2346" s="44"/>
      <c r="EYD2346" s="44"/>
      <c r="EYL2346" s="44"/>
      <c r="EYT2346" s="44"/>
      <c r="EZB2346" s="44"/>
      <c r="EZJ2346" s="44"/>
      <c r="EZR2346" s="44"/>
      <c r="EZZ2346" s="44"/>
      <c r="FAH2346" s="44"/>
      <c r="FAP2346" s="44"/>
      <c r="FAX2346" s="44"/>
      <c r="FBF2346" s="44"/>
      <c r="FBN2346" s="44"/>
      <c r="FBV2346" s="44"/>
      <c r="FCD2346" s="44"/>
      <c r="FCL2346" s="44"/>
      <c r="FCT2346" s="44"/>
      <c r="FDB2346" s="44"/>
      <c r="FDJ2346" s="44"/>
      <c r="FDR2346" s="44"/>
      <c r="FDZ2346" s="44"/>
      <c r="FEH2346" s="44"/>
      <c r="FEP2346" s="44"/>
      <c r="FEX2346" s="44"/>
      <c r="FFF2346" s="44"/>
      <c r="FFN2346" s="44"/>
      <c r="FFV2346" s="44"/>
      <c r="FGD2346" s="44"/>
      <c r="FGL2346" s="44"/>
      <c r="FGT2346" s="44"/>
      <c r="FHB2346" s="44"/>
      <c r="FHJ2346" s="44"/>
      <c r="FHR2346" s="44"/>
      <c r="FHZ2346" s="44"/>
      <c r="FIH2346" s="44"/>
      <c r="FIP2346" s="44"/>
      <c r="FIX2346" s="44"/>
      <c r="FJF2346" s="44"/>
      <c r="FJN2346" s="44"/>
      <c r="FJV2346" s="44"/>
      <c r="FKD2346" s="44"/>
      <c r="FKL2346" s="44"/>
      <c r="FKT2346" s="44"/>
      <c r="FLB2346" s="44"/>
      <c r="FLJ2346" s="44"/>
      <c r="FLR2346" s="44"/>
      <c r="FLZ2346" s="44"/>
      <c r="FMH2346" s="44"/>
      <c r="FMP2346" s="44"/>
      <c r="FMX2346" s="44"/>
      <c r="FNF2346" s="44"/>
      <c r="FNN2346" s="44"/>
      <c r="FNV2346" s="44"/>
      <c r="FOD2346" s="44"/>
      <c r="FOL2346" s="44"/>
      <c r="FOT2346" s="44"/>
      <c r="FPB2346" s="44"/>
      <c r="FPJ2346" s="44"/>
      <c r="FPR2346" s="44"/>
      <c r="FPZ2346" s="44"/>
      <c r="FQH2346" s="44"/>
      <c r="FQP2346" s="44"/>
      <c r="FQX2346" s="44"/>
      <c r="FRF2346" s="44"/>
      <c r="FRN2346" s="44"/>
      <c r="FRV2346" s="44"/>
      <c r="FSD2346" s="44"/>
      <c r="FSL2346" s="44"/>
      <c r="FST2346" s="44"/>
      <c r="FTB2346" s="44"/>
      <c r="FTJ2346" s="44"/>
      <c r="FTR2346" s="44"/>
      <c r="FTZ2346" s="44"/>
      <c r="FUH2346" s="44"/>
      <c r="FUP2346" s="44"/>
      <c r="FUX2346" s="44"/>
      <c r="FVF2346" s="44"/>
      <c r="FVN2346" s="44"/>
      <c r="FVV2346" s="44"/>
      <c r="FWD2346" s="44"/>
      <c r="FWL2346" s="44"/>
      <c r="FWT2346" s="44"/>
      <c r="FXB2346" s="44"/>
      <c r="FXJ2346" s="44"/>
      <c r="FXR2346" s="44"/>
      <c r="FXZ2346" s="44"/>
      <c r="FYH2346" s="44"/>
      <c r="FYP2346" s="44"/>
      <c r="FYX2346" s="44"/>
      <c r="FZF2346" s="44"/>
      <c r="FZN2346" s="44"/>
      <c r="FZV2346" s="44"/>
      <c r="GAD2346" s="44"/>
      <c r="GAL2346" s="44"/>
      <c r="GAT2346" s="44"/>
      <c r="GBB2346" s="44"/>
      <c r="GBJ2346" s="44"/>
      <c r="GBR2346" s="44"/>
      <c r="GBZ2346" s="44"/>
      <c r="GCH2346" s="44"/>
      <c r="GCP2346" s="44"/>
      <c r="GCX2346" s="44"/>
      <c r="GDF2346" s="44"/>
      <c r="GDN2346" s="44"/>
      <c r="GDV2346" s="44"/>
      <c r="GED2346" s="44"/>
      <c r="GEL2346" s="44"/>
      <c r="GET2346" s="44"/>
      <c r="GFB2346" s="44"/>
      <c r="GFJ2346" s="44"/>
      <c r="GFR2346" s="44"/>
      <c r="GFZ2346" s="44"/>
      <c r="GGH2346" s="44"/>
      <c r="GGP2346" s="44"/>
      <c r="GGX2346" s="44"/>
      <c r="GHF2346" s="44"/>
      <c r="GHN2346" s="44"/>
      <c r="GHV2346" s="44"/>
      <c r="GID2346" s="44"/>
      <c r="GIL2346" s="44"/>
      <c r="GIT2346" s="44"/>
      <c r="GJB2346" s="44"/>
      <c r="GJJ2346" s="44"/>
      <c r="GJR2346" s="44"/>
      <c r="GJZ2346" s="44"/>
      <c r="GKH2346" s="44"/>
      <c r="GKP2346" s="44"/>
      <c r="GKX2346" s="44"/>
      <c r="GLF2346" s="44"/>
      <c r="GLN2346" s="44"/>
      <c r="GLV2346" s="44"/>
      <c r="GMD2346" s="44"/>
      <c r="GML2346" s="44"/>
      <c r="GMT2346" s="44"/>
      <c r="GNB2346" s="44"/>
      <c r="GNJ2346" s="44"/>
      <c r="GNR2346" s="44"/>
      <c r="GNZ2346" s="44"/>
      <c r="GOH2346" s="44"/>
      <c r="GOP2346" s="44"/>
      <c r="GOX2346" s="44"/>
      <c r="GPF2346" s="44"/>
      <c r="GPN2346" s="44"/>
      <c r="GPV2346" s="44"/>
      <c r="GQD2346" s="44"/>
      <c r="GQL2346" s="44"/>
      <c r="GQT2346" s="44"/>
      <c r="GRB2346" s="44"/>
      <c r="GRJ2346" s="44"/>
      <c r="GRR2346" s="44"/>
      <c r="GRZ2346" s="44"/>
      <c r="GSH2346" s="44"/>
      <c r="GSP2346" s="44"/>
      <c r="GSX2346" s="44"/>
      <c r="GTF2346" s="44"/>
      <c r="GTN2346" s="44"/>
      <c r="GTV2346" s="44"/>
      <c r="GUD2346" s="44"/>
      <c r="GUL2346" s="44"/>
      <c r="GUT2346" s="44"/>
      <c r="GVB2346" s="44"/>
      <c r="GVJ2346" s="44"/>
      <c r="GVR2346" s="44"/>
      <c r="GVZ2346" s="44"/>
      <c r="GWH2346" s="44"/>
      <c r="GWP2346" s="44"/>
      <c r="GWX2346" s="44"/>
      <c r="GXF2346" s="44"/>
      <c r="GXN2346" s="44"/>
      <c r="GXV2346" s="44"/>
      <c r="GYD2346" s="44"/>
      <c r="GYL2346" s="44"/>
      <c r="GYT2346" s="44"/>
      <c r="GZB2346" s="44"/>
      <c r="GZJ2346" s="44"/>
      <c r="GZR2346" s="44"/>
      <c r="GZZ2346" s="44"/>
      <c r="HAH2346" s="44"/>
      <c r="HAP2346" s="44"/>
      <c r="HAX2346" s="44"/>
      <c r="HBF2346" s="44"/>
      <c r="HBN2346" s="44"/>
      <c r="HBV2346" s="44"/>
      <c r="HCD2346" s="44"/>
      <c r="HCL2346" s="44"/>
      <c r="HCT2346" s="44"/>
      <c r="HDB2346" s="44"/>
      <c r="HDJ2346" s="44"/>
      <c r="HDR2346" s="44"/>
      <c r="HDZ2346" s="44"/>
      <c r="HEH2346" s="44"/>
      <c r="HEP2346" s="44"/>
      <c r="HEX2346" s="44"/>
      <c r="HFF2346" s="44"/>
      <c r="HFN2346" s="44"/>
      <c r="HFV2346" s="44"/>
      <c r="HGD2346" s="44"/>
      <c r="HGL2346" s="44"/>
      <c r="HGT2346" s="44"/>
      <c r="HHB2346" s="44"/>
      <c r="HHJ2346" s="44"/>
      <c r="HHR2346" s="44"/>
      <c r="HHZ2346" s="44"/>
      <c r="HIH2346" s="44"/>
      <c r="HIP2346" s="44"/>
      <c r="HIX2346" s="44"/>
      <c r="HJF2346" s="44"/>
      <c r="HJN2346" s="44"/>
      <c r="HJV2346" s="44"/>
      <c r="HKD2346" s="44"/>
      <c r="HKL2346" s="44"/>
      <c r="HKT2346" s="44"/>
      <c r="HLB2346" s="44"/>
      <c r="HLJ2346" s="44"/>
      <c r="HLR2346" s="44"/>
      <c r="HLZ2346" s="44"/>
      <c r="HMH2346" s="44"/>
      <c r="HMP2346" s="44"/>
      <c r="HMX2346" s="44"/>
      <c r="HNF2346" s="44"/>
      <c r="HNN2346" s="44"/>
      <c r="HNV2346" s="44"/>
      <c r="HOD2346" s="44"/>
      <c r="HOL2346" s="44"/>
      <c r="HOT2346" s="44"/>
      <c r="HPB2346" s="44"/>
      <c r="HPJ2346" s="44"/>
      <c r="HPR2346" s="44"/>
      <c r="HPZ2346" s="44"/>
      <c r="HQH2346" s="44"/>
      <c r="HQP2346" s="44"/>
      <c r="HQX2346" s="44"/>
      <c r="HRF2346" s="44"/>
      <c r="HRN2346" s="44"/>
      <c r="HRV2346" s="44"/>
      <c r="HSD2346" s="44"/>
      <c r="HSL2346" s="44"/>
      <c r="HST2346" s="44"/>
      <c r="HTB2346" s="44"/>
      <c r="HTJ2346" s="44"/>
      <c r="HTR2346" s="44"/>
      <c r="HTZ2346" s="44"/>
      <c r="HUH2346" s="44"/>
      <c r="HUP2346" s="44"/>
      <c r="HUX2346" s="44"/>
      <c r="HVF2346" s="44"/>
      <c r="HVN2346" s="44"/>
      <c r="HVV2346" s="44"/>
      <c r="HWD2346" s="44"/>
      <c r="HWL2346" s="44"/>
      <c r="HWT2346" s="44"/>
      <c r="HXB2346" s="44"/>
      <c r="HXJ2346" s="44"/>
      <c r="HXR2346" s="44"/>
      <c r="HXZ2346" s="44"/>
      <c r="HYH2346" s="44"/>
      <c r="HYP2346" s="44"/>
      <c r="HYX2346" s="44"/>
      <c r="HZF2346" s="44"/>
      <c r="HZN2346" s="44"/>
      <c r="HZV2346" s="44"/>
      <c r="IAD2346" s="44"/>
      <c r="IAL2346" s="44"/>
      <c r="IAT2346" s="44"/>
      <c r="IBB2346" s="44"/>
      <c r="IBJ2346" s="44"/>
      <c r="IBR2346" s="44"/>
      <c r="IBZ2346" s="44"/>
      <c r="ICH2346" s="44"/>
      <c r="ICP2346" s="44"/>
      <c r="ICX2346" s="44"/>
      <c r="IDF2346" s="44"/>
      <c r="IDN2346" s="44"/>
      <c r="IDV2346" s="44"/>
      <c r="IED2346" s="44"/>
      <c r="IEL2346" s="44"/>
      <c r="IET2346" s="44"/>
      <c r="IFB2346" s="44"/>
      <c r="IFJ2346" s="44"/>
      <c r="IFR2346" s="44"/>
      <c r="IFZ2346" s="44"/>
      <c r="IGH2346" s="44"/>
      <c r="IGP2346" s="44"/>
      <c r="IGX2346" s="44"/>
      <c r="IHF2346" s="44"/>
      <c r="IHN2346" s="44"/>
      <c r="IHV2346" s="44"/>
      <c r="IID2346" s="44"/>
      <c r="IIL2346" s="44"/>
      <c r="IIT2346" s="44"/>
      <c r="IJB2346" s="44"/>
      <c r="IJJ2346" s="44"/>
      <c r="IJR2346" s="44"/>
      <c r="IJZ2346" s="44"/>
      <c r="IKH2346" s="44"/>
      <c r="IKP2346" s="44"/>
      <c r="IKX2346" s="44"/>
      <c r="ILF2346" s="44"/>
      <c r="ILN2346" s="44"/>
      <c r="ILV2346" s="44"/>
      <c r="IMD2346" s="44"/>
      <c r="IML2346" s="44"/>
      <c r="IMT2346" s="44"/>
      <c r="INB2346" s="44"/>
      <c r="INJ2346" s="44"/>
      <c r="INR2346" s="44"/>
      <c r="INZ2346" s="44"/>
      <c r="IOH2346" s="44"/>
      <c r="IOP2346" s="44"/>
      <c r="IOX2346" s="44"/>
      <c r="IPF2346" s="44"/>
      <c r="IPN2346" s="44"/>
      <c r="IPV2346" s="44"/>
      <c r="IQD2346" s="44"/>
      <c r="IQL2346" s="44"/>
      <c r="IQT2346" s="44"/>
      <c r="IRB2346" s="44"/>
      <c r="IRJ2346" s="44"/>
      <c r="IRR2346" s="44"/>
      <c r="IRZ2346" s="44"/>
      <c r="ISH2346" s="44"/>
      <c r="ISP2346" s="44"/>
      <c r="ISX2346" s="44"/>
      <c r="ITF2346" s="44"/>
      <c r="ITN2346" s="44"/>
      <c r="ITV2346" s="44"/>
      <c r="IUD2346" s="44"/>
      <c r="IUL2346" s="44"/>
      <c r="IUT2346" s="44"/>
      <c r="IVB2346" s="44"/>
      <c r="IVJ2346" s="44"/>
      <c r="IVR2346" s="44"/>
      <c r="IVZ2346" s="44"/>
      <c r="IWH2346" s="44"/>
      <c r="IWP2346" s="44"/>
      <c r="IWX2346" s="44"/>
      <c r="IXF2346" s="44"/>
      <c r="IXN2346" s="44"/>
      <c r="IXV2346" s="44"/>
      <c r="IYD2346" s="44"/>
      <c r="IYL2346" s="44"/>
      <c r="IYT2346" s="44"/>
      <c r="IZB2346" s="44"/>
      <c r="IZJ2346" s="44"/>
      <c r="IZR2346" s="44"/>
      <c r="IZZ2346" s="44"/>
      <c r="JAH2346" s="44"/>
      <c r="JAP2346" s="44"/>
      <c r="JAX2346" s="44"/>
      <c r="JBF2346" s="44"/>
      <c r="JBN2346" s="44"/>
      <c r="JBV2346" s="44"/>
      <c r="JCD2346" s="44"/>
      <c r="JCL2346" s="44"/>
      <c r="JCT2346" s="44"/>
      <c r="JDB2346" s="44"/>
      <c r="JDJ2346" s="44"/>
      <c r="JDR2346" s="44"/>
      <c r="JDZ2346" s="44"/>
      <c r="JEH2346" s="44"/>
      <c r="JEP2346" s="44"/>
      <c r="JEX2346" s="44"/>
      <c r="JFF2346" s="44"/>
      <c r="JFN2346" s="44"/>
      <c r="JFV2346" s="44"/>
      <c r="JGD2346" s="44"/>
      <c r="JGL2346" s="44"/>
      <c r="JGT2346" s="44"/>
      <c r="JHB2346" s="44"/>
      <c r="JHJ2346" s="44"/>
      <c r="JHR2346" s="44"/>
      <c r="JHZ2346" s="44"/>
      <c r="JIH2346" s="44"/>
      <c r="JIP2346" s="44"/>
      <c r="JIX2346" s="44"/>
      <c r="JJF2346" s="44"/>
      <c r="JJN2346" s="44"/>
      <c r="JJV2346" s="44"/>
      <c r="JKD2346" s="44"/>
      <c r="JKL2346" s="44"/>
      <c r="JKT2346" s="44"/>
      <c r="JLB2346" s="44"/>
      <c r="JLJ2346" s="44"/>
      <c r="JLR2346" s="44"/>
      <c r="JLZ2346" s="44"/>
      <c r="JMH2346" s="44"/>
      <c r="JMP2346" s="44"/>
      <c r="JMX2346" s="44"/>
      <c r="JNF2346" s="44"/>
      <c r="JNN2346" s="44"/>
      <c r="JNV2346" s="44"/>
      <c r="JOD2346" s="44"/>
      <c r="JOL2346" s="44"/>
      <c r="JOT2346" s="44"/>
      <c r="JPB2346" s="44"/>
      <c r="JPJ2346" s="44"/>
      <c r="JPR2346" s="44"/>
      <c r="JPZ2346" s="44"/>
      <c r="JQH2346" s="44"/>
      <c r="JQP2346" s="44"/>
      <c r="JQX2346" s="44"/>
      <c r="JRF2346" s="44"/>
      <c r="JRN2346" s="44"/>
      <c r="JRV2346" s="44"/>
      <c r="JSD2346" s="44"/>
      <c r="JSL2346" s="44"/>
      <c r="JST2346" s="44"/>
      <c r="JTB2346" s="44"/>
      <c r="JTJ2346" s="44"/>
      <c r="JTR2346" s="44"/>
      <c r="JTZ2346" s="44"/>
      <c r="JUH2346" s="44"/>
      <c r="JUP2346" s="44"/>
      <c r="JUX2346" s="44"/>
      <c r="JVF2346" s="44"/>
      <c r="JVN2346" s="44"/>
      <c r="JVV2346" s="44"/>
      <c r="JWD2346" s="44"/>
      <c r="JWL2346" s="44"/>
      <c r="JWT2346" s="44"/>
      <c r="JXB2346" s="44"/>
      <c r="JXJ2346" s="44"/>
      <c r="JXR2346" s="44"/>
      <c r="JXZ2346" s="44"/>
      <c r="JYH2346" s="44"/>
      <c r="JYP2346" s="44"/>
      <c r="JYX2346" s="44"/>
      <c r="JZF2346" s="44"/>
      <c r="JZN2346" s="44"/>
      <c r="JZV2346" s="44"/>
      <c r="KAD2346" s="44"/>
      <c r="KAL2346" s="44"/>
      <c r="KAT2346" s="44"/>
      <c r="KBB2346" s="44"/>
      <c r="KBJ2346" s="44"/>
      <c r="KBR2346" s="44"/>
      <c r="KBZ2346" s="44"/>
      <c r="KCH2346" s="44"/>
      <c r="KCP2346" s="44"/>
      <c r="KCX2346" s="44"/>
      <c r="KDF2346" s="44"/>
      <c r="KDN2346" s="44"/>
      <c r="KDV2346" s="44"/>
      <c r="KED2346" s="44"/>
      <c r="KEL2346" s="44"/>
      <c r="KET2346" s="44"/>
      <c r="KFB2346" s="44"/>
      <c r="KFJ2346" s="44"/>
      <c r="KFR2346" s="44"/>
      <c r="KFZ2346" s="44"/>
      <c r="KGH2346" s="44"/>
      <c r="KGP2346" s="44"/>
      <c r="KGX2346" s="44"/>
      <c r="KHF2346" s="44"/>
      <c r="KHN2346" s="44"/>
      <c r="KHV2346" s="44"/>
      <c r="KID2346" s="44"/>
      <c r="KIL2346" s="44"/>
      <c r="KIT2346" s="44"/>
      <c r="KJB2346" s="44"/>
      <c r="KJJ2346" s="44"/>
      <c r="KJR2346" s="44"/>
      <c r="KJZ2346" s="44"/>
      <c r="KKH2346" s="44"/>
      <c r="KKP2346" s="44"/>
      <c r="KKX2346" s="44"/>
      <c r="KLF2346" s="44"/>
      <c r="KLN2346" s="44"/>
      <c r="KLV2346" s="44"/>
      <c r="KMD2346" s="44"/>
      <c r="KML2346" s="44"/>
      <c r="KMT2346" s="44"/>
      <c r="KNB2346" s="44"/>
      <c r="KNJ2346" s="44"/>
      <c r="KNR2346" s="44"/>
      <c r="KNZ2346" s="44"/>
      <c r="KOH2346" s="44"/>
      <c r="KOP2346" s="44"/>
      <c r="KOX2346" s="44"/>
      <c r="KPF2346" s="44"/>
      <c r="KPN2346" s="44"/>
      <c r="KPV2346" s="44"/>
      <c r="KQD2346" s="44"/>
      <c r="KQL2346" s="44"/>
      <c r="KQT2346" s="44"/>
      <c r="KRB2346" s="44"/>
      <c r="KRJ2346" s="44"/>
      <c r="KRR2346" s="44"/>
      <c r="KRZ2346" s="44"/>
      <c r="KSH2346" s="44"/>
      <c r="KSP2346" s="44"/>
      <c r="KSX2346" s="44"/>
      <c r="KTF2346" s="44"/>
      <c r="KTN2346" s="44"/>
      <c r="KTV2346" s="44"/>
      <c r="KUD2346" s="44"/>
      <c r="KUL2346" s="44"/>
      <c r="KUT2346" s="44"/>
      <c r="KVB2346" s="44"/>
      <c r="KVJ2346" s="44"/>
      <c r="KVR2346" s="44"/>
      <c r="KVZ2346" s="44"/>
      <c r="KWH2346" s="44"/>
      <c r="KWP2346" s="44"/>
      <c r="KWX2346" s="44"/>
      <c r="KXF2346" s="44"/>
      <c r="KXN2346" s="44"/>
      <c r="KXV2346" s="44"/>
      <c r="KYD2346" s="44"/>
      <c r="KYL2346" s="44"/>
      <c r="KYT2346" s="44"/>
      <c r="KZB2346" s="44"/>
      <c r="KZJ2346" s="44"/>
      <c r="KZR2346" s="44"/>
      <c r="KZZ2346" s="44"/>
      <c r="LAH2346" s="44"/>
      <c r="LAP2346" s="44"/>
      <c r="LAX2346" s="44"/>
      <c r="LBF2346" s="44"/>
      <c r="LBN2346" s="44"/>
      <c r="LBV2346" s="44"/>
      <c r="LCD2346" s="44"/>
      <c r="LCL2346" s="44"/>
      <c r="LCT2346" s="44"/>
      <c r="LDB2346" s="44"/>
      <c r="LDJ2346" s="44"/>
      <c r="LDR2346" s="44"/>
      <c r="LDZ2346" s="44"/>
      <c r="LEH2346" s="44"/>
      <c r="LEP2346" s="44"/>
      <c r="LEX2346" s="44"/>
      <c r="LFF2346" s="44"/>
      <c r="LFN2346" s="44"/>
      <c r="LFV2346" s="44"/>
      <c r="LGD2346" s="44"/>
      <c r="LGL2346" s="44"/>
      <c r="LGT2346" s="44"/>
      <c r="LHB2346" s="44"/>
      <c r="LHJ2346" s="44"/>
      <c r="LHR2346" s="44"/>
      <c r="LHZ2346" s="44"/>
      <c r="LIH2346" s="44"/>
      <c r="LIP2346" s="44"/>
      <c r="LIX2346" s="44"/>
      <c r="LJF2346" s="44"/>
      <c r="LJN2346" s="44"/>
      <c r="LJV2346" s="44"/>
      <c r="LKD2346" s="44"/>
      <c r="LKL2346" s="44"/>
      <c r="LKT2346" s="44"/>
      <c r="LLB2346" s="44"/>
      <c r="LLJ2346" s="44"/>
      <c r="LLR2346" s="44"/>
      <c r="LLZ2346" s="44"/>
      <c r="LMH2346" s="44"/>
      <c r="LMP2346" s="44"/>
      <c r="LMX2346" s="44"/>
      <c r="LNF2346" s="44"/>
      <c r="LNN2346" s="44"/>
      <c r="LNV2346" s="44"/>
      <c r="LOD2346" s="44"/>
      <c r="LOL2346" s="44"/>
      <c r="LOT2346" s="44"/>
      <c r="LPB2346" s="44"/>
      <c r="LPJ2346" s="44"/>
      <c r="LPR2346" s="44"/>
      <c r="LPZ2346" s="44"/>
      <c r="LQH2346" s="44"/>
      <c r="LQP2346" s="44"/>
      <c r="LQX2346" s="44"/>
      <c r="LRF2346" s="44"/>
      <c r="LRN2346" s="44"/>
      <c r="LRV2346" s="44"/>
      <c r="LSD2346" s="44"/>
      <c r="LSL2346" s="44"/>
      <c r="LST2346" s="44"/>
      <c r="LTB2346" s="44"/>
      <c r="LTJ2346" s="44"/>
      <c r="LTR2346" s="44"/>
      <c r="LTZ2346" s="44"/>
      <c r="LUH2346" s="44"/>
      <c r="LUP2346" s="44"/>
      <c r="LUX2346" s="44"/>
      <c r="LVF2346" s="44"/>
      <c r="LVN2346" s="44"/>
      <c r="LVV2346" s="44"/>
      <c r="LWD2346" s="44"/>
      <c r="LWL2346" s="44"/>
      <c r="LWT2346" s="44"/>
      <c r="LXB2346" s="44"/>
      <c r="LXJ2346" s="44"/>
      <c r="LXR2346" s="44"/>
      <c r="LXZ2346" s="44"/>
      <c r="LYH2346" s="44"/>
      <c r="LYP2346" s="44"/>
      <c r="LYX2346" s="44"/>
      <c r="LZF2346" s="44"/>
      <c r="LZN2346" s="44"/>
      <c r="LZV2346" s="44"/>
      <c r="MAD2346" s="44"/>
      <c r="MAL2346" s="44"/>
      <c r="MAT2346" s="44"/>
      <c r="MBB2346" s="44"/>
      <c r="MBJ2346" s="44"/>
      <c r="MBR2346" s="44"/>
      <c r="MBZ2346" s="44"/>
      <c r="MCH2346" s="44"/>
      <c r="MCP2346" s="44"/>
      <c r="MCX2346" s="44"/>
      <c r="MDF2346" s="44"/>
      <c r="MDN2346" s="44"/>
      <c r="MDV2346" s="44"/>
      <c r="MED2346" s="44"/>
      <c r="MEL2346" s="44"/>
      <c r="MET2346" s="44"/>
      <c r="MFB2346" s="44"/>
      <c r="MFJ2346" s="44"/>
      <c r="MFR2346" s="44"/>
      <c r="MFZ2346" s="44"/>
      <c r="MGH2346" s="44"/>
      <c r="MGP2346" s="44"/>
      <c r="MGX2346" s="44"/>
      <c r="MHF2346" s="44"/>
      <c r="MHN2346" s="44"/>
      <c r="MHV2346" s="44"/>
      <c r="MID2346" s="44"/>
      <c r="MIL2346" s="44"/>
      <c r="MIT2346" s="44"/>
      <c r="MJB2346" s="44"/>
      <c r="MJJ2346" s="44"/>
      <c r="MJR2346" s="44"/>
      <c r="MJZ2346" s="44"/>
      <c r="MKH2346" s="44"/>
      <c r="MKP2346" s="44"/>
      <c r="MKX2346" s="44"/>
      <c r="MLF2346" s="44"/>
      <c r="MLN2346" s="44"/>
      <c r="MLV2346" s="44"/>
      <c r="MMD2346" s="44"/>
      <c r="MML2346" s="44"/>
      <c r="MMT2346" s="44"/>
      <c r="MNB2346" s="44"/>
      <c r="MNJ2346" s="44"/>
      <c r="MNR2346" s="44"/>
      <c r="MNZ2346" s="44"/>
      <c r="MOH2346" s="44"/>
      <c r="MOP2346" s="44"/>
      <c r="MOX2346" s="44"/>
      <c r="MPF2346" s="44"/>
      <c r="MPN2346" s="44"/>
      <c r="MPV2346" s="44"/>
      <c r="MQD2346" s="44"/>
      <c r="MQL2346" s="44"/>
      <c r="MQT2346" s="44"/>
      <c r="MRB2346" s="44"/>
      <c r="MRJ2346" s="44"/>
      <c r="MRR2346" s="44"/>
      <c r="MRZ2346" s="44"/>
      <c r="MSH2346" s="44"/>
      <c r="MSP2346" s="44"/>
      <c r="MSX2346" s="44"/>
      <c r="MTF2346" s="44"/>
      <c r="MTN2346" s="44"/>
      <c r="MTV2346" s="44"/>
      <c r="MUD2346" s="44"/>
      <c r="MUL2346" s="44"/>
      <c r="MUT2346" s="44"/>
      <c r="MVB2346" s="44"/>
      <c r="MVJ2346" s="44"/>
      <c r="MVR2346" s="44"/>
      <c r="MVZ2346" s="44"/>
      <c r="MWH2346" s="44"/>
      <c r="MWP2346" s="44"/>
      <c r="MWX2346" s="44"/>
      <c r="MXF2346" s="44"/>
      <c r="MXN2346" s="44"/>
      <c r="MXV2346" s="44"/>
      <c r="MYD2346" s="44"/>
      <c r="MYL2346" s="44"/>
      <c r="MYT2346" s="44"/>
      <c r="MZB2346" s="44"/>
      <c r="MZJ2346" s="44"/>
      <c r="MZR2346" s="44"/>
      <c r="MZZ2346" s="44"/>
      <c r="NAH2346" s="44"/>
      <c r="NAP2346" s="44"/>
      <c r="NAX2346" s="44"/>
      <c r="NBF2346" s="44"/>
      <c r="NBN2346" s="44"/>
      <c r="NBV2346" s="44"/>
      <c r="NCD2346" s="44"/>
      <c r="NCL2346" s="44"/>
      <c r="NCT2346" s="44"/>
      <c r="NDB2346" s="44"/>
      <c r="NDJ2346" s="44"/>
      <c r="NDR2346" s="44"/>
      <c r="NDZ2346" s="44"/>
      <c r="NEH2346" s="44"/>
      <c r="NEP2346" s="44"/>
      <c r="NEX2346" s="44"/>
      <c r="NFF2346" s="44"/>
      <c r="NFN2346" s="44"/>
      <c r="NFV2346" s="44"/>
      <c r="NGD2346" s="44"/>
      <c r="NGL2346" s="44"/>
      <c r="NGT2346" s="44"/>
      <c r="NHB2346" s="44"/>
      <c r="NHJ2346" s="44"/>
      <c r="NHR2346" s="44"/>
      <c r="NHZ2346" s="44"/>
      <c r="NIH2346" s="44"/>
      <c r="NIP2346" s="44"/>
      <c r="NIX2346" s="44"/>
      <c r="NJF2346" s="44"/>
      <c r="NJN2346" s="44"/>
      <c r="NJV2346" s="44"/>
      <c r="NKD2346" s="44"/>
      <c r="NKL2346" s="44"/>
      <c r="NKT2346" s="44"/>
      <c r="NLB2346" s="44"/>
      <c r="NLJ2346" s="44"/>
      <c r="NLR2346" s="44"/>
      <c r="NLZ2346" s="44"/>
      <c r="NMH2346" s="44"/>
      <c r="NMP2346" s="44"/>
      <c r="NMX2346" s="44"/>
      <c r="NNF2346" s="44"/>
      <c r="NNN2346" s="44"/>
      <c r="NNV2346" s="44"/>
      <c r="NOD2346" s="44"/>
      <c r="NOL2346" s="44"/>
      <c r="NOT2346" s="44"/>
      <c r="NPB2346" s="44"/>
      <c r="NPJ2346" s="44"/>
      <c r="NPR2346" s="44"/>
      <c r="NPZ2346" s="44"/>
      <c r="NQH2346" s="44"/>
      <c r="NQP2346" s="44"/>
      <c r="NQX2346" s="44"/>
      <c r="NRF2346" s="44"/>
      <c r="NRN2346" s="44"/>
      <c r="NRV2346" s="44"/>
      <c r="NSD2346" s="44"/>
      <c r="NSL2346" s="44"/>
      <c r="NST2346" s="44"/>
      <c r="NTB2346" s="44"/>
      <c r="NTJ2346" s="44"/>
      <c r="NTR2346" s="44"/>
      <c r="NTZ2346" s="44"/>
      <c r="NUH2346" s="44"/>
      <c r="NUP2346" s="44"/>
      <c r="NUX2346" s="44"/>
      <c r="NVF2346" s="44"/>
      <c r="NVN2346" s="44"/>
      <c r="NVV2346" s="44"/>
      <c r="NWD2346" s="44"/>
      <c r="NWL2346" s="44"/>
      <c r="NWT2346" s="44"/>
      <c r="NXB2346" s="44"/>
      <c r="NXJ2346" s="44"/>
      <c r="NXR2346" s="44"/>
      <c r="NXZ2346" s="44"/>
      <c r="NYH2346" s="44"/>
      <c r="NYP2346" s="44"/>
      <c r="NYX2346" s="44"/>
      <c r="NZF2346" s="44"/>
      <c r="NZN2346" s="44"/>
      <c r="NZV2346" s="44"/>
      <c r="OAD2346" s="44"/>
      <c r="OAL2346" s="44"/>
      <c r="OAT2346" s="44"/>
      <c r="OBB2346" s="44"/>
      <c r="OBJ2346" s="44"/>
      <c r="OBR2346" s="44"/>
      <c r="OBZ2346" s="44"/>
      <c r="OCH2346" s="44"/>
      <c r="OCP2346" s="44"/>
      <c r="OCX2346" s="44"/>
      <c r="ODF2346" s="44"/>
      <c r="ODN2346" s="44"/>
      <c r="ODV2346" s="44"/>
      <c r="OED2346" s="44"/>
      <c r="OEL2346" s="44"/>
      <c r="OET2346" s="44"/>
      <c r="OFB2346" s="44"/>
      <c r="OFJ2346" s="44"/>
      <c r="OFR2346" s="44"/>
      <c r="OFZ2346" s="44"/>
      <c r="OGH2346" s="44"/>
      <c r="OGP2346" s="44"/>
      <c r="OGX2346" s="44"/>
      <c r="OHF2346" s="44"/>
      <c r="OHN2346" s="44"/>
      <c r="OHV2346" s="44"/>
      <c r="OID2346" s="44"/>
      <c r="OIL2346" s="44"/>
      <c r="OIT2346" s="44"/>
      <c r="OJB2346" s="44"/>
      <c r="OJJ2346" s="44"/>
      <c r="OJR2346" s="44"/>
      <c r="OJZ2346" s="44"/>
      <c r="OKH2346" s="44"/>
      <c r="OKP2346" s="44"/>
      <c r="OKX2346" s="44"/>
      <c r="OLF2346" s="44"/>
      <c r="OLN2346" s="44"/>
      <c r="OLV2346" s="44"/>
      <c r="OMD2346" s="44"/>
      <c r="OML2346" s="44"/>
      <c r="OMT2346" s="44"/>
      <c r="ONB2346" s="44"/>
      <c r="ONJ2346" s="44"/>
      <c r="ONR2346" s="44"/>
      <c r="ONZ2346" s="44"/>
      <c r="OOH2346" s="44"/>
      <c r="OOP2346" s="44"/>
      <c r="OOX2346" s="44"/>
      <c r="OPF2346" s="44"/>
      <c r="OPN2346" s="44"/>
      <c r="OPV2346" s="44"/>
      <c r="OQD2346" s="44"/>
      <c r="OQL2346" s="44"/>
      <c r="OQT2346" s="44"/>
      <c r="ORB2346" s="44"/>
      <c r="ORJ2346" s="44"/>
      <c r="ORR2346" s="44"/>
      <c r="ORZ2346" s="44"/>
      <c r="OSH2346" s="44"/>
      <c r="OSP2346" s="44"/>
      <c r="OSX2346" s="44"/>
      <c r="OTF2346" s="44"/>
      <c r="OTN2346" s="44"/>
      <c r="OTV2346" s="44"/>
      <c r="OUD2346" s="44"/>
      <c r="OUL2346" s="44"/>
      <c r="OUT2346" s="44"/>
      <c r="OVB2346" s="44"/>
      <c r="OVJ2346" s="44"/>
      <c r="OVR2346" s="44"/>
      <c r="OVZ2346" s="44"/>
      <c r="OWH2346" s="44"/>
      <c r="OWP2346" s="44"/>
      <c r="OWX2346" s="44"/>
      <c r="OXF2346" s="44"/>
      <c r="OXN2346" s="44"/>
      <c r="OXV2346" s="44"/>
      <c r="OYD2346" s="44"/>
      <c r="OYL2346" s="44"/>
      <c r="OYT2346" s="44"/>
      <c r="OZB2346" s="44"/>
      <c r="OZJ2346" s="44"/>
      <c r="OZR2346" s="44"/>
      <c r="OZZ2346" s="44"/>
      <c r="PAH2346" s="44"/>
      <c r="PAP2346" s="44"/>
      <c r="PAX2346" s="44"/>
      <c r="PBF2346" s="44"/>
      <c r="PBN2346" s="44"/>
      <c r="PBV2346" s="44"/>
      <c r="PCD2346" s="44"/>
      <c r="PCL2346" s="44"/>
      <c r="PCT2346" s="44"/>
      <c r="PDB2346" s="44"/>
      <c r="PDJ2346" s="44"/>
      <c r="PDR2346" s="44"/>
      <c r="PDZ2346" s="44"/>
      <c r="PEH2346" s="44"/>
      <c r="PEP2346" s="44"/>
      <c r="PEX2346" s="44"/>
      <c r="PFF2346" s="44"/>
      <c r="PFN2346" s="44"/>
      <c r="PFV2346" s="44"/>
      <c r="PGD2346" s="44"/>
      <c r="PGL2346" s="44"/>
      <c r="PGT2346" s="44"/>
      <c r="PHB2346" s="44"/>
      <c r="PHJ2346" s="44"/>
      <c r="PHR2346" s="44"/>
      <c r="PHZ2346" s="44"/>
      <c r="PIH2346" s="44"/>
      <c r="PIP2346" s="44"/>
      <c r="PIX2346" s="44"/>
      <c r="PJF2346" s="44"/>
      <c r="PJN2346" s="44"/>
      <c r="PJV2346" s="44"/>
      <c r="PKD2346" s="44"/>
      <c r="PKL2346" s="44"/>
      <c r="PKT2346" s="44"/>
      <c r="PLB2346" s="44"/>
      <c r="PLJ2346" s="44"/>
      <c r="PLR2346" s="44"/>
      <c r="PLZ2346" s="44"/>
      <c r="PMH2346" s="44"/>
      <c r="PMP2346" s="44"/>
      <c r="PMX2346" s="44"/>
      <c r="PNF2346" s="44"/>
      <c r="PNN2346" s="44"/>
      <c r="PNV2346" s="44"/>
      <c r="POD2346" s="44"/>
      <c r="POL2346" s="44"/>
      <c r="POT2346" s="44"/>
      <c r="PPB2346" s="44"/>
      <c r="PPJ2346" s="44"/>
      <c r="PPR2346" s="44"/>
      <c r="PPZ2346" s="44"/>
      <c r="PQH2346" s="44"/>
      <c r="PQP2346" s="44"/>
      <c r="PQX2346" s="44"/>
      <c r="PRF2346" s="44"/>
      <c r="PRN2346" s="44"/>
      <c r="PRV2346" s="44"/>
      <c r="PSD2346" s="44"/>
      <c r="PSL2346" s="44"/>
      <c r="PST2346" s="44"/>
      <c r="PTB2346" s="44"/>
      <c r="PTJ2346" s="44"/>
      <c r="PTR2346" s="44"/>
      <c r="PTZ2346" s="44"/>
      <c r="PUH2346" s="44"/>
      <c r="PUP2346" s="44"/>
      <c r="PUX2346" s="44"/>
      <c r="PVF2346" s="44"/>
      <c r="PVN2346" s="44"/>
      <c r="PVV2346" s="44"/>
      <c r="PWD2346" s="44"/>
      <c r="PWL2346" s="44"/>
      <c r="PWT2346" s="44"/>
      <c r="PXB2346" s="44"/>
      <c r="PXJ2346" s="44"/>
      <c r="PXR2346" s="44"/>
      <c r="PXZ2346" s="44"/>
      <c r="PYH2346" s="44"/>
      <c r="PYP2346" s="44"/>
      <c r="PYX2346" s="44"/>
      <c r="PZF2346" s="44"/>
      <c r="PZN2346" s="44"/>
      <c r="PZV2346" s="44"/>
      <c r="QAD2346" s="44"/>
      <c r="QAL2346" s="44"/>
      <c r="QAT2346" s="44"/>
      <c r="QBB2346" s="44"/>
      <c r="QBJ2346" s="44"/>
      <c r="QBR2346" s="44"/>
      <c r="QBZ2346" s="44"/>
      <c r="QCH2346" s="44"/>
      <c r="QCP2346" s="44"/>
      <c r="QCX2346" s="44"/>
      <c r="QDF2346" s="44"/>
      <c r="QDN2346" s="44"/>
      <c r="QDV2346" s="44"/>
      <c r="QED2346" s="44"/>
      <c r="QEL2346" s="44"/>
      <c r="QET2346" s="44"/>
      <c r="QFB2346" s="44"/>
      <c r="QFJ2346" s="44"/>
      <c r="QFR2346" s="44"/>
      <c r="QFZ2346" s="44"/>
      <c r="QGH2346" s="44"/>
      <c r="QGP2346" s="44"/>
      <c r="QGX2346" s="44"/>
      <c r="QHF2346" s="44"/>
      <c r="QHN2346" s="44"/>
      <c r="QHV2346" s="44"/>
      <c r="QID2346" s="44"/>
      <c r="QIL2346" s="44"/>
      <c r="QIT2346" s="44"/>
      <c r="QJB2346" s="44"/>
      <c r="QJJ2346" s="44"/>
      <c r="QJR2346" s="44"/>
      <c r="QJZ2346" s="44"/>
      <c r="QKH2346" s="44"/>
      <c r="QKP2346" s="44"/>
      <c r="QKX2346" s="44"/>
      <c r="QLF2346" s="44"/>
      <c r="QLN2346" s="44"/>
      <c r="QLV2346" s="44"/>
      <c r="QMD2346" s="44"/>
      <c r="QML2346" s="44"/>
      <c r="QMT2346" s="44"/>
      <c r="QNB2346" s="44"/>
      <c r="QNJ2346" s="44"/>
      <c r="QNR2346" s="44"/>
      <c r="QNZ2346" s="44"/>
      <c r="QOH2346" s="44"/>
      <c r="QOP2346" s="44"/>
      <c r="QOX2346" s="44"/>
      <c r="QPF2346" s="44"/>
      <c r="QPN2346" s="44"/>
      <c r="QPV2346" s="44"/>
      <c r="QQD2346" s="44"/>
      <c r="QQL2346" s="44"/>
      <c r="QQT2346" s="44"/>
      <c r="QRB2346" s="44"/>
      <c r="QRJ2346" s="44"/>
      <c r="QRR2346" s="44"/>
      <c r="QRZ2346" s="44"/>
      <c r="QSH2346" s="44"/>
      <c r="QSP2346" s="44"/>
      <c r="QSX2346" s="44"/>
      <c r="QTF2346" s="44"/>
      <c r="QTN2346" s="44"/>
      <c r="QTV2346" s="44"/>
      <c r="QUD2346" s="44"/>
      <c r="QUL2346" s="44"/>
      <c r="QUT2346" s="44"/>
      <c r="QVB2346" s="44"/>
      <c r="QVJ2346" s="44"/>
      <c r="QVR2346" s="44"/>
      <c r="QVZ2346" s="44"/>
      <c r="QWH2346" s="44"/>
      <c r="QWP2346" s="44"/>
      <c r="QWX2346" s="44"/>
      <c r="QXF2346" s="44"/>
      <c r="QXN2346" s="44"/>
      <c r="QXV2346" s="44"/>
      <c r="QYD2346" s="44"/>
      <c r="QYL2346" s="44"/>
      <c r="QYT2346" s="44"/>
      <c r="QZB2346" s="44"/>
      <c r="QZJ2346" s="44"/>
      <c r="QZR2346" s="44"/>
      <c r="QZZ2346" s="44"/>
      <c r="RAH2346" s="44"/>
      <c r="RAP2346" s="44"/>
      <c r="RAX2346" s="44"/>
      <c r="RBF2346" s="44"/>
      <c r="RBN2346" s="44"/>
      <c r="RBV2346" s="44"/>
      <c r="RCD2346" s="44"/>
      <c r="RCL2346" s="44"/>
      <c r="RCT2346" s="44"/>
      <c r="RDB2346" s="44"/>
      <c r="RDJ2346" s="44"/>
      <c r="RDR2346" s="44"/>
      <c r="RDZ2346" s="44"/>
      <c r="REH2346" s="44"/>
      <c r="REP2346" s="44"/>
      <c r="REX2346" s="44"/>
      <c r="RFF2346" s="44"/>
      <c r="RFN2346" s="44"/>
      <c r="RFV2346" s="44"/>
      <c r="RGD2346" s="44"/>
      <c r="RGL2346" s="44"/>
      <c r="RGT2346" s="44"/>
      <c r="RHB2346" s="44"/>
      <c r="RHJ2346" s="44"/>
      <c r="RHR2346" s="44"/>
      <c r="RHZ2346" s="44"/>
      <c r="RIH2346" s="44"/>
      <c r="RIP2346" s="44"/>
      <c r="RIX2346" s="44"/>
      <c r="RJF2346" s="44"/>
      <c r="RJN2346" s="44"/>
      <c r="RJV2346" s="44"/>
      <c r="RKD2346" s="44"/>
      <c r="RKL2346" s="44"/>
      <c r="RKT2346" s="44"/>
      <c r="RLB2346" s="44"/>
      <c r="RLJ2346" s="44"/>
      <c r="RLR2346" s="44"/>
      <c r="RLZ2346" s="44"/>
      <c r="RMH2346" s="44"/>
      <c r="RMP2346" s="44"/>
      <c r="RMX2346" s="44"/>
      <c r="RNF2346" s="44"/>
      <c r="RNN2346" s="44"/>
      <c r="RNV2346" s="44"/>
      <c r="ROD2346" s="44"/>
      <c r="ROL2346" s="44"/>
      <c r="ROT2346" s="44"/>
      <c r="RPB2346" s="44"/>
      <c r="RPJ2346" s="44"/>
      <c r="RPR2346" s="44"/>
      <c r="RPZ2346" s="44"/>
      <c r="RQH2346" s="44"/>
      <c r="RQP2346" s="44"/>
      <c r="RQX2346" s="44"/>
      <c r="RRF2346" s="44"/>
      <c r="RRN2346" s="44"/>
      <c r="RRV2346" s="44"/>
      <c r="RSD2346" s="44"/>
      <c r="RSL2346" s="44"/>
      <c r="RST2346" s="44"/>
      <c r="RTB2346" s="44"/>
      <c r="RTJ2346" s="44"/>
      <c r="RTR2346" s="44"/>
      <c r="RTZ2346" s="44"/>
      <c r="RUH2346" s="44"/>
      <c r="RUP2346" s="44"/>
      <c r="RUX2346" s="44"/>
      <c r="RVF2346" s="44"/>
      <c r="RVN2346" s="44"/>
      <c r="RVV2346" s="44"/>
      <c r="RWD2346" s="44"/>
      <c r="RWL2346" s="44"/>
      <c r="RWT2346" s="44"/>
      <c r="RXB2346" s="44"/>
      <c r="RXJ2346" s="44"/>
      <c r="RXR2346" s="44"/>
      <c r="RXZ2346" s="44"/>
      <c r="RYH2346" s="44"/>
      <c r="RYP2346" s="44"/>
      <c r="RYX2346" s="44"/>
      <c r="RZF2346" s="44"/>
      <c r="RZN2346" s="44"/>
      <c r="RZV2346" s="44"/>
      <c r="SAD2346" s="44"/>
      <c r="SAL2346" s="44"/>
      <c r="SAT2346" s="44"/>
      <c r="SBB2346" s="44"/>
      <c r="SBJ2346" s="44"/>
      <c r="SBR2346" s="44"/>
      <c r="SBZ2346" s="44"/>
      <c r="SCH2346" s="44"/>
      <c r="SCP2346" s="44"/>
      <c r="SCX2346" s="44"/>
      <c r="SDF2346" s="44"/>
      <c r="SDN2346" s="44"/>
      <c r="SDV2346" s="44"/>
      <c r="SED2346" s="44"/>
      <c r="SEL2346" s="44"/>
      <c r="SET2346" s="44"/>
      <c r="SFB2346" s="44"/>
      <c r="SFJ2346" s="44"/>
      <c r="SFR2346" s="44"/>
      <c r="SFZ2346" s="44"/>
      <c r="SGH2346" s="44"/>
      <c r="SGP2346" s="44"/>
      <c r="SGX2346" s="44"/>
      <c r="SHF2346" s="44"/>
      <c r="SHN2346" s="44"/>
      <c r="SHV2346" s="44"/>
      <c r="SID2346" s="44"/>
      <c r="SIL2346" s="44"/>
      <c r="SIT2346" s="44"/>
      <c r="SJB2346" s="44"/>
      <c r="SJJ2346" s="44"/>
      <c r="SJR2346" s="44"/>
      <c r="SJZ2346" s="44"/>
      <c r="SKH2346" s="44"/>
      <c r="SKP2346" s="44"/>
      <c r="SKX2346" s="44"/>
      <c r="SLF2346" s="44"/>
      <c r="SLN2346" s="44"/>
      <c r="SLV2346" s="44"/>
      <c r="SMD2346" s="44"/>
      <c r="SML2346" s="44"/>
      <c r="SMT2346" s="44"/>
      <c r="SNB2346" s="44"/>
      <c r="SNJ2346" s="44"/>
      <c r="SNR2346" s="44"/>
      <c r="SNZ2346" s="44"/>
      <c r="SOH2346" s="44"/>
      <c r="SOP2346" s="44"/>
      <c r="SOX2346" s="44"/>
      <c r="SPF2346" s="44"/>
      <c r="SPN2346" s="44"/>
      <c r="SPV2346" s="44"/>
      <c r="SQD2346" s="44"/>
      <c r="SQL2346" s="44"/>
      <c r="SQT2346" s="44"/>
      <c r="SRB2346" s="44"/>
      <c r="SRJ2346" s="44"/>
      <c r="SRR2346" s="44"/>
      <c r="SRZ2346" s="44"/>
      <c r="SSH2346" s="44"/>
      <c r="SSP2346" s="44"/>
      <c r="SSX2346" s="44"/>
      <c r="STF2346" s="44"/>
      <c r="STN2346" s="44"/>
      <c r="STV2346" s="44"/>
      <c r="SUD2346" s="44"/>
      <c r="SUL2346" s="44"/>
      <c r="SUT2346" s="44"/>
      <c r="SVB2346" s="44"/>
      <c r="SVJ2346" s="44"/>
      <c r="SVR2346" s="44"/>
      <c r="SVZ2346" s="44"/>
      <c r="SWH2346" s="44"/>
      <c r="SWP2346" s="44"/>
      <c r="SWX2346" s="44"/>
      <c r="SXF2346" s="44"/>
      <c r="SXN2346" s="44"/>
      <c r="SXV2346" s="44"/>
      <c r="SYD2346" s="44"/>
      <c r="SYL2346" s="44"/>
      <c r="SYT2346" s="44"/>
      <c r="SZB2346" s="44"/>
      <c r="SZJ2346" s="44"/>
      <c r="SZR2346" s="44"/>
      <c r="SZZ2346" s="44"/>
      <c r="TAH2346" s="44"/>
      <c r="TAP2346" s="44"/>
      <c r="TAX2346" s="44"/>
      <c r="TBF2346" s="44"/>
      <c r="TBN2346" s="44"/>
      <c r="TBV2346" s="44"/>
      <c r="TCD2346" s="44"/>
      <c r="TCL2346" s="44"/>
      <c r="TCT2346" s="44"/>
      <c r="TDB2346" s="44"/>
      <c r="TDJ2346" s="44"/>
      <c r="TDR2346" s="44"/>
      <c r="TDZ2346" s="44"/>
      <c r="TEH2346" s="44"/>
      <c r="TEP2346" s="44"/>
      <c r="TEX2346" s="44"/>
      <c r="TFF2346" s="44"/>
      <c r="TFN2346" s="44"/>
      <c r="TFV2346" s="44"/>
      <c r="TGD2346" s="44"/>
      <c r="TGL2346" s="44"/>
      <c r="TGT2346" s="44"/>
      <c r="THB2346" s="44"/>
      <c r="THJ2346" s="44"/>
      <c r="THR2346" s="44"/>
      <c r="THZ2346" s="44"/>
      <c r="TIH2346" s="44"/>
      <c r="TIP2346" s="44"/>
      <c r="TIX2346" s="44"/>
      <c r="TJF2346" s="44"/>
      <c r="TJN2346" s="44"/>
      <c r="TJV2346" s="44"/>
      <c r="TKD2346" s="44"/>
      <c r="TKL2346" s="44"/>
      <c r="TKT2346" s="44"/>
      <c r="TLB2346" s="44"/>
      <c r="TLJ2346" s="44"/>
      <c r="TLR2346" s="44"/>
      <c r="TLZ2346" s="44"/>
      <c r="TMH2346" s="44"/>
      <c r="TMP2346" s="44"/>
      <c r="TMX2346" s="44"/>
      <c r="TNF2346" s="44"/>
      <c r="TNN2346" s="44"/>
      <c r="TNV2346" s="44"/>
      <c r="TOD2346" s="44"/>
      <c r="TOL2346" s="44"/>
      <c r="TOT2346" s="44"/>
      <c r="TPB2346" s="44"/>
      <c r="TPJ2346" s="44"/>
      <c r="TPR2346" s="44"/>
      <c r="TPZ2346" s="44"/>
      <c r="TQH2346" s="44"/>
      <c r="TQP2346" s="44"/>
      <c r="TQX2346" s="44"/>
      <c r="TRF2346" s="44"/>
      <c r="TRN2346" s="44"/>
      <c r="TRV2346" s="44"/>
      <c r="TSD2346" s="44"/>
      <c r="TSL2346" s="44"/>
      <c r="TST2346" s="44"/>
      <c r="TTB2346" s="44"/>
      <c r="TTJ2346" s="44"/>
      <c r="TTR2346" s="44"/>
      <c r="TTZ2346" s="44"/>
      <c r="TUH2346" s="44"/>
      <c r="TUP2346" s="44"/>
      <c r="TUX2346" s="44"/>
      <c r="TVF2346" s="44"/>
      <c r="TVN2346" s="44"/>
      <c r="TVV2346" s="44"/>
      <c r="TWD2346" s="44"/>
      <c r="TWL2346" s="44"/>
      <c r="TWT2346" s="44"/>
      <c r="TXB2346" s="44"/>
      <c r="TXJ2346" s="44"/>
      <c r="TXR2346" s="44"/>
      <c r="TXZ2346" s="44"/>
      <c r="TYH2346" s="44"/>
      <c r="TYP2346" s="44"/>
      <c r="TYX2346" s="44"/>
      <c r="TZF2346" s="44"/>
      <c r="TZN2346" s="44"/>
      <c r="TZV2346" s="44"/>
      <c r="UAD2346" s="44"/>
      <c r="UAL2346" s="44"/>
      <c r="UAT2346" s="44"/>
      <c r="UBB2346" s="44"/>
      <c r="UBJ2346" s="44"/>
      <c r="UBR2346" s="44"/>
      <c r="UBZ2346" s="44"/>
      <c r="UCH2346" s="44"/>
      <c r="UCP2346" s="44"/>
      <c r="UCX2346" s="44"/>
      <c r="UDF2346" s="44"/>
      <c r="UDN2346" s="44"/>
      <c r="UDV2346" s="44"/>
      <c r="UED2346" s="44"/>
      <c r="UEL2346" s="44"/>
      <c r="UET2346" s="44"/>
      <c r="UFB2346" s="44"/>
      <c r="UFJ2346" s="44"/>
      <c r="UFR2346" s="44"/>
      <c r="UFZ2346" s="44"/>
      <c r="UGH2346" s="44"/>
      <c r="UGP2346" s="44"/>
      <c r="UGX2346" s="44"/>
      <c r="UHF2346" s="44"/>
      <c r="UHN2346" s="44"/>
      <c r="UHV2346" s="44"/>
      <c r="UID2346" s="44"/>
      <c r="UIL2346" s="44"/>
      <c r="UIT2346" s="44"/>
      <c r="UJB2346" s="44"/>
      <c r="UJJ2346" s="44"/>
      <c r="UJR2346" s="44"/>
      <c r="UJZ2346" s="44"/>
      <c r="UKH2346" s="44"/>
      <c r="UKP2346" s="44"/>
      <c r="UKX2346" s="44"/>
      <c r="ULF2346" s="44"/>
      <c r="ULN2346" s="44"/>
      <c r="ULV2346" s="44"/>
      <c r="UMD2346" s="44"/>
      <c r="UML2346" s="44"/>
      <c r="UMT2346" s="44"/>
      <c r="UNB2346" s="44"/>
      <c r="UNJ2346" s="44"/>
      <c r="UNR2346" s="44"/>
      <c r="UNZ2346" s="44"/>
      <c r="UOH2346" s="44"/>
      <c r="UOP2346" s="44"/>
      <c r="UOX2346" s="44"/>
      <c r="UPF2346" s="44"/>
      <c r="UPN2346" s="44"/>
      <c r="UPV2346" s="44"/>
      <c r="UQD2346" s="44"/>
      <c r="UQL2346" s="44"/>
      <c r="UQT2346" s="44"/>
      <c r="URB2346" s="44"/>
      <c r="URJ2346" s="44"/>
      <c r="URR2346" s="44"/>
      <c r="URZ2346" s="44"/>
      <c r="USH2346" s="44"/>
      <c r="USP2346" s="44"/>
      <c r="USX2346" s="44"/>
      <c r="UTF2346" s="44"/>
      <c r="UTN2346" s="44"/>
      <c r="UTV2346" s="44"/>
      <c r="UUD2346" s="44"/>
      <c r="UUL2346" s="44"/>
      <c r="UUT2346" s="44"/>
      <c r="UVB2346" s="44"/>
      <c r="UVJ2346" s="44"/>
      <c r="UVR2346" s="44"/>
      <c r="UVZ2346" s="44"/>
      <c r="UWH2346" s="44"/>
      <c r="UWP2346" s="44"/>
      <c r="UWX2346" s="44"/>
      <c r="UXF2346" s="44"/>
      <c r="UXN2346" s="44"/>
      <c r="UXV2346" s="44"/>
      <c r="UYD2346" s="44"/>
      <c r="UYL2346" s="44"/>
      <c r="UYT2346" s="44"/>
      <c r="UZB2346" s="44"/>
      <c r="UZJ2346" s="44"/>
      <c r="UZR2346" s="44"/>
      <c r="UZZ2346" s="44"/>
      <c r="VAH2346" s="44"/>
      <c r="VAP2346" s="44"/>
      <c r="VAX2346" s="44"/>
      <c r="VBF2346" s="44"/>
      <c r="VBN2346" s="44"/>
      <c r="VBV2346" s="44"/>
      <c r="VCD2346" s="44"/>
      <c r="VCL2346" s="44"/>
      <c r="VCT2346" s="44"/>
      <c r="VDB2346" s="44"/>
      <c r="VDJ2346" s="44"/>
      <c r="VDR2346" s="44"/>
      <c r="VDZ2346" s="44"/>
      <c r="VEH2346" s="44"/>
      <c r="VEP2346" s="44"/>
      <c r="VEX2346" s="44"/>
      <c r="VFF2346" s="44"/>
      <c r="VFN2346" s="44"/>
      <c r="VFV2346" s="44"/>
      <c r="VGD2346" s="44"/>
      <c r="VGL2346" s="44"/>
      <c r="VGT2346" s="44"/>
      <c r="VHB2346" s="44"/>
      <c r="VHJ2346" s="44"/>
      <c r="VHR2346" s="44"/>
      <c r="VHZ2346" s="44"/>
      <c r="VIH2346" s="44"/>
      <c r="VIP2346" s="44"/>
      <c r="VIX2346" s="44"/>
      <c r="VJF2346" s="44"/>
      <c r="VJN2346" s="44"/>
      <c r="VJV2346" s="44"/>
      <c r="VKD2346" s="44"/>
      <c r="VKL2346" s="44"/>
      <c r="VKT2346" s="44"/>
      <c r="VLB2346" s="44"/>
      <c r="VLJ2346" s="44"/>
      <c r="VLR2346" s="44"/>
      <c r="VLZ2346" s="44"/>
      <c r="VMH2346" s="44"/>
      <c r="VMP2346" s="44"/>
      <c r="VMX2346" s="44"/>
      <c r="VNF2346" s="44"/>
      <c r="VNN2346" s="44"/>
      <c r="VNV2346" s="44"/>
      <c r="VOD2346" s="44"/>
      <c r="VOL2346" s="44"/>
      <c r="VOT2346" s="44"/>
      <c r="VPB2346" s="44"/>
      <c r="VPJ2346" s="44"/>
      <c r="VPR2346" s="44"/>
      <c r="VPZ2346" s="44"/>
      <c r="VQH2346" s="44"/>
      <c r="VQP2346" s="44"/>
      <c r="VQX2346" s="44"/>
      <c r="VRF2346" s="44"/>
      <c r="VRN2346" s="44"/>
      <c r="VRV2346" s="44"/>
      <c r="VSD2346" s="44"/>
      <c r="VSL2346" s="44"/>
      <c r="VST2346" s="44"/>
      <c r="VTB2346" s="44"/>
      <c r="VTJ2346" s="44"/>
      <c r="VTR2346" s="44"/>
      <c r="VTZ2346" s="44"/>
      <c r="VUH2346" s="44"/>
      <c r="VUP2346" s="44"/>
      <c r="VUX2346" s="44"/>
      <c r="VVF2346" s="44"/>
      <c r="VVN2346" s="44"/>
      <c r="VVV2346" s="44"/>
      <c r="VWD2346" s="44"/>
      <c r="VWL2346" s="44"/>
      <c r="VWT2346" s="44"/>
      <c r="VXB2346" s="44"/>
      <c r="VXJ2346" s="44"/>
      <c r="VXR2346" s="44"/>
      <c r="VXZ2346" s="44"/>
      <c r="VYH2346" s="44"/>
      <c r="VYP2346" s="44"/>
      <c r="VYX2346" s="44"/>
      <c r="VZF2346" s="44"/>
      <c r="VZN2346" s="44"/>
      <c r="VZV2346" s="44"/>
      <c r="WAD2346" s="44"/>
      <c r="WAL2346" s="44"/>
      <c r="WAT2346" s="44"/>
      <c r="WBB2346" s="44"/>
      <c r="WBJ2346" s="44"/>
      <c r="WBR2346" s="44"/>
      <c r="WBZ2346" s="44"/>
      <c r="WCH2346" s="44"/>
      <c r="WCP2346" s="44"/>
      <c r="WCX2346" s="44"/>
      <c r="WDF2346" s="44"/>
      <c r="WDN2346" s="44"/>
      <c r="WDV2346" s="44"/>
      <c r="WED2346" s="44"/>
      <c r="WEL2346" s="44"/>
      <c r="WET2346" s="44"/>
      <c r="WFB2346" s="44"/>
      <c r="WFJ2346" s="44"/>
      <c r="WFR2346" s="44"/>
      <c r="WFZ2346" s="44"/>
      <c r="WGH2346" s="44"/>
      <c r="WGP2346" s="44"/>
      <c r="WGX2346" s="44"/>
      <c r="WHF2346" s="44"/>
      <c r="WHN2346" s="44"/>
      <c r="WHV2346" s="44"/>
      <c r="WID2346" s="44"/>
      <c r="WIL2346" s="44"/>
      <c r="WIT2346" s="44"/>
      <c r="WJB2346" s="44"/>
      <c r="WJJ2346" s="44"/>
      <c r="WJR2346" s="44"/>
      <c r="WJZ2346" s="44"/>
      <c r="WKH2346" s="44"/>
      <c r="WKP2346" s="44"/>
      <c r="WKX2346" s="44"/>
      <c r="WLF2346" s="44"/>
      <c r="WLN2346" s="44"/>
      <c r="WLV2346" s="44"/>
      <c r="WMD2346" s="44"/>
      <c r="WML2346" s="44"/>
      <c r="WMT2346" s="44"/>
      <c r="WNB2346" s="44"/>
      <c r="WNJ2346" s="44"/>
      <c r="WNR2346" s="44"/>
      <c r="WNZ2346" s="44"/>
      <c r="WOH2346" s="44"/>
      <c r="WOP2346" s="44"/>
      <c r="WOX2346" s="44"/>
      <c r="WPF2346" s="44"/>
      <c r="WPN2346" s="44"/>
      <c r="WPV2346" s="44"/>
      <c r="WQD2346" s="44"/>
      <c r="WQL2346" s="44"/>
      <c r="WQT2346" s="44"/>
      <c r="WRB2346" s="44"/>
      <c r="WRJ2346" s="44"/>
      <c r="WRR2346" s="44"/>
      <c r="WRZ2346" s="44"/>
      <c r="WSH2346" s="44"/>
      <c r="WSP2346" s="44"/>
      <c r="WSX2346" s="44"/>
      <c r="WTF2346" s="44"/>
      <c r="WTN2346" s="44"/>
      <c r="WTV2346" s="44"/>
      <c r="WUD2346" s="44"/>
      <c r="WUL2346" s="44"/>
      <c r="WUT2346" s="44"/>
      <c r="WVB2346" s="44"/>
      <c r="WVJ2346" s="44"/>
      <c r="WVR2346" s="44"/>
      <c r="WVZ2346" s="44"/>
      <c r="WWH2346" s="44"/>
      <c r="WWP2346" s="44"/>
      <c r="WWX2346" s="44"/>
      <c r="WXF2346" s="44"/>
      <c r="WXN2346" s="44"/>
      <c r="WXV2346" s="44"/>
      <c r="WYD2346" s="44"/>
      <c r="WYL2346" s="44"/>
      <c r="WYT2346" s="44"/>
      <c r="WZB2346" s="44"/>
      <c r="WZJ2346" s="44"/>
      <c r="WZR2346" s="44"/>
      <c r="WZZ2346" s="44"/>
      <c r="XAH2346" s="44"/>
      <c r="XAP2346" s="44"/>
      <c r="XAX2346" s="44"/>
      <c r="XBF2346" s="44"/>
      <c r="XBN2346" s="44"/>
      <c r="XBV2346" s="44"/>
      <c r="XCD2346" s="44"/>
      <c r="XCL2346" s="44"/>
      <c r="XCT2346" s="44"/>
      <c r="XDB2346" s="44"/>
      <c r="XDJ2346" s="44"/>
      <c r="XDR2346" s="44"/>
      <c r="XDZ2346" s="44"/>
      <c r="XEH2346" s="44"/>
      <c r="XEP2346" s="44"/>
      <c r="XEX2346" s="44"/>
    </row>
    <row r="2347" spans="1:1018 1026:2042 2050:3066 3074:4090 4098:5114 5122:6138 6146:7162 7170:8186 8194:9210 9218:10234 10242:11258 11266:12282 12290:13306 13314:14330 14338:15354 15362:16378" x14ac:dyDescent="0.2">
      <c r="A2347" s="44">
        <v>41697</v>
      </c>
      <c r="B2347" s="44">
        <v>41697</v>
      </c>
      <c r="C2347" t="s">
        <v>5833</v>
      </c>
      <c r="D2347" t="s">
        <v>5816</v>
      </c>
      <c r="F2347"/>
      <c r="G2347"/>
      <c r="H2347">
        <v>5</v>
      </c>
    </row>
    <row r="2348" spans="1:1018 1026:2042 2050:3066 3074:4090 4098:5114 5122:6138 6146:7162 7170:8186 8194:9210 9218:10234 10242:11258 11266:12282 12290:13306 13314:14330 14338:15354 15362:16378" x14ac:dyDescent="0.2">
      <c r="A2348" t="s">
        <v>2905</v>
      </c>
      <c r="B2348" s="44">
        <v>36483</v>
      </c>
      <c r="C2348" t="s">
        <v>4</v>
      </c>
      <c r="D2348" t="s">
        <v>3860</v>
      </c>
      <c r="F2348"/>
      <c r="G2348"/>
      <c r="H2348">
        <v>6</v>
      </c>
    </row>
    <row r="2349" spans="1:1018 1026:2042 2050:3066 3074:4090 4098:5114 5122:6138 6146:7162 7170:8186 8194:9210 9218:10234 10242:11258 11266:12282 12290:13306 13314:14330 14338:15354 15362:16378" x14ac:dyDescent="0.2">
      <c r="A2349" s="6" t="s">
        <v>1648</v>
      </c>
      <c r="B2349" s="44">
        <v>37315</v>
      </c>
      <c r="C2349" t="s">
        <v>4</v>
      </c>
      <c r="D2349" t="s">
        <v>3861</v>
      </c>
      <c r="F2349"/>
      <c r="G2349"/>
      <c r="H2349">
        <v>6</v>
      </c>
    </row>
    <row r="2350" spans="1:1018 1026:2042 2050:3066 3074:4090 4098:5114 5122:6138 6146:7162 7170:8186 8194:9210 9218:10234 10242:11258 11266:12282 12290:13306 13314:14330 14338:15354 15362:16378" x14ac:dyDescent="0.2">
      <c r="A2350" t="s">
        <v>1420</v>
      </c>
      <c r="B2350" s="44">
        <v>37644</v>
      </c>
      <c r="C2350" t="s">
        <v>4</v>
      </c>
      <c r="D2350" t="s">
        <v>3862</v>
      </c>
      <c r="F2350"/>
      <c r="G2350"/>
      <c r="H2350">
        <v>6</v>
      </c>
    </row>
    <row r="2351" spans="1:1018 1026:2042 2050:3066 3074:4090 4098:5114 5122:6138 6146:7162 7170:8186 8194:9210 9218:10234 10242:11258 11266:12282 12290:13306 13314:14330 14338:15354 15362:16378" x14ac:dyDescent="0.2">
      <c r="A2351" t="s">
        <v>2227</v>
      </c>
      <c r="B2351" s="44">
        <v>38526</v>
      </c>
      <c r="C2351" t="s">
        <v>4</v>
      </c>
      <c r="D2351" t="s">
        <v>4422</v>
      </c>
      <c r="F2351"/>
      <c r="G2351"/>
      <c r="H2351">
        <v>6</v>
      </c>
    </row>
    <row r="2352" spans="1:1018 1026:2042 2050:3066 3074:4090 4098:5114 5122:6138 6146:7162 7170:8186 8194:9210 9218:10234 10242:11258 11266:12282 12290:13306 13314:14330 14338:15354 15362:16378" x14ac:dyDescent="0.2">
      <c r="A2352" t="s">
        <v>368</v>
      </c>
      <c r="B2352" s="44">
        <v>38659</v>
      </c>
      <c r="C2352" t="s">
        <v>4</v>
      </c>
      <c r="D2352" t="s">
        <v>4423</v>
      </c>
      <c r="F2352"/>
      <c r="G2352"/>
      <c r="H2352">
        <v>6</v>
      </c>
    </row>
    <row r="2353" spans="1:8" x14ac:dyDescent="0.2">
      <c r="A2353" t="s">
        <v>2037</v>
      </c>
      <c r="B2353" s="44">
        <v>38861</v>
      </c>
      <c r="C2353" t="s">
        <v>4</v>
      </c>
      <c r="D2353" t="s">
        <v>2038</v>
      </c>
      <c r="F2353"/>
      <c r="G2353"/>
      <c r="H2353">
        <v>6</v>
      </c>
    </row>
    <row r="2354" spans="1:8" x14ac:dyDescent="0.2">
      <c r="A2354" t="s">
        <v>498</v>
      </c>
      <c r="B2354" s="44">
        <v>39002</v>
      </c>
      <c r="C2354" t="s">
        <v>4</v>
      </c>
      <c r="D2354" t="s">
        <v>4424</v>
      </c>
      <c r="F2354"/>
      <c r="G2354"/>
      <c r="H2354">
        <v>6</v>
      </c>
    </row>
    <row r="2355" spans="1:8" x14ac:dyDescent="0.2">
      <c r="A2355" t="s">
        <v>500</v>
      </c>
      <c r="B2355" s="44">
        <v>39114</v>
      </c>
      <c r="C2355" t="s">
        <v>4</v>
      </c>
      <c r="D2355" t="s">
        <v>4425</v>
      </c>
      <c r="F2355"/>
      <c r="G2355"/>
      <c r="H2355">
        <v>6</v>
      </c>
    </row>
    <row r="2356" spans="1:8" x14ac:dyDescent="0.2">
      <c r="A2356" t="s">
        <v>2325</v>
      </c>
      <c r="B2356" s="44">
        <v>39645</v>
      </c>
      <c r="C2356" t="s">
        <v>4</v>
      </c>
      <c r="D2356" t="s">
        <v>4426</v>
      </c>
      <c r="F2356"/>
      <c r="G2356"/>
      <c r="H2356">
        <v>6</v>
      </c>
    </row>
    <row r="2357" spans="1:8" x14ac:dyDescent="0.2">
      <c r="A2357" t="s">
        <v>1800</v>
      </c>
      <c r="B2357" s="44">
        <v>40266</v>
      </c>
      <c r="C2357" t="s">
        <v>4</v>
      </c>
      <c r="D2357" t="s">
        <v>4427</v>
      </c>
      <c r="F2357"/>
      <c r="G2357"/>
      <c r="H2357">
        <v>6</v>
      </c>
    </row>
    <row r="2358" spans="1:8" x14ac:dyDescent="0.2">
      <c r="A2358" t="s">
        <v>2122</v>
      </c>
      <c r="B2358" s="44">
        <v>40710</v>
      </c>
      <c r="C2358" t="s">
        <v>4</v>
      </c>
      <c r="D2358" t="s">
        <v>2123</v>
      </c>
      <c r="F2358"/>
      <c r="G2358"/>
      <c r="H2358">
        <v>6</v>
      </c>
    </row>
    <row r="2359" spans="1:8" x14ac:dyDescent="0.2">
      <c r="A2359" t="s">
        <v>772</v>
      </c>
      <c r="B2359" s="44">
        <v>40732</v>
      </c>
      <c r="C2359" t="s">
        <v>4</v>
      </c>
      <c r="D2359" t="s">
        <v>3863</v>
      </c>
      <c r="F2359"/>
      <c r="G2359"/>
      <c r="H2359">
        <v>6</v>
      </c>
    </row>
    <row r="2360" spans="1:8" x14ac:dyDescent="0.2">
      <c r="A2360" t="s">
        <v>2542</v>
      </c>
      <c r="B2360" s="44">
        <v>40806</v>
      </c>
      <c r="C2360" t="s">
        <v>4</v>
      </c>
      <c r="D2360" t="s">
        <v>3864</v>
      </c>
      <c r="F2360"/>
      <c r="G2360"/>
      <c r="H2360">
        <v>6</v>
      </c>
    </row>
    <row r="2361" spans="1:8" x14ac:dyDescent="0.2">
      <c r="A2361" t="s">
        <v>2963</v>
      </c>
      <c r="B2361" s="44">
        <v>40870</v>
      </c>
      <c r="C2361" t="s">
        <v>4</v>
      </c>
      <c r="D2361" t="s">
        <v>3864</v>
      </c>
      <c r="F2361"/>
      <c r="G2361"/>
      <c r="H2361">
        <v>6</v>
      </c>
    </row>
    <row r="2362" spans="1:8" x14ac:dyDescent="0.2">
      <c r="A2362" s="6" t="s">
        <v>748</v>
      </c>
      <c r="B2362" s="44">
        <v>40878</v>
      </c>
      <c r="C2362" t="s">
        <v>4</v>
      </c>
      <c r="D2362" t="s">
        <v>3865</v>
      </c>
      <c r="F2362"/>
      <c r="G2362"/>
      <c r="H2362">
        <v>6</v>
      </c>
    </row>
    <row r="2363" spans="1:8" x14ac:dyDescent="0.2">
      <c r="A2363" t="s">
        <v>1685</v>
      </c>
      <c r="B2363" s="44">
        <v>40984</v>
      </c>
      <c r="C2363" t="s">
        <v>4</v>
      </c>
      <c r="D2363" t="s">
        <v>3864</v>
      </c>
      <c r="F2363"/>
      <c r="G2363"/>
      <c r="H2363">
        <v>6</v>
      </c>
    </row>
    <row r="2364" spans="1:8" x14ac:dyDescent="0.2">
      <c r="A2364" t="s">
        <v>1770</v>
      </c>
      <c r="B2364" s="44">
        <v>40994</v>
      </c>
      <c r="C2364" t="s">
        <v>4</v>
      </c>
      <c r="D2364" t="s">
        <v>4428</v>
      </c>
      <c r="F2364"/>
      <c r="G2364"/>
      <c r="H2364">
        <v>6</v>
      </c>
    </row>
    <row r="2365" spans="1:8" x14ac:dyDescent="0.2">
      <c r="A2365" t="s">
        <v>1795</v>
      </c>
      <c r="B2365" s="44">
        <v>40996</v>
      </c>
      <c r="C2365" t="s">
        <v>4</v>
      </c>
      <c r="D2365" t="s">
        <v>3866</v>
      </c>
      <c r="F2365"/>
      <c r="G2365"/>
      <c r="H2365">
        <v>6</v>
      </c>
    </row>
    <row r="2366" spans="1:8" x14ac:dyDescent="0.2">
      <c r="A2366" s="6">
        <v>41038</v>
      </c>
      <c r="B2366" s="44">
        <v>41038</v>
      </c>
      <c r="C2366" t="s">
        <v>4</v>
      </c>
      <c r="D2366" t="s">
        <v>3869</v>
      </c>
      <c r="F2366"/>
      <c r="G2366"/>
      <c r="H2366">
        <v>6</v>
      </c>
    </row>
    <row r="2367" spans="1:8" x14ac:dyDescent="0.2">
      <c r="A2367" s="6">
        <v>41039</v>
      </c>
      <c r="B2367" s="44">
        <v>41039</v>
      </c>
      <c r="C2367" t="s">
        <v>4</v>
      </c>
      <c r="D2367" t="s">
        <v>3869</v>
      </c>
      <c r="F2367"/>
      <c r="G2367"/>
      <c r="H2367">
        <v>6</v>
      </c>
    </row>
    <row r="2368" spans="1:8" x14ac:dyDescent="0.2">
      <c r="A2368" t="s">
        <v>2576</v>
      </c>
      <c r="B2368" s="44">
        <v>41176</v>
      </c>
      <c r="C2368" t="s">
        <v>4</v>
      </c>
      <c r="D2368" t="s">
        <v>4429</v>
      </c>
      <c r="F2368"/>
      <c r="G2368"/>
      <c r="H2368">
        <v>6</v>
      </c>
    </row>
    <row r="2369" spans="1:9" x14ac:dyDescent="0.2">
      <c r="A2369" t="s">
        <v>2939</v>
      </c>
      <c r="B2369" s="44">
        <v>41234</v>
      </c>
      <c r="C2369" t="s">
        <v>4</v>
      </c>
      <c r="D2369" t="s">
        <v>3867</v>
      </c>
      <c r="F2369"/>
      <c r="G2369"/>
      <c r="H2369">
        <v>6</v>
      </c>
    </row>
    <row r="2370" spans="1:9" x14ac:dyDescent="0.2">
      <c r="A2370" t="s">
        <v>2245</v>
      </c>
      <c r="B2370" s="44">
        <v>41450</v>
      </c>
      <c r="C2370" t="s">
        <v>4</v>
      </c>
      <c r="D2370" t="s">
        <v>4488</v>
      </c>
      <c r="F2370"/>
      <c r="G2370"/>
      <c r="H2370">
        <v>6</v>
      </c>
      <c r="I2370" t="s">
        <v>3214</v>
      </c>
    </row>
    <row r="2371" spans="1:9" x14ac:dyDescent="0.2">
      <c r="A2371" t="s">
        <v>950</v>
      </c>
      <c r="B2371" s="44">
        <v>41643</v>
      </c>
      <c r="C2371" t="s">
        <v>4</v>
      </c>
      <c r="D2371" t="s">
        <v>3868</v>
      </c>
      <c r="F2371"/>
      <c r="G2371"/>
      <c r="H2371">
        <v>6</v>
      </c>
    </row>
    <row r="2372" spans="1:9" x14ac:dyDescent="0.2">
      <c r="A2372" s="6" t="s">
        <v>2137</v>
      </c>
      <c r="B2372" s="44">
        <v>41807</v>
      </c>
      <c r="C2372" t="s">
        <v>4</v>
      </c>
      <c r="D2372" t="s">
        <v>3867</v>
      </c>
      <c r="F2372"/>
      <c r="G2372"/>
      <c r="H2372">
        <v>6</v>
      </c>
    </row>
    <row r="2373" spans="1:9" x14ac:dyDescent="0.2">
      <c r="A2373" s="6" t="s">
        <v>2748</v>
      </c>
      <c r="B2373" s="44">
        <v>41934</v>
      </c>
      <c r="C2373" t="s">
        <v>4</v>
      </c>
      <c r="D2373" t="s">
        <v>4431</v>
      </c>
      <c r="F2373"/>
      <c r="G2373"/>
      <c r="H2373">
        <v>6</v>
      </c>
    </row>
    <row r="2374" spans="1:9" x14ac:dyDescent="0.2">
      <c r="A2374" t="s">
        <v>1023</v>
      </c>
      <c r="B2374" s="44">
        <v>42101</v>
      </c>
      <c r="C2374" t="s">
        <v>4</v>
      </c>
      <c r="D2374" t="s">
        <v>4483</v>
      </c>
      <c r="F2374"/>
      <c r="G2374"/>
      <c r="H2374">
        <v>6</v>
      </c>
    </row>
    <row r="2375" spans="1:9" x14ac:dyDescent="0.2">
      <c r="A2375" t="s">
        <v>1009</v>
      </c>
      <c r="B2375" s="44">
        <v>42278</v>
      </c>
      <c r="C2375" t="s">
        <v>4</v>
      </c>
      <c r="D2375" t="s">
        <v>4482</v>
      </c>
      <c r="F2375"/>
      <c r="G2375"/>
      <c r="H2375">
        <v>6</v>
      </c>
    </row>
    <row r="2376" spans="1:9" x14ac:dyDescent="0.2">
      <c r="A2376" t="s">
        <v>1039</v>
      </c>
      <c r="B2376" s="44">
        <v>42347</v>
      </c>
      <c r="C2376" t="s">
        <v>4</v>
      </c>
      <c r="D2376" t="s">
        <v>4481</v>
      </c>
      <c r="F2376"/>
      <c r="G2376"/>
      <c r="H2376">
        <v>6</v>
      </c>
    </row>
    <row r="2377" spans="1:9" x14ac:dyDescent="0.2">
      <c r="A2377" t="s">
        <v>1115</v>
      </c>
      <c r="B2377" s="44">
        <v>42377</v>
      </c>
      <c r="C2377" t="s">
        <v>4</v>
      </c>
      <c r="D2377" t="s">
        <v>4433</v>
      </c>
      <c r="F2377"/>
      <c r="G2377"/>
      <c r="H2377">
        <v>6</v>
      </c>
    </row>
    <row r="2378" spans="1:9" x14ac:dyDescent="0.2">
      <c r="A2378" t="s">
        <v>1096</v>
      </c>
      <c r="B2378" s="44">
        <v>42465</v>
      </c>
      <c r="C2378" t="s">
        <v>4</v>
      </c>
      <c r="D2378" t="s">
        <v>4480</v>
      </c>
      <c r="F2378"/>
      <c r="G2378"/>
      <c r="H2378">
        <v>6</v>
      </c>
    </row>
    <row r="2379" spans="1:9" x14ac:dyDescent="0.2">
      <c r="A2379" t="s">
        <v>2565</v>
      </c>
      <c r="B2379" s="44">
        <v>42635</v>
      </c>
      <c r="C2379" t="s">
        <v>5834</v>
      </c>
      <c r="D2379" t="s">
        <v>4434</v>
      </c>
      <c r="F2379"/>
      <c r="G2379"/>
      <c r="H2379">
        <v>6</v>
      </c>
    </row>
    <row r="2380" spans="1:9" x14ac:dyDescent="0.2">
      <c r="A2380" t="s">
        <v>1163</v>
      </c>
      <c r="B2380" s="44">
        <v>43011</v>
      </c>
      <c r="C2380" t="s">
        <v>4</v>
      </c>
      <c r="D2380" t="s">
        <v>1164</v>
      </c>
      <c r="F2380"/>
      <c r="G2380"/>
      <c r="H2380">
        <v>6</v>
      </c>
    </row>
    <row r="2381" spans="1:9" x14ac:dyDescent="0.2">
      <c r="A2381" t="s">
        <v>2683</v>
      </c>
      <c r="B2381" s="44">
        <v>43025</v>
      </c>
      <c r="C2381" t="s">
        <v>4</v>
      </c>
      <c r="D2381" t="s">
        <v>4478</v>
      </c>
      <c r="F2381"/>
      <c r="G2381"/>
      <c r="H2381">
        <v>6</v>
      </c>
    </row>
    <row r="2382" spans="1:9" x14ac:dyDescent="0.2">
      <c r="A2382" t="s">
        <v>1774</v>
      </c>
      <c r="B2382" s="44">
        <v>43185</v>
      </c>
      <c r="C2382" t="s">
        <v>4</v>
      </c>
      <c r="D2382" t="s">
        <v>1775</v>
      </c>
      <c r="F2382"/>
      <c r="G2382"/>
      <c r="H2382">
        <v>6</v>
      </c>
    </row>
    <row r="2383" spans="1:9" x14ac:dyDescent="0.2">
      <c r="A2383" s="6" t="s">
        <v>1905</v>
      </c>
      <c r="B2383" s="44">
        <v>43217</v>
      </c>
      <c r="C2383" t="s">
        <v>4</v>
      </c>
      <c r="D2383" t="s">
        <v>4435</v>
      </c>
      <c r="F2383"/>
      <c r="G2383"/>
      <c r="H2383">
        <v>6</v>
      </c>
    </row>
    <row r="2384" spans="1:9" x14ac:dyDescent="0.2">
      <c r="A2384" t="s">
        <v>1203</v>
      </c>
      <c r="B2384" s="44">
        <v>43374</v>
      </c>
      <c r="C2384" t="s">
        <v>4</v>
      </c>
      <c r="D2384" t="s">
        <v>4436</v>
      </c>
      <c r="F2384"/>
      <c r="G2384"/>
      <c r="H2384">
        <v>6</v>
      </c>
    </row>
    <row r="2385" spans="1:9" x14ac:dyDescent="0.2">
      <c r="A2385" t="s">
        <v>1212</v>
      </c>
      <c r="B2385" s="44">
        <v>43375</v>
      </c>
      <c r="C2385" t="s">
        <v>4</v>
      </c>
      <c r="D2385" t="s">
        <v>4437</v>
      </c>
      <c r="F2385"/>
      <c r="G2385"/>
      <c r="H2385">
        <v>6</v>
      </c>
    </row>
    <row r="2386" spans="1:9" x14ac:dyDescent="0.2">
      <c r="A2386" t="s">
        <v>1213</v>
      </c>
      <c r="B2386" s="44">
        <v>43375</v>
      </c>
      <c r="C2386" t="s">
        <v>4</v>
      </c>
      <c r="D2386" t="s">
        <v>4438</v>
      </c>
      <c r="F2386"/>
      <c r="G2386"/>
      <c r="H2386">
        <v>6</v>
      </c>
    </row>
    <row r="2387" spans="1:9" x14ac:dyDescent="0.2">
      <c r="A2387" t="s">
        <v>1824</v>
      </c>
      <c r="B2387" s="44">
        <v>43570</v>
      </c>
      <c r="C2387" t="s">
        <v>4</v>
      </c>
      <c r="D2387" t="s">
        <v>4440</v>
      </c>
      <c r="F2387"/>
      <c r="G2387"/>
      <c r="H2387">
        <v>6</v>
      </c>
    </row>
    <row r="2388" spans="1:9" x14ac:dyDescent="0.2">
      <c r="A2388" t="s">
        <v>24</v>
      </c>
      <c r="B2388" s="44">
        <v>35831</v>
      </c>
      <c r="C2388" t="s">
        <v>4</v>
      </c>
      <c r="D2388" t="s">
        <v>25</v>
      </c>
      <c r="F2388"/>
      <c r="G2388"/>
      <c r="H2388">
        <v>7</v>
      </c>
    </row>
    <row r="2389" spans="1:9" x14ac:dyDescent="0.2">
      <c r="A2389" t="s">
        <v>1688</v>
      </c>
      <c r="B2389" s="44">
        <v>35871</v>
      </c>
      <c r="C2389" t="s">
        <v>4</v>
      </c>
      <c r="D2389" t="s">
        <v>1689</v>
      </c>
      <c r="F2389"/>
      <c r="G2389"/>
      <c r="H2389">
        <v>7</v>
      </c>
    </row>
    <row r="2390" spans="1:9" x14ac:dyDescent="0.2">
      <c r="A2390" t="s">
        <v>1713</v>
      </c>
      <c r="B2390" s="44">
        <v>35874</v>
      </c>
      <c r="C2390" t="s">
        <v>4</v>
      </c>
      <c r="D2390" t="s">
        <v>1714</v>
      </c>
      <c r="F2390"/>
      <c r="G2390"/>
      <c r="H2390">
        <v>7</v>
      </c>
    </row>
    <row r="2391" spans="1:9" x14ac:dyDescent="0.2">
      <c r="A2391" t="s">
        <v>1722</v>
      </c>
      <c r="B2391" s="44">
        <v>35875</v>
      </c>
      <c r="C2391" t="s">
        <v>4</v>
      </c>
      <c r="D2391" t="s">
        <v>1714</v>
      </c>
      <c r="F2391"/>
      <c r="G2391"/>
      <c r="H2391">
        <v>7</v>
      </c>
    </row>
    <row r="2392" spans="1:9" x14ac:dyDescent="0.2">
      <c r="A2392" t="s">
        <v>1914</v>
      </c>
      <c r="B2392" s="44">
        <v>35915</v>
      </c>
      <c r="C2392" t="s">
        <v>4</v>
      </c>
      <c r="D2392" t="s">
        <v>1915</v>
      </c>
      <c r="F2392"/>
      <c r="G2392"/>
      <c r="H2392">
        <v>7</v>
      </c>
    </row>
    <row r="2393" spans="1:9" x14ac:dyDescent="0.2">
      <c r="A2393" t="s">
        <v>3</v>
      </c>
      <c r="B2393" s="44">
        <v>35916</v>
      </c>
      <c r="C2393" t="s">
        <v>4</v>
      </c>
      <c r="D2393" t="s">
        <v>5</v>
      </c>
      <c r="F2393"/>
      <c r="G2393"/>
      <c r="H2393">
        <v>7</v>
      </c>
    </row>
    <row r="2394" spans="1:9" x14ac:dyDescent="0.2">
      <c r="A2394" t="s">
        <v>10</v>
      </c>
      <c r="B2394" s="44">
        <v>35917</v>
      </c>
      <c r="C2394" t="s">
        <v>4</v>
      </c>
      <c r="D2394" t="s">
        <v>11</v>
      </c>
      <c r="F2394"/>
      <c r="G2394"/>
      <c r="H2394">
        <v>7</v>
      </c>
    </row>
    <row r="2395" spans="1:9" x14ac:dyDescent="0.2">
      <c r="A2395" t="s">
        <v>14</v>
      </c>
      <c r="B2395" s="44">
        <v>35918</v>
      </c>
      <c r="C2395" t="s">
        <v>4</v>
      </c>
      <c r="D2395" t="s">
        <v>15</v>
      </c>
      <c r="F2395"/>
      <c r="G2395"/>
      <c r="H2395">
        <v>7</v>
      </c>
    </row>
    <row r="2396" spans="1:9" x14ac:dyDescent="0.2">
      <c r="A2396" t="s">
        <v>2000</v>
      </c>
      <c r="B2396" s="44">
        <v>35936</v>
      </c>
      <c r="C2396" t="s">
        <v>4</v>
      </c>
      <c r="D2396" t="s">
        <v>2001</v>
      </c>
      <c r="F2396"/>
      <c r="G2396"/>
      <c r="H2396">
        <v>7</v>
      </c>
    </row>
    <row r="2397" spans="1:9" x14ac:dyDescent="0.2">
      <c r="A2397" t="s">
        <v>59</v>
      </c>
      <c r="B2397" s="44">
        <v>35957</v>
      </c>
      <c r="C2397" t="s">
        <v>4</v>
      </c>
      <c r="D2397" t="s">
        <v>60</v>
      </c>
      <c r="F2397"/>
      <c r="G2397"/>
      <c r="H2397">
        <v>7</v>
      </c>
      <c r="I2397" t="s">
        <v>4492</v>
      </c>
    </row>
    <row r="2398" spans="1:9" x14ac:dyDescent="0.2">
      <c r="A2398" t="s">
        <v>2243</v>
      </c>
      <c r="B2398" s="44">
        <v>35971</v>
      </c>
      <c r="C2398" t="s">
        <v>4</v>
      </c>
      <c r="D2398" t="s">
        <v>2001</v>
      </c>
      <c r="F2398"/>
      <c r="G2398"/>
      <c r="H2398">
        <v>7</v>
      </c>
    </row>
    <row r="2399" spans="1:9" x14ac:dyDescent="0.2">
      <c r="A2399" t="s">
        <v>64</v>
      </c>
      <c r="B2399" s="44">
        <v>36220</v>
      </c>
      <c r="C2399" t="s">
        <v>4</v>
      </c>
      <c r="D2399" t="s">
        <v>65</v>
      </c>
      <c r="F2399"/>
      <c r="G2399"/>
      <c r="H2399">
        <v>7</v>
      </c>
    </row>
    <row r="2400" spans="1:9" x14ac:dyDescent="0.2">
      <c r="A2400" t="s">
        <v>1832</v>
      </c>
      <c r="B2400" s="44">
        <v>36634</v>
      </c>
      <c r="C2400" t="s">
        <v>4</v>
      </c>
      <c r="D2400" t="s">
        <v>1833</v>
      </c>
      <c r="H2400">
        <v>7</v>
      </c>
    </row>
    <row r="2401" spans="1:8" x14ac:dyDescent="0.2">
      <c r="A2401" t="s">
        <v>140</v>
      </c>
      <c r="B2401" s="44">
        <v>36684</v>
      </c>
      <c r="C2401" t="s">
        <v>4</v>
      </c>
      <c r="D2401" t="s">
        <v>141</v>
      </c>
      <c r="F2401"/>
      <c r="G2401"/>
      <c r="H2401">
        <v>7</v>
      </c>
    </row>
    <row r="2402" spans="1:8" x14ac:dyDescent="0.2">
      <c r="A2402" t="s">
        <v>2173</v>
      </c>
      <c r="B2402" s="44">
        <v>36697</v>
      </c>
      <c r="C2402" t="s">
        <v>4</v>
      </c>
      <c r="D2402" t="s">
        <v>2174</v>
      </c>
      <c r="F2402"/>
      <c r="G2402"/>
      <c r="H2402">
        <v>7</v>
      </c>
    </row>
    <row r="2403" spans="1:8" x14ac:dyDescent="0.2">
      <c r="A2403" t="s">
        <v>2264</v>
      </c>
      <c r="B2403" s="44">
        <v>36704</v>
      </c>
      <c r="C2403" t="s">
        <v>4</v>
      </c>
      <c r="D2403" t="s">
        <v>2265</v>
      </c>
      <c r="F2403"/>
      <c r="G2403"/>
      <c r="H2403">
        <v>7</v>
      </c>
    </row>
    <row r="2404" spans="1:8" x14ac:dyDescent="0.2">
      <c r="A2404" t="s">
        <v>116</v>
      </c>
      <c r="B2404" s="44">
        <v>36711</v>
      </c>
      <c r="C2404" t="s">
        <v>4</v>
      </c>
      <c r="D2404" t="s">
        <v>117</v>
      </c>
      <c r="F2404"/>
      <c r="G2404"/>
      <c r="H2404">
        <v>7</v>
      </c>
    </row>
    <row r="2405" spans="1:8" x14ac:dyDescent="0.2">
      <c r="A2405" t="s">
        <v>126</v>
      </c>
      <c r="B2405" s="44">
        <v>36712</v>
      </c>
      <c r="C2405" t="s">
        <v>4</v>
      </c>
      <c r="D2405" t="s">
        <v>127</v>
      </c>
      <c r="F2405"/>
      <c r="G2405"/>
      <c r="H2405">
        <v>7</v>
      </c>
    </row>
    <row r="2406" spans="1:8" x14ac:dyDescent="0.2">
      <c r="A2406" t="s">
        <v>2301</v>
      </c>
      <c r="B2406" s="44">
        <v>36720</v>
      </c>
      <c r="C2406" t="s">
        <v>4</v>
      </c>
      <c r="D2406" t="s">
        <v>2302</v>
      </c>
      <c r="F2406"/>
      <c r="G2406"/>
      <c r="H2406">
        <v>7</v>
      </c>
    </row>
    <row r="2407" spans="1:8" x14ac:dyDescent="0.2">
      <c r="A2407" t="s">
        <v>2346</v>
      </c>
      <c r="B2407" s="44">
        <v>36725</v>
      </c>
      <c r="C2407" t="s">
        <v>4</v>
      </c>
      <c r="D2407" t="s">
        <v>2347</v>
      </c>
      <c r="F2407"/>
      <c r="G2407"/>
      <c r="H2407">
        <v>7</v>
      </c>
    </row>
    <row r="2408" spans="1:8" x14ac:dyDescent="0.2">
      <c r="A2408" t="s">
        <v>2395</v>
      </c>
      <c r="B2408" s="44">
        <v>36732</v>
      </c>
      <c r="C2408" t="s">
        <v>4</v>
      </c>
      <c r="D2408" t="s">
        <v>2396</v>
      </c>
      <c r="F2408"/>
      <c r="G2408"/>
      <c r="H2408">
        <v>7</v>
      </c>
    </row>
    <row r="2409" spans="1:8" x14ac:dyDescent="0.2">
      <c r="A2409" t="s">
        <v>2618</v>
      </c>
      <c r="B2409" s="44">
        <v>36798</v>
      </c>
      <c r="C2409" t="s">
        <v>4</v>
      </c>
      <c r="D2409" t="s">
        <v>2619</v>
      </c>
      <c r="F2409"/>
      <c r="G2409"/>
      <c r="H2409">
        <v>7</v>
      </c>
    </row>
    <row r="2410" spans="1:8" x14ac:dyDescent="0.2">
      <c r="A2410" t="s">
        <v>2871</v>
      </c>
      <c r="B2410" s="44">
        <v>36846</v>
      </c>
      <c r="C2410" t="s">
        <v>4</v>
      </c>
      <c r="D2410" t="s">
        <v>3887</v>
      </c>
      <c r="F2410"/>
      <c r="G2410"/>
      <c r="H2410">
        <v>7</v>
      </c>
    </row>
    <row r="2411" spans="1:8" x14ac:dyDescent="0.2">
      <c r="A2411" t="s">
        <v>1546</v>
      </c>
      <c r="B2411" s="44">
        <v>36942</v>
      </c>
      <c r="C2411" t="s">
        <v>4</v>
      </c>
      <c r="D2411" t="s">
        <v>1547</v>
      </c>
      <c r="F2411"/>
      <c r="G2411"/>
      <c r="H2411">
        <v>7</v>
      </c>
    </row>
    <row r="2412" spans="1:8" x14ac:dyDescent="0.2">
      <c r="A2412" t="s">
        <v>1556</v>
      </c>
      <c r="B2412" s="44">
        <v>36943</v>
      </c>
      <c r="C2412" t="s">
        <v>5834</v>
      </c>
      <c r="D2412" t="s">
        <v>1557</v>
      </c>
      <c r="F2412"/>
      <c r="G2412"/>
      <c r="H2412">
        <v>7</v>
      </c>
    </row>
    <row r="2413" spans="1:8" x14ac:dyDescent="0.2">
      <c r="A2413" t="s">
        <v>1559</v>
      </c>
      <c r="B2413" s="44">
        <v>36943</v>
      </c>
      <c r="C2413" t="s">
        <v>5834</v>
      </c>
      <c r="D2413" t="s">
        <v>1560</v>
      </c>
      <c r="F2413"/>
      <c r="G2413"/>
      <c r="H2413">
        <v>7</v>
      </c>
    </row>
    <row r="2414" spans="1:8" x14ac:dyDescent="0.2">
      <c r="A2414" t="s">
        <v>1623</v>
      </c>
      <c r="B2414" s="44">
        <v>36948</v>
      </c>
      <c r="C2414" t="s">
        <v>4</v>
      </c>
      <c r="D2414" t="s">
        <v>1624</v>
      </c>
      <c r="F2414"/>
      <c r="G2414"/>
      <c r="H2414">
        <v>7</v>
      </c>
    </row>
    <row r="2415" spans="1:8" x14ac:dyDescent="0.2">
      <c r="A2415" t="s">
        <v>201</v>
      </c>
      <c r="B2415" s="44">
        <v>36957</v>
      </c>
      <c r="C2415" t="s">
        <v>4</v>
      </c>
      <c r="D2415" t="s">
        <v>202</v>
      </c>
      <c r="F2415"/>
      <c r="G2415"/>
      <c r="H2415">
        <v>7</v>
      </c>
    </row>
    <row r="2416" spans="1:8" x14ac:dyDescent="0.2">
      <c r="A2416" t="s">
        <v>263</v>
      </c>
      <c r="B2416" s="44">
        <v>37602</v>
      </c>
      <c r="C2416" t="s">
        <v>4</v>
      </c>
      <c r="D2416" t="s">
        <v>264</v>
      </c>
      <c r="F2416"/>
      <c r="G2416"/>
      <c r="H2416">
        <v>7</v>
      </c>
    </row>
    <row r="2417" spans="1:8" x14ac:dyDescent="0.2">
      <c r="A2417" t="s">
        <v>3074</v>
      </c>
      <c r="B2417" s="44">
        <v>37609</v>
      </c>
      <c r="C2417" t="s">
        <v>4</v>
      </c>
      <c r="D2417" t="s">
        <v>1409</v>
      </c>
      <c r="F2417"/>
      <c r="G2417"/>
      <c r="H2417">
        <v>7</v>
      </c>
    </row>
    <row r="2418" spans="1:8" x14ac:dyDescent="0.2">
      <c r="A2418" t="s">
        <v>3075</v>
      </c>
      <c r="B2418" s="44">
        <v>37609</v>
      </c>
      <c r="C2418" t="s">
        <v>4</v>
      </c>
      <c r="D2418" t="s">
        <v>3076</v>
      </c>
      <c r="F2418"/>
      <c r="G2418"/>
      <c r="H2418">
        <v>7</v>
      </c>
    </row>
    <row r="2419" spans="1:8" x14ac:dyDescent="0.2">
      <c r="A2419" t="s">
        <v>266</v>
      </c>
      <c r="B2419" s="44">
        <v>37623</v>
      </c>
      <c r="C2419" t="s">
        <v>4</v>
      </c>
      <c r="D2419" t="s">
        <v>267</v>
      </c>
      <c r="F2419"/>
      <c r="G2419"/>
      <c r="H2419">
        <v>7</v>
      </c>
    </row>
    <row r="2420" spans="1:8" x14ac:dyDescent="0.2">
      <c r="A2420" t="s">
        <v>303</v>
      </c>
      <c r="B2420" s="44">
        <v>37631</v>
      </c>
      <c r="C2420" t="s">
        <v>4</v>
      </c>
      <c r="D2420" t="s">
        <v>3147</v>
      </c>
      <c r="F2420"/>
      <c r="G2420"/>
      <c r="H2420">
        <v>7</v>
      </c>
    </row>
    <row r="2421" spans="1:8" x14ac:dyDescent="0.2">
      <c r="A2421" t="s">
        <v>1474</v>
      </c>
      <c r="B2421" s="44">
        <v>37650</v>
      </c>
      <c r="C2421" t="s">
        <v>4</v>
      </c>
      <c r="D2421" t="s">
        <v>1475</v>
      </c>
      <c r="F2421"/>
      <c r="G2421"/>
      <c r="H2421">
        <v>7</v>
      </c>
    </row>
    <row r="2422" spans="1:8" x14ac:dyDescent="0.2">
      <c r="A2422" t="s">
        <v>1972</v>
      </c>
      <c r="B2422" s="44">
        <v>37760</v>
      </c>
      <c r="C2422" t="s">
        <v>4</v>
      </c>
      <c r="D2422" t="s">
        <v>1973</v>
      </c>
      <c r="F2422"/>
      <c r="G2422"/>
      <c r="H2422">
        <v>7</v>
      </c>
    </row>
    <row r="2423" spans="1:8" x14ac:dyDescent="0.2">
      <c r="A2423" t="s">
        <v>2129</v>
      </c>
      <c r="B2423" s="44">
        <v>37789</v>
      </c>
      <c r="C2423" t="s">
        <v>4</v>
      </c>
      <c r="D2423" t="s">
        <v>2130</v>
      </c>
      <c r="F2423"/>
      <c r="G2423"/>
      <c r="H2423">
        <v>7</v>
      </c>
    </row>
    <row r="2424" spans="1:8" x14ac:dyDescent="0.2">
      <c r="A2424" t="s">
        <v>2127</v>
      </c>
      <c r="B2424" s="44">
        <v>37789</v>
      </c>
      <c r="C2424" t="s">
        <v>4</v>
      </c>
      <c r="D2424" t="s">
        <v>2128</v>
      </c>
      <c r="F2424"/>
      <c r="G2424"/>
      <c r="H2424">
        <v>7</v>
      </c>
    </row>
    <row r="2425" spans="1:8" x14ac:dyDescent="0.2">
      <c r="A2425" t="s">
        <v>2149</v>
      </c>
      <c r="B2425" s="44">
        <v>37790</v>
      </c>
      <c r="C2425" t="s">
        <v>4</v>
      </c>
      <c r="D2425" t="s">
        <v>2150</v>
      </c>
      <c r="F2425"/>
      <c r="G2425"/>
      <c r="H2425">
        <v>7</v>
      </c>
    </row>
    <row r="2426" spans="1:8" x14ac:dyDescent="0.2">
      <c r="A2426" t="s">
        <v>2147</v>
      </c>
      <c r="B2426" s="44">
        <v>37790</v>
      </c>
      <c r="C2426" t="s">
        <v>4</v>
      </c>
      <c r="D2426" t="s">
        <v>2148</v>
      </c>
      <c r="F2426"/>
      <c r="G2426"/>
      <c r="H2426">
        <v>7</v>
      </c>
    </row>
    <row r="2427" spans="1:8" x14ac:dyDescent="0.2">
      <c r="A2427" t="s">
        <v>2145</v>
      </c>
      <c r="B2427" s="44">
        <v>37790</v>
      </c>
      <c r="C2427" t="s">
        <v>4</v>
      </c>
      <c r="D2427" t="s">
        <v>2146</v>
      </c>
      <c r="F2427"/>
      <c r="G2427"/>
      <c r="H2427">
        <v>7</v>
      </c>
    </row>
    <row r="2428" spans="1:8" x14ac:dyDescent="0.2">
      <c r="A2428" t="s">
        <v>2143</v>
      </c>
      <c r="B2428" s="44">
        <v>37790</v>
      </c>
      <c r="C2428" t="s">
        <v>4</v>
      </c>
      <c r="D2428" t="s">
        <v>2144</v>
      </c>
      <c r="F2428"/>
      <c r="G2428"/>
      <c r="H2428">
        <v>7</v>
      </c>
    </row>
    <row r="2429" spans="1:8" x14ac:dyDescent="0.2">
      <c r="A2429" t="s">
        <v>2141</v>
      </c>
      <c r="B2429" s="44">
        <v>37790</v>
      </c>
      <c r="C2429" t="s">
        <v>4</v>
      </c>
      <c r="D2429" t="s">
        <v>2142</v>
      </c>
      <c r="F2429"/>
      <c r="G2429"/>
      <c r="H2429">
        <v>7</v>
      </c>
    </row>
    <row r="2430" spans="1:8" x14ac:dyDescent="0.2">
      <c r="A2430" t="s">
        <v>2221</v>
      </c>
      <c r="B2430" s="44">
        <v>37795</v>
      </c>
      <c r="C2430" t="s">
        <v>4</v>
      </c>
      <c r="D2430" t="s">
        <v>2222</v>
      </c>
      <c r="F2430"/>
      <c r="G2430"/>
      <c r="H2430">
        <v>7</v>
      </c>
    </row>
    <row r="2431" spans="1:8" x14ac:dyDescent="0.2">
      <c r="A2431" t="s">
        <v>2792</v>
      </c>
      <c r="B2431" s="44">
        <v>37921</v>
      </c>
      <c r="C2431" t="s">
        <v>4</v>
      </c>
      <c r="D2431" t="s">
        <v>2793</v>
      </c>
      <c r="F2431"/>
      <c r="G2431"/>
      <c r="H2431">
        <v>7</v>
      </c>
    </row>
    <row r="2432" spans="1:8" x14ac:dyDescent="0.2">
      <c r="A2432" t="s">
        <v>2886</v>
      </c>
      <c r="B2432" s="44">
        <v>37942</v>
      </c>
      <c r="C2432" t="s">
        <v>4</v>
      </c>
      <c r="D2432" t="s">
        <v>2887</v>
      </c>
      <c r="F2432"/>
      <c r="G2432"/>
      <c r="H2432">
        <v>7</v>
      </c>
    </row>
    <row r="2433" spans="1:8" x14ac:dyDescent="0.2">
      <c r="A2433" t="s">
        <v>276</v>
      </c>
      <c r="B2433" s="44">
        <v>37959</v>
      </c>
      <c r="C2433" t="s">
        <v>4</v>
      </c>
      <c r="D2433" t="s">
        <v>277</v>
      </c>
      <c r="F2433"/>
      <c r="G2433"/>
      <c r="H2433">
        <v>7</v>
      </c>
    </row>
    <row r="2434" spans="1:8" x14ac:dyDescent="0.2">
      <c r="A2434" t="s">
        <v>301</v>
      </c>
      <c r="B2434" s="44">
        <v>37964</v>
      </c>
      <c r="C2434" t="s">
        <v>4</v>
      </c>
      <c r="D2434" t="s">
        <v>302</v>
      </c>
      <c r="F2434"/>
      <c r="G2434"/>
      <c r="H2434">
        <v>7</v>
      </c>
    </row>
    <row r="2435" spans="1:8" x14ac:dyDescent="0.2">
      <c r="A2435" t="s">
        <v>309</v>
      </c>
      <c r="B2435" s="44">
        <v>37965</v>
      </c>
      <c r="C2435" t="s">
        <v>4</v>
      </c>
      <c r="D2435" t="s">
        <v>310</v>
      </c>
      <c r="F2435"/>
      <c r="G2435"/>
      <c r="H2435">
        <v>7</v>
      </c>
    </row>
    <row r="2436" spans="1:8" x14ac:dyDescent="0.2">
      <c r="A2436" t="s">
        <v>3044</v>
      </c>
      <c r="B2436" s="44">
        <v>37971</v>
      </c>
      <c r="C2436" t="s">
        <v>4</v>
      </c>
      <c r="D2436" t="s">
        <v>1409</v>
      </c>
      <c r="F2436"/>
      <c r="G2436"/>
      <c r="H2436">
        <v>7</v>
      </c>
    </row>
    <row r="2437" spans="1:8" x14ac:dyDescent="0.2">
      <c r="A2437" t="s">
        <v>3102</v>
      </c>
      <c r="B2437" s="44">
        <v>37986</v>
      </c>
      <c r="C2437" t="s">
        <v>4</v>
      </c>
      <c r="D2437" t="s">
        <v>3103</v>
      </c>
      <c r="F2437"/>
      <c r="G2437"/>
      <c r="H2437">
        <v>7</v>
      </c>
    </row>
    <row r="2438" spans="1:8" x14ac:dyDescent="0.2">
      <c r="A2438" t="s">
        <v>1378</v>
      </c>
      <c r="B2438" s="44">
        <v>38005</v>
      </c>
      <c r="C2438" t="s">
        <v>4</v>
      </c>
      <c r="D2438" t="s">
        <v>1379</v>
      </c>
      <c r="F2438"/>
      <c r="G2438"/>
      <c r="H2438">
        <v>7</v>
      </c>
    </row>
    <row r="2439" spans="1:8" x14ac:dyDescent="0.2">
      <c r="A2439" t="s">
        <v>1408</v>
      </c>
      <c r="B2439" s="44">
        <v>38008</v>
      </c>
      <c r="C2439" t="s">
        <v>4</v>
      </c>
      <c r="D2439" t="s">
        <v>1409</v>
      </c>
      <c r="F2439"/>
      <c r="G2439"/>
      <c r="H2439">
        <v>7</v>
      </c>
    </row>
    <row r="2440" spans="1:8" x14ac:dyDescent="0.2">
      <c r="A2440" t="s">
        <v>1521</v>
      </c>
      <c r="B2440" s="44">
        <v>38034</v>
      </c>
      <c r="C2440" t="s">
        <v>4</v>
      </c>
      <c r="D2440" t="s">
        <v>1409</v>
      </c>
      <c r="F2440"/>
      <c r="G2440"/>
      <c r="H2440">
        <v>7</v>
      </c>
    </row>
    <row r="2441" spans="1:8" x14ac:dyDescent="0.2">
      <c r="A2441" t="s">
        <v>1681</v>
      </c>
      <c r="B2441" s="44">
        <v>38062</v>
      </c>
      <c r="C2441" t="s">
        <v>4</v>
      </c>
      <c r="D2441" t="s">
        <v>1409</v>
      </c>
      <c r="F2441"/>
      <c r="G2441"/>
      <c r="H2441">
        <v>7</v>
      </c>
    </row>
    <row r="2442" spans="1:8" x14ac:dyDescent="0.2">
      <c r="A2442" t="s">
        <v>339</v>
      </c>
      <c r="B2442" s="44">
        <v>38084</v>
      </c>
      <c r="C2442" t="s">
        <v>4</v>
      </c>
      <c r="D2442" t="s">
        <v>342</v>
      </c>
      <c r="F2442"/>
      <c r="G2442"/>
      <c r="H2442">
        <v>7</v>
      </c>
    </row>
    <row r="2443" spans="1:8" x14ac:dyDescent="0.2">
      <c r="A2443" t="s">
        <v>339</v>
      </c>
      <c r="B2443" s="44">
        <v>38084</v>
      </c>
      <c r="C2443" t="s">
        <v>4</v>
      </c>
      <c r="D2443" t="s">
        <v>340</v>
      </c>
      <c r="F2443"/>
      <c r="G2443"/>
      <c r="H2443">
        <v>7</v>
      </c>
    </row>
    <row r="2444" spans="1:8" x14ac:dyDescent="0.2">
      <c r="A2444" t="s">
        <v>1851</v>
      </c>
      <c r="B2444" s="44">
        <v>38097</v>
      </c>
      <c r="C2444" t="s">
        <v>4</v>
      </c>
      <c r="D2444" t="s">
        <v>1409</v>
      </c>
      <c r="F2444"/>
      <c r="G2444"/>
      <c r="H2444">
        <v>7</v>
      </c>
    </row>
    <row r="2445" spans="1:8" x14ac:dyDescent="0.2">
      <c r="A2445" t="s">
        <v>1962</v>
      </c>
      <c r="B2445" s="44">
        <v>38125</v>
      </c>
      <c r="C2445" t="s">
        <v>4</v>
      </c>
      <c r="D2445" t="s">
        <v>1409</v>
      </c>
      <c r="F2445"/>
      <c r="G2445"/>
      <c r="H2445">
        <v>7</v>
      </c>
    </row>
    <row r="2446" spans="1:8" x14ac:dyDescent="0.2">
      <c r="A2446" t="s">
        <v>2107</v>
      </c>
      <c r="B2446" s="44">
        <v>38153</v>
      </c>
      <c r="C2446" t="s">
        <v>4</v>
      </c>
      <c r="D2446" t="s">
        <v>1409</v>
      </c>
      <c r="F2446"/>
      <c r="G2446"/>
      <c r="H2446">
        <v>7</v>
      </c>
    </row>
    <row r="2447" spans="1:8" x14ac:dyDescent="0.2">
      <c r="A2447" t="s">
        <v>2233</v>
      </c>
      <c r="B2447" s="44">
        <v>38162</v>
      </c>
      <c r="C2447" t="s">
        <v>4</v>
      </c>
      <c r="D2447" t="s">
        <v>2234</v>
      </c>
      <c r="F2447"/>
      <c r="G2447"/>
      <c r="H2447">
        <v>7</v>
      </c>
    </row>
    <row r="2448" spans="1:8" x14ac:dyDescent="0.2">
      <c r="A2448" t="s">
        <v>352</v>
      </c>
      <c r="B2448" s="44">
        <v>38239</v>
      </c>
      <c r="C2448" t="s">
        <v>4</v>
      </c>
      <c r="D2448" t="s">
        <v>3870</v>
      </c>
      <c r="F2448"/>
      <c r="G2448"/>
      <c r="H2448">
        <v>7</v>
      </c>
    </row>
    <row r="2449" spans="1:9" x14ac:dyDescent="0.2">
      <c r="A2449" t="s">
        <v>317</v>
      </c>
      <c r="B2449" s="44">
        <v>38323</v>
      </c>
      <c r="C2449" t="s">
        <v>4</v>
      </c>
      <c r="D2449" t="s">
        <v>318</v>
      </c>
      <c r="F2449"/>
      <c r="G2449"/>
      <c r="H2449">
        <v>7</v>
      </c>
    </row>
    <row r="2450" spans="1:9" x14ac:dyDescent="0.2">
      <c r="A2450" t="s">
        <v>1446</v>
      </c>
      <c r="B2450" s="44">
        <v>38377</v>
      </c>
      <c r="C2450" t="s">
        <v>4</v>
      </c>
      <c r="D2450" t="s">
        <v>1447</v>
      </c>
      <c r="F2450"/>
      <c r="G2450"/>
      <c r="H2450">
        <v>7</v>
      </c>
    </row>
    <row r="2451" spans="1:9" x14ac:dyDescent="0.2">
      <c r="A2451" t="s">
        <v>389</v>
      </c>
      <c r="B2451" s="44">
        <v>38511</v>
      </c>
      <c r="C2451" t="s">
        <v>4</v>
      </c>
      <c r="D2451" t="s">
        <v>390</v>
      </c>
      <c r="F2451"/>
      <c r="G2451"/>
      <c r="H2451">
        <v>7</v>
      </c>
    </row>
    <row r="2452" spans="1:9" x14ac:dyDescent="0.2">
      <c r="A2452" t="s">
        <v>400</v>
      </c>
      <c r="B2452" s="44">
        <v>38512</v>
      </c>
      <c r="C2452" t="s">
        <v>4</v>
      </c>
      <c r="D2452" t="s">
        <v>402</v>
      </c>
      <c r="H2452">
        <v>7</v>
      </c>
    </row>
    <row r="2453" spans="1:9" x14ac:dyDescent="0.2">
      <c r="A2453" t="s">
        <v>403</v>
      </c>
      <c r="B2453" s="44">
        <v>38512</v>
      </c>
      <c r="C2453" t="s">
        <v>4</v>
      </c>
      <c r="D2453" t="s">
        <v>404</v>
      </c>
      <c r="F2453"/>
      <c r="G2453"/>
      <c r="H2453">
        <v>7</v>
      </c>
    </row>
    <row r="2454" spans="1:9" x14ac:dyDescent="0.2">
      <c r="A2454" t="s">
        <v>2213</v>
      </c>
      <c r="B2454" s="44">
        <v>38525</v>
      </c>
      <c r="C2454" t="s">
        <v>4</v>
      </c>
      <c r="D2454" t="s">
        <v>2214</v>
      </c>
      <c r="F2454"/>
      <c r="G2454"/>
      <c r="H2454">
        <v>7</v>
      </c>
      <c r="I2454" t="s">
        <v>4492</v>
      </c>
    </row>
    <row r="2455" spans="1:9" x14ac:dyDescent="0.2">
      <c r="A2455" t="s">
        <v>2213</v>
      </c>
      <c r="B2455" s="44">
        <v>38525</v>
      </c>
      <c r="C2455" t="s">
        <v>912</v>
      </c>
      <c r="D2455" t="s">
        <v>2215</v>
      </c>
      <c r="F2455"/>
      <c r="G2455"/>
      <c r="H2455">
        <v>7</v>
      </c>
      <c r="I2455" t="s">
        <v>4492</v>
      </c>
    </row>
    <row r="2456" spans="1:9" x14ac:dyDescent="0.2">
      <c r="A2456" t="s">
        <v>370</v>
      </c>
      <c r="B2456" s="44">
        <v>38537</v>
      </c>
      <c r="C2456" t="s">
        <v>4</v>
      </c>
      <c r="D2456" t="s">
        <v>371</v>
      </c>
      <c r="F2456"/>
      <c r="G2456"/>
      <c r="H2456">
        <v>7</v>
      </c>
    </row>
    <row r="2457" spans="1:9" x14ac:dyDescent="0.2">
      <c r="A2457" t="s">
        <v>2366</v>
      </c>
      <c r="B2457" s="44">
        <v>38553</v>
      </c>
      <c r="C2457" t="s">
        <v>4</v>
      </c>
      <c r="D2457" t="s">
        <v>2367</v>
      </c>
      <c r="F2457"/>
      <c r="G2457"/>
      <c r="H2457">
        <v>7</v>
      </c>
    </row>
    <row r="2458" spans="1:9" x14ac:dyDescent="0.2">
      <c r="A2458" t="s">
        <v>378</v>
      </c>
      <c r="B2458" s="44">
        <v>38601</v>
      </c>
      <c r="C2458" t="s">
        <v>4</v>
      </c>
      <c r="D2458" t="s">
        <v>379</v>
      </c>
      <c r="F2458"/>
      <c r="G2458"/>
      <c r="H2458">
        <v>7</v>
      </c>
    </row>
    <row r="2459" spans="1:9" x14ac:dyDescent="0.2">
      <c r="A2459" t="s">
        <v>410</v>
      </c>
      <c r="B2459" s="44">
        <v>38666</v>
      </c>
      <c r="C2459" t="s">
        <v>4</v>
      </c>
      <c r="D2459" t="s">
        <v>411</v>
      </c>
      <c r="F2459"/>
      <c r="G2459"/>
      <c r="H2459">
        <v>7</v>
      </c>
    </row>
    <row r="2460" spans="1:9" x14ac:dyDescent="0.2">
      <c r="A2460" t="s">
        <v>448</v>
      </c>
      <c r="B2460" s="44">
        <v>38754</v>
      </c>
      <c r="C2460" t="s">
        <v>4</v>
      </c>
      <c r="D2460" t="s">
        <v>449</v>
      </c>
      <c r="F2460"/>
      <c r="G2460"/>
      <c r="H2460">
        <v>7</v>
      </c>
    </row>
    <row r="2461" spans="1:9" x14ac:dyDescent="0.2">
      <c r="A2461" t="s">
        <v>450</v>
      </c>
      <c r="B2461" s="44">
        <v>38754</v>
      </c>
      <c r="C2461" t="s">
        <v>5834</v>
      </c>
      <c r="D2461" t="s">
        <v>451</v>
      </c>
      <c r="F2461"/>
      <c r="G2461"/>
      <c r="H2461">
        <v>7</v>
      </c>
    </row>
    <row r="2462" spans="1:9" x14ac:dyDescent="0.2">
      <c r="A2462" t="s">
        <v>452</v>
      </c>
      <c r="B2462" s="44">
        <v>38754</v>
      </c>
      <c r="C2462" t="s">
        <v>4</v>
      </c>
      <c r="D2462" t="s">
        <v>453</v>
      </c>
      <c r="F2462"/>
      <c r="G2462"/>
      <c r="H2462">
        <v>7</v>
      </c>
    </row>
    <row r="2463" spans="1:9" x14ac:dyDescent="0.2">
      <c r="A2463" t="s">
        <v>432</v>
      </c>
      <c r="B2463" s="44">
        <v>38841</v>
      </c>
      <c r="C2463" t="s">
        <v>4</v>
      </c>
      <c r="D2463" t="s">
        <v>4441</v>
      </c>
      <c r="F2463"/>
      <c r="G2463"/>
      <c r="H2463">
        <v>7</v>
      </c>
    </row>
    <row r="2464" spans="1:9" x14ac:dyDescent="0.2">
      <c r="A2464" t="s">
        <v>434</v>
      </c>
      <c r="B2464" s="44">
        <v>38841</v>
      </c>
      <c r="C2464" t="s">
        <v>4</v>
      </c>
      <c r="D2464" t="s">
        <v>435</v>
      </c>
      <c r="H2464">
        <v>7</v>
      </c>
    </row>
    <row r="2465" spans="1:8" x14ac:dyDescent="0.2">
      <c r="A2465" t="s">
        <v>436</v>
      </c>
      <c r="B2465" s="44">
        <v>38841</v>
      </c>
      <c r="C2465" t="s">
        <v>4</v>
      </c>
      <c r="D2465" t="s">
        <v>437</v>
      </c>
      <c r="H2465">
        <v>7</v>
      </c>
    </row>
    <row r="2466" spans="1:8" x14ac:dyDescent="0.2">
      <c r="A2466" t="s">
        <v>438</v>
      </c>
      <c r="B2466" s="44">
        <v>38841</v>
      </c>
      <c r="C2466" t="s">
        <v>4</v>
      </c>
      <c r="D2466" t="s">
        <v>439</v>
      </c>
      <c r="H2466">
        <v>7</v>
      </c>
    </row>
    <row r="2467" spans="1:8" x14ac:dyDescent="0.2">
      <c r="A2467" t="s">
        <v>440</v>
      </c>
      <c r="B2467" s="44">
        <v>38841</v>
      </c>
      <c r="C2467" t="s">
        <v>4</v>
      </c>
      <c r="D2467" t="s">
        <v>441</v>
      </c>
      <c r="F2467"/>
      <c r="G2467"/>
      <c r="H2467">
        <v>7</v>
      </c>
    </row>
    <row r="2468" spans="1:8" x14ac:dyDescent="0.2">
      <c r="A2468" t="s">
        <v>484</v>
      </c>
      <c r="B2468" s="44">
        <v>38847</v>
      </c>
      <c r="C2468" t="s">
        <v>4</v>
      </c>
      <c r="D2468" t="s">
        <v>4442</v>
      </c>
      <c r="F2468"/>
      <c r="G2468"/>
      <c r="H2468">
        <v>7</v>
      </c>
    </row>
    <row r="2469" spans="1:8" x14ac:dyDescent="0.2">
      <c r="A2469" t="s">
        <v>488</v>
      </c>
      <c r="B2469" s="44">
        <v>38848</v>
      </c>
      <c r="C2469" t="s">
        <v>4</v>
      </c>
      <c r="D2469" t="s">
        <v>489</v>
      </c>
      <c r="H2469">
        <v>7</v>
      </c>
    </row>
    <row r="2470" spans="1:8" x14ac:dyDescent="0.2">
      <c r="A2470" t="s">
        <v>1953</v>
      </c>
      <c r="B2470" s="44">
        <v>38854</v>
      </c>
      <c r="C2470" t="s">
        <v>4</v>
      </c>
      <c r="D2470" t="s">
        <v>3871</v>
      </c>
      <c r="F2470"/>
      <c r="G2470"/>
      <c r="H2470">
        <v>7</v>
      </c>
    </row>
    <row r="2471" spans="1:8" x14ac:dyDescent="0.2">
      <c r="A2471" t="s">
        <v>417</v>
      </c>
      <c r="B2471" s="44">
        <v>38869</v>
      </c>
      <c r="C2471" t="s">
        <v>4</v>
      </c>
      <c r="D2471" t="s">
        <v>418</v>
      </c>
      <c r="F2471"/>
      <c r="G2471"/>
      <c r="H2471">
        <v>7</v>
      </c>
    </row>
    <row r="2472" spans="1:8" x14ac:dyDescent="0.2">
      <c r="A2472" t="s">
        <v>2197</v>
      </c>
      <c r="B2472" s="44">
        <v>38889</v>
      </c>
      <c r="C2472" t="s">
        <v>4</v>
      </c>
      <c r="D2472" t="s">
        <v>2198</v>
      </c>
      <c r="H2472">
        <v>7</v>
      </c>
    </row>
    <row r="2473" spans="1:8" x14ac:dyDescent="0.2">
      <c r="A2473" t="s">
        <v>2249</v>
      </c>
      <c r="B2473" s="44">
        <v>38894</v>
      </c>
      <c r="C2473" t="s">
        <v>4</v>
      </c>
      <c r="D2473" t="s">
        <v>2250</v>
      </c>
      <c r="F2473"/>
      <c r="G2473"/>
      <c r="H2473">
        <v>7</v>
      </c>
    </row>
    <row r="2474" spans="1:8" x14ac:dyDescent="0.2">
      <c r="A2474" t="s">
        <v>2349</v>
      </c>
      <c r="B2474" s="44">
        <v>38916</v>
      </c>
      <c r="C2474" t="s">
        <v>4</v>
      </c>
      <c r="D2474" t="s">
        <v>2350</v>
      </c>
      <c r="F2474"/>
      <c r="G2474"/>
      <c r="H2474">
        <v>7</v>
      </c>
    </row>
    <row r="2475" spans="1:8" x14ac:dyDescent="0.2">
      <c r="A2475" t="s">
        <v>2360</v>
      </c>
      <c r="B2475" s="44">
        <v>38917</v>
      </c>
      <c r="C2475" t="s">
        <v>4</v>
      </c>
      <c r="D2475" t="s">
        <v>3911</v>
      </c>
      <c r="F2475"/>
      <c r="G2475"/>
      <c r="H2475">
        <v>7</v>
      </c>
    </row>
    <row r="2476" spans="1:8" x14ac:dyDescent="0.2">
      <c r="A2476" t="s">
        <v>424</v>
      </c>
      <c r="B2476" s="44">
        <v>38932</v>
      </c>
      <c r="C2476" t="s">
        <v>5834</v>
      </c>
      <c r="D2476" t="s">
        <v>425</v>
      </c>
      <c r="F2476"/>
      <c r="G2476"/>
      <c r="H2476">
        <v>7</v>
      </c>
    </row>
    <row r="2477" spans="1:8" x14ac:dyDescent="0.2">
      <c r="A2477" t="s">
        <v>426</v>
      </c>
      <c r="B2477" s="44">
        <v>38932</v>
      </c>
      <c r="C2477" t="s">
        <v>4</v>
      </c>
      <c r="D2477" t="s">
        <v>4443</v>
      </c>
      <c r="H2477">
        <v>7</v>
      </c>
    </row>
    <row r="2478" spans="1:8" x14ac:dyDescent="0.2">
      <c r="A2478" t="s">
        <v>428</v>
      </c>
      <c r="B2478" s="44">
        <v>38932</v>
      </c>
      <c r="C2478" t="s">
        <v>4</v>
      </c>
      <c r="D2478" t="s">
        <v>429</v>
      </c>
      <c r="H2478">
        <v>7</v>
      </c>
    </row>
    <row r="2479" spans="1:8" x14ac:dyDescent="0.2">
      <c r="A2479" t="s">
        <v>430</v>
      </c>
      <c r="B2479" s="44">
        <v>38932</v>
      </c>
      <c r="C2479" t="s">
        <v>4</v>
      </c>
      <c r="D2479" t="s">
        <v>431</v>
      </c>
      <c r="H2479">
        <v>7</v>
      </c>
    </row>
    <row r="2480" spans="1:8" x14ac:dyDescent="0.2">
      <c r="A2480" t="s">
        <v>469</v>
      </c>
      <c r="B2480" s="44">
        <v>38937</v>
      </c>
      <c r="C2480" t="s">
        <v>4</v>
      </c>
      <c r="D2480" t="s">
        <v>470</v>
      </c>
      <c r="F2480"/>
      <c r="G2480"/>
      <c r="H2480">
        <v>7</v>
      </c>
    </row>
    <row r="2481" spans="1:8" x14ac:dyDescent="0.2">
      <c r="A2481" t="s">
        <v>471</v>
      </c>
      <c r="B2481" s="44">
        <v>38937</v>
      </c>
      <c r="C2481" t="s">
        <v>4</v>
      </c>
      <c r="D2481" t="s">
        <v>472</v>
      </c>
      <c r="F2481"/>
      <c r="G2481"/>
      <c r="H2481">
        <v>7</v>
      </c>
    </row>
    <row r="2482" spans="1:8" x14ac:dyDescent="0.2">
      <c r="A2482" t="s">
        <v>480</v>
      </c>
      <c r="B2482" s="44">
        <v>38938</v>
      </c>
      <c r="C2482" t="s">
        <v>4</v>
      </c>
      <c r="D2482" t="s">
        <v>3913</v>
      </c>
      <c r="F2482"/>
      <c r="G2482"/>
      <c r="H2482">
        <v>7</v>
      </c>
    </row>
    <row r="2483" spans="1:8" x14ac:dyDescent="0.2">
      <c r="A2483" t="s">
        <v>478</v>
      </c>
      <c r="B2483" s="44">
        <v>38938</v>
      </c>
      <c r="C2483" t="s">
        <v>4</v>
      </c>
      <c r="D2483" t="s">
        <v>479</v>
      </c>
      <c r="H2483">
        <v>7</v>
      </c>
    </row>
    <row r="2484" spans="1:8" x14ac:dyDescent="0.2">
      <c r="A2484" t="s">
        <v>2424</v>
      </c>
      <c r="B2484" s="44">
        <v>38945</v>
      </c>
      <c r="C2484" t="s">
        <v>4</v>
      </c>
      <c r="D2484" t="s">
        <v>3914</v>
      </c>
      <c r="F2484"/>
      <c r="G2484"/>
      <c r="H2484">
        <v>7</v>
      </c>
    </row>
    <row r="2485" spans="1:8" x14ac:dyDescent="0.2">
      <c r="A2485" t="s">
        <v>459</v>
      </c>
      <c r="B2485" s="44">
        <v>38967</v>
      </c>
      <c r="C2485" t="s">
        <v>4</v>
      </c>
      <c r="D2485" t="s">
        <v>4444</v>
      </c>
      <c r="F2485"/>
      <c r="G2485"/>
      <c r="H2485">
        <v>7</v>
      </c>
    </row>
    <row r="2486" spans="1:8" x14ac:dyDescent="0.2">
      <c r="A2486" t="s">
        <v>460</v>
      </c>
      <c r="B2486" s="44">
        <v>38967</v>
      </c>
      <c r="C2486" t="s">
        <v>4</v>
      </c>
      <c r="D2486" t="s">
        <v>4445</v>
      </c>
      <c r="H2486">
        <v>7</v>
      </c>
    </row>
    <row r="2487" spans="1:8" x14ac:dyDescent="0.2">
      <c r="A2487" t="s">
        <v>2525</v>
      </c>
      <c r="B2487" s="44">
        <v>38979</v>
      </c>
      <c r="C2487" t="s">
        <v>4</v>
      </c>
      <c r="D2487" t="s">
        <v>3916</v>
      </c>
      <c r="F2487"/>
      <c r="G2487"/>
      <c r="H2487">
        <v>7</v>
      </c>
    </row>
    <row r="2488" spans="1:8" x14ac:dyDescent="0.2">
      <c r="A2488" t="s">
        <v>445</v>
      </c>
      <c r="B2488" s="44">
        <v>38995</v>
      </c>
      <c r="C2488" t="s">
        <v>4</v>
      </c>
      <c r="D2488" t="s">
        <v>4446</v>
      </c>
      <c r="F2488"/>
      <c r="G2488"/>
      <c r="H2488">
        <v>7</v>
      </c>
    </row>
    <row r="2489" spans="1:8" x14ac:dyDescent="0.2">
      <c r="A2489" t="s">
        <v>446</v>
      </c>
      <c r="B2489" s="44">
        <v>38995</v>
      </c>
      <c r="C2489" t="s">
        <v>4</v>
      </c>
      <c r="D2489" t="s">
        <v>3872</v>
      </c>
      <c r="F2489"/>
      <c r="G2489"/>
      <c r="H2489">
        <v>7</v>
      </c>
    </row>
    <row r="2490" spans="1:8" x14ac:dyDescent="0.2">
      <c r="A2490" t="s">
        <v>490</v>
      </c>
      <c r="B2490" s="44">
        <v>39001</v>
      </c>
      <c r="C2490" t="s">
        <v>4</v>
      </c>
      <c r="D2490" t="s">
        <v>491</v>
      </c>
      <c r="F2490"/>
      <c r="G2490"/>
      <c r="H2490">
        <v>7</v>
      </c>
    </row>
    <row r="2491" spans="1:8" x14ac:dyDescent="0.2">
      <c r="A2491" t="s">
        <v>2692</v>
      </c>
      <c r="B2491" s="44">
        <v>39008</v>
      </c>
      <c r="C2491" t="s">
        <v>4</v>
      </c>
      <c r="D2491" t="s">
        <v>3873</v>
      </c>
      <c r="F2491"/>
      <c r="G2491"/>
      <c r="H2491">
        <v>7</v>
      </c>
    </row>
    <row r="2492" spans="1:8" x14ac:dyDescent="0.2">
      <c r="A2492" t="s">
        <v>2828</v>
      </c>
      <c r="B2492" s="44">
        <v>39021</v>
      </c>
      <c r="C2492" t="s">
        <v>4</v>
      </c>
      <c r="D2492" t="s">
        <v>2829</v>
      </c>
      <c r="F2492"/>
      <c r="G2492"/>
      <c r="H2492">
        <v>7</v>
      </c>
    </row>
    <row r="2493" spans="1:8" x14ac:dyDescent="0.2">
      <c r="A2493" t="s">
        <v>3083</v>
      </c>
      <c r="B2493" s="44">
        <v>39071</v>
      </c>
      <c r="C2493" t="s">
        <v>4</v>
      </c>
      <c r="D2493" t="s">
        <v>3873</v>
      </c>
      <c r="F2493"/>
      <c r="G2493"/>
      <c r="H2493">
        <v>7</v>
      </c>
    </row>
    <row r="2494" spans="1:8" x14ac:dyDescent="0.2">
      <c r="A2494" t="s">
        <v>581</v>
      </c>
      <c r="B2494" s="44">
        <v>39093</v>
      </c>
      <c r="C2494" t="s">
        <v>4</v>
      </c>
      <c r="D2494" t="s">
        <v>4447</v>
      </c>
      <c r="H2494">
        <v>7</v>
      </c>
    </row>
    <row r="2495" spans="1:8" x14ac:dyDescent="0.2">
      <c r="A2495" t="s">
        <v>1449</v>
      </c>
      <c r="B2495" s="44">
        <v>39107</v>
      </c>
      <c r="C2495" t="s">
        <v>3042</v>
      </c>
      <c r="D2495" t="s">
        <v>1450</v>
      </c>
      <c r="F2495"/>
      <c r="G2495"/>
      <c r="H2495">
        <v>7</v>
      </c>
    </row>
    <row r="2496" spans="1:8" x14ac:dyDescent="0.2">
      <c r="A2496" t="s">
        <v>553</v>
      </c>
      <c r="B2496" s="44">
        <v>39120</v>
      </c>
      <c r="C2496" t="s">
        <v>4</v>
      </c>
      <c r="D2496" t="s">
        <v>3873</v>
      </c>
      <c r="F2496"/>
      <c r="G2496"/>
      <c r="H2496">
        <v>7</v>
      </c>
    </row>
    <row r="2497" spans="1:8" x14ac:dyDescent="0.2">
      <c r="A2497" t="s">
        <v>559</v>
      </c>
      <c r="B2497" s="44">
        <v>39121</v>
      </c>
      <c r="C2497" t="s">
        <v>4</v>
      </c>
      <c r="D2497" t="s">
        <v>4448</v>
      </c>
      <c r="F2497"/>
      <c r="G2497"/>
      <c r="H2497">
        <v>7</v>
      </c>
    </row>
    <row r="2498" spans="1:8" x14ac:dyDescent="0.2">
      <c r="A2498" t="s">
        <v>559</v>
      </c>
      <c r="B2498" s="44">
        <v>39121</v>
      </c>
      <c r="C2498" t="s">
        <v>4</v>
      </c>
      <c r="D2498" t="s">
        <v>4449</v>
      </c>
      <c r="F2498"/>
      <c r="G2498"/>
      <c r="H2498">
        <v>7</v>
      </c>
    </row>
    <row r="2499" spans="1:8" x14ac:dyDescent="0.2">
      <c r="A2499" t="s">
        <v>1503</v>
      </c>
      <c r="B2499" s="44">
        <v>39127</v>
      </c>
      <c r="C2499" t="s">
        <v>4</v>
      </c>
      <c r="D2499" t="s">
        <v>4450</v>
      </c>
      <c r="F2499"/>
      <c r="G2499"/>
      <c r="H2499">
        <v>7</v>
      </c>
    </row>
    <row r="2500" spans="1:8" x14ac:dyDescent="0.2">
      <c r="A2500" t="s">
        <v>1562</v>
      </c>
      <c r="B2500" s="44">
        <v>39134</v>
      </c>
      <c r="C2500" t="s">
        <v>4</v>
      </c>
      <c r="D2500" t="s">
        <v>3873</v>
      </c>
      <c r="F2500"/>
      <c r="G2500"/>
      <c r="H2500">
        <v>7</v>
      </c>
    </row>
    <row r="2501" spans="1:8" x14ac:dyDescent="0.2">
      <c r="A2501" t="s">
        <v>561</v>
      </c>
      <c r="B2501" s="44">
        <v>39149</v>
      </c>
      <c r="C2501" t="s">
        <v>4</v>
      </c>
      <c r="D2501" t="s">
        <v>3874</v>
      </c>
      <c r="F2501"/>
      <c r="G2501"/>
      <c r="H2501">
        <v>7</v>
      </c>
    </row>
    <row r="2502" spans="1:8" x14ac:dyDescent="0.2">
      <c r="A2502" t="s">
        <v>563</v>
      </c>
      <c r="B2502" s="44">
        <v>39149</v>
      </c>
      <c r="C2502" t="s">
        <v>5834</v>
      </c>
      <c r="D2502" t="s">
        <v>4451</v>
      </c>
      <c r="F2502"/>
      <c r="G2502"/>
      <c r="H2502">
        <v>7</v>
      </c>
    </row>
    <row r="2503" spans="1:8" x14ac:dyDescent="0.2">
      <c r="A2503" t="s">
        <v>1726</v>
      </c>
      <c r="B2503" s="44">
        <v>39162</v>
      </c>
      <c r="C2503" t="s">
        <v>4</v>
      </c>
      <c r="D2503" t="s">
        <v>4452</v>
      </c>
      <c r="F2503"/>
      <c r="G2503"/>
      <c r="H2503">
        <v>7</v>
      </c>
    </row>
    <row r="2504" spans="1:8" x14ac:dyDescent="0.2">
      <c r="A2504" t="s">
        <v>521</v>
      </c>
      <c r="B2504" s="44">
        <v>39177</v>
      </c>
      <c r="C2504" t="s">
        <v>4</v>
      </c>
      <c r="D2504" t="s">
        <v>4452</v>
      </c>
      <c r="F2504"/>
      <c r="G2504"/>
      <c r="H2504">
        <v>7</v>
      </c>
    </row>
    <row r="2505" spans="1:8" x14ac:dyDescent="0.2">
      <c r="A2505" t="s">
        <v>564</v>
      </c>
      <c r="B2505" s="44">
        <v>39210</v>
      </c>
      <c r="C2505" t="s">
        <v>4</v>
      </c>
      <c r="D2505" t="s">
        <v>3875</v>
      </c>
      <c r="H2505">
        <v>7</v>
      </c>
    </row>
    <row r="2506" spans="1:8" x14ac:dyDescent="0.2">
      <c r="A2506" t="s">
        <v>574</v>
      </c>
      <c r="B2506" s="44">
        <v>39212</v>
      </c>
      <c r="C2506" t="s">
        <v>4</v>
      </c>
      <c r="D2506" t="s">
        <v>556</v>
      </c>
      <c r="F2506"/>
      <c r="G2506"/>
      <c r="H2506">
        <v>7</v>
      </c>
    </row>
    <row r="2507" spans="1:8" x14ac:dyDescent="0.2">
      <c r="A2507" t="s">
        <v>575</v>
      </c>
      <c r="B2507" s="44">
        <v>39212</v>
      </c>
      <c r="C2507" t="s">
        <v>4</v>
      </c>
      <c r="D2507" t="s">
        <v>3876</v>
      </c>
      <c r="F2507"/>
      <c r="G2507"/>
      <c r="H2507">
        <v>7</v>
      </c>
    </row>
    <row r="2508" spans="1:8" x14ac:dyDescent="0.2">
      <c r="A2508" t="s">
        <v>576</v>
      </c>
      <c r="B2508" s="44">
        <v>39212</v>
      </c>
      <c r="C2508" t="s">
        <v>4</v>
      </c>
      <c r="D2508" t="s">
        <v>577</v>
      </c>
      <c r="F2508"/>
      <c r="G2508"/>
      <c r="H2508">
        <v>7</v>
      </c>
    </row>
    <row r="2509" spans="1:8" x14ac:dyDescent="0.2">
      <c r="A2509" t="s">
        <v>1945</v>
      </c>
      <c r="B2509" s="44">
        <v>39218</v>
      </c>
      <c r="C2509" t="s">
        <v>4</v>
      </c>
      <c r="D2509" t="s">
        <v>509</v>
      </c>
      <c r="F2509"/>
      <c r="G2509"/>
      <c r="H2509">
        <v>7</v>
      </c>
    </row>
    <row r="2510" spans="1:8" x14ac:dyDescent="0.2">
      <c r="A2510" t="s">
        <v>2030</v>
      </c>
      <c r="B2510" s="44">
        <v>39225</v>
      </c>
      <c r="C2510" t="s">
        <v>4</v>
      </c>
      <c r="D2510" t="s">
        <v>4453</v>
      </c>
      <c r="F2510"/>
      <c r="G2510"/>
      <c r="H2510">
        <v>7</v>
      </c>
    </row>
    <row r="2511" spans="1:8" x14ac:dyDescent="0.2">
      <c r="A2511" t="s">
        <v>2070</v>
      </c>
      <c r="B2511" s="44">
        <v>39231</v>
      </c>
      <c r="C2511" t="s">
        <v>4</v>
      </c>
      <c r="D2511" t="s">
        <v>4452</v>
      </c>
      <c r="F2511"/>
      <c r="G2511"/>
      <c r="H2511">
        <v>7</v>
      </c>
    </row>
    <row r="2512" spans="1:8" x14ac:dyDescent="0.2">
      <c r="A2512" t="s">
        <v>555</v>
      </c>
      <c r="B2512" s="44">
        <v>39240</v>
      </c>
      <c r="C2512" t="s">
        <v>4</v>
      </c>
      <c r="D2512" t="s">
        <v>556</v>
      </c>
      <c r="F2512"/>
      <c r="G2512"/>
      <c r="H2512">
        <v>7</v>
      </c>
    </row>
    <row r="2513" spans="1:8" x14ac:dyDescent="0.2">
      <c r="A2513" t="s">
        <v>585</v>
      </c>
      <c r="B2513" s="44">
        <v>39245</v>
      </c>
      <c r="C2513" t="s">
        <v>4</v>
      </c>
      <c r="D2513" t="s">
        <v>556</v>
      </c>
      <c r="F2513"/>
      <c r="G2513"/>
      <c r="H2513">
        <v>7</v>
      </c>
    </row>
    <row r="2514" spans="1:8" x14ac:dyDescent="0.2">
      <c r="A2514" t="s">
        <v>2098</v>
      </c>
      <c r="B2514" s="44">
        <v>39247</v>
      </c>
      <c r="C2514" t="s">
        <v>4</v>
      </c>
      <c r="D2514" t="s">
        <v>2099</v>
      </c>
      <c r="H2514">
        <v>7</v>
      </c>
    </row>
    <row r="2515" spans="1:8" x14ac:dyDescent="0.2">
      <c r="A2515" t="s">
        <v>2179</v>
      </c>
      <c r="B2515" s="44">
        <v>39253</v>
      </c>
      <c r="C2515" t="s">
        <v>4</v>
      </c>
      <c r="D2515" t="s">
        <v>2180</v>
      </c>
      <c r="F2515"/>
      <c r="G2515"/>
      <c r="H2515">
        <v>7</v>
      </c>
    </row>
    <row r="2516" spans="1:8" x14ac:dyDescent="0.2">
      <c r="A2516" t="s">
        <v>2181</v>
      </c>
      <c r="B2516" s="44">
        <v>39253</v>
      </c>
      <c r="C2516" t="s">
        <v>4</v>
      </c>
      <c r="D2516" t="s">
        <v>4452</v>
      </c>
      <c r="F2516"/>
      <c r="G2516"/>
      <c r="H2516">
        <v>7</v>
      </c>
    </row>
    <row r="2517" spans="1:8" x14ac:dyDescent="0.2">
      <c r="A2517" t="s">
        <v>2183</v>
      </c>
      <c r="B2517" s="44">
        <v>39253</v>
      </c>
      <c r="C2517" t="s">
        <v>4</v>
      </c>
      <c r="D2517" t="s">
        <v>527</v>
      </c>
      <c r="F2517"/>
      <c r="G2517"/>
      <c r="H2517">
        <v>7</v>
      </c>
    </row>
    <row r="2518" spans="1:8" x14ac:dyDescent="0.2">
      <c r="A2518" t="s">
        <v>523</v>
      </c>
      <c r="B2518" s="44">
        <v>39268</v>
      </c>
      <c r="C2518" t="s">
        <v>4</v>
      </c>
      <c r="D2518" t="s">
        <v>4452</v>
      </c>
      <c r="F2518"/>
      <c r="G2518"/>
      <c r="H2518">
        <v>7</v>
      </c>
    </row>
    <row r="2519" spans="1:8" x14ac:dyDescent="0.2">
      <c r="A2519" t="s">
        <v>2351</v>
      </c>
      <c r="B2519" s="44">
        <v>39281</v>
      </c>
      <c r="C2519" t="s">
        <v>4</v>
      </c>
      <c r="D2519" t="s">
        <v>4453</v>
      </c>
      <c r="F2519"/>
      <c r="G2519"/>
      <c r="H2519">
        <v>7</v>
      </c>
    </row>
    <row r="2520" spans="1:8" x14ac:dyDescent="0.2">
      <c r="A2520" t="s">
        <v>2369</v>
      </c>
      <c r="B2520" s="44">
        <v>39283</v>
      </c>
      <c r="C2520" t="s">
        <v>4</v>
      </c>
      <c r="D2520" t="s">
        <v>509</v>
      </c>
      <c r="F2520"/>
      <c r="G2520"/>
      <c r="H2520">
        <v>7</v>
      </c>
    </row>
    <row r="2521" spans="1:8" x14ac:dyDescent="0.2">
      <c r="A2521" t="s">
        <v>2412</v>
      </c>
      <c r="B2521" s="44">
        <v>39294</v>
      </c>
      <c r="C2521" t="s">
        <v>4</v>
      </c>
      <c r="D2521" t="s">
        <v>4453</v>
      </c>
      <c r="F2521"/>
      <c r="G2521"/>
      <c r="H2521">
        <v>7</v>
      </c>
    </row>
    <row r="2522" spans="1:8" x14ac:dyDescent="0.2">
      <c r="A2522" t="s">
        <v>533</v>
      </c>
      <c r="B2522" s="44">
        <v>39300</v>
      </c>
      <c r="C2522" t="s">
        <v>4</v>
      </c>
      <c r="D2522" t="s">
        <v>4452</v>
      </c>
      <c r="F2522"/>
      <c r="G2522"/>
      <c r="H2522">
        <v>7</v>
      </c>
    </row>
    <row r="2523" spans="1:8" x14ac:dyDescent="0.2">
      <c r="A2523" t="s">
        <v>2442</v>
      </c>
      <c r="B2523" s="44">
        <v>39317</v>
      </c>
      <c r="C2523" t="s">
        <v>4</v>
      </c>
      <c r="D2523" t="s">
        <v>2443</v>
      </c>
      <c r="F2523"/>
      <c r="G2523"/>
      <c r="H2523">
        <v>7</v>
      </c>
    </row>
    <row r="2524" spans="1:8" x14ac:dyDescent="0.2">
      <c r="A2524" t="s">
        <v>526</v>
      </c>
      <c r="B2524" s="44">
        <v>39330</v>
      </c>
      <c r="C2524" t="s">
        <v>4</v>
      </c>
      <c r="D2524" t="s">
        <v>527</v>
      </c>
      <c r="F2524"/>
      <c r="G2524"/>
      <c r="H2524">
        <v>7</v>
      </c>
    </row>
    <row r="2525" spans="1:8" x14ac:dyDescent="0.2">
      <c r="A2525" t="s">
        <v>544</v>
      </c>
      <c r="B2525" s="44">
        <v>39331</v>
      </c>
      <c r="C2525" t="s">
        <v>4</v>
      </c>
      <c r="D2525" t="s">
        <v>545</v>
      </c>
      <c r="F2525"/>
      <c r="G2525"/>
      <c r="H2525">
        <v>7</v>
      </c>
    </row>
    <row r="2526" spans="1:8" x14ac:dyDescent="0.2">
      <c r="A2526" t="s">
        <v>546</v>
      </c>
      <c r="B2526" s="44">
        <v>39331</v>
      </c>
      <c r="C2526" t="s">
        <v>4</v>
      </c>
      <c r="D2526" t="s">
        <v>547</v>
      </c>
      <c r="F2526"/>
      <c r="G2526"/>
      <c r="H2526">
        <v>7</v>
      </c>
    </row>
    <row r="2527" spans="1:8" x14ac:dyDescent="0.2">
      <c r="A2527" t="s">
        <v>534</v>
      </c>
      <c r="B2527" s="44">
        <v>39331</v>
      </c>
      <c r="C2527" t="s">
        <v>4</v>
      </c>
      <c r="D2527" t="s">
        <v>535</v>
      </c>
      <c r="F2527"/>
      <c r="G2527"/>
      <c r="H2527">
        <v>7</v>
      </c>
    </row>
    <row r="2528" spans="1:8" x14ac:dyDescent="0.2">
      <c r="A2528" t="s">
        <v>536</v>
      </c>
      <c r="B2528" s="44">
        <v>39331</v>
      </c>
      <c r="C2528" t="s">
        <v>4</v>
      </c>
      <c r="D2528" t="s">
        <v>4454</v>
      </c>
      <c r="F2528"/>
      <c r="G2528"/>
      <c r="H2528">
        <v>7</v>
      </c>
    </row>
    <row r="2529" spans="1:8" x14ac:dyDescent="0.2">
      <c r="A2529" t="s">
        <v>537</v>
      </c>
      <c r="B2529" s="44">
        <v>39331</v>
      </c>
      <c r="C2529" t="s">
        <v>4</v>
      </c>
      <c r="D2529" t="s">
        <v>538</v>
      </c>
      <c r="F2529"/>
      <c r="G2529"/>
      <c r="H2529">
        <v>7</v>
      </c>
    </row>
    <row r="2530" spans="1:8" x14ac:dyDescent="0.2">
      <c r="A2530" t="s">
        <v>539</v>
      </c>
      <c r="B2530" s="44">
        <v>39331</v>
      </c>
      <c r="C2530" t="s">
        <v>4</v>
      </c>
      <c r="D2530" t="s">
        <v>538</v>
      </c>
      <c r="F2530"/>
      <c r="G2530"/>
      <c r="H2530">
        <v>7</v>
      </c>
    </row>
    <row r="2531" spans="1:8" x14ac:dyDescent="0.2">
      <c r="A2531" t="s">
        <v>540</v>
      </c>
      <c r="B2531" s="44">
        <v>39331</v>
      </c>
      <c r="C2531" t="s">
        <v>4</v>
      </c>
      <c r="D2531" t="s">
        <v>541</v>
      </c>
      <c r="F2531"/>
      <c r="G2531"/>
      <c r="H2531">
        <v>7</v>
      </c>
    </row>
    <row r="2532" spans="1:8" x14ac:dyDescent="0.2">
      <c r="A2532" t="s">
        <v>542</v>
      </c>
      <c r="B2532" s="44">
        <v>39331</v>
      </c>
      <c r="C2532" t="s">
        <v>4</v>
      </c>
      <c r="D2532" t="s">
        <v>3877</v>
      </c>
      <c r="F2532"/>
      <c r="G2532"/>
      <c r="H2532">
        <v>7</v>
      </c>
    </row>
    <row r="2533" spans="1:8" x14ac:dyDescent="0.2">
      <c r="A2533" t="s">
        <v>543</v>
      </c>
      <c r="B2533" s="44">
        <v>39331</v>
      </c>
      <c r="C2533" t="s">
        <v>4</v>
      </c>
      <c r="D2533" t="s">
        <v>3878</v>
      </c>
      <c r="H2533">
        <v>7</v>
      </c>
    </row>
    <row r="2534" spans="1:8" x14ac:dyDescent="0.2">
      <c r="A2534" t="s">
        <v>583</v>
      </c>
      <c r="B2534" s="44">
        <v>39336</v>
      </c>
      <c r="C2534" t="s">
        <v>4</v>
      </c>
      <c r="D2534" t="s">
        <v>535</v>
      </c>
      <c r="F2534"/>
      <c r="G2534"/>
      <c r="H2534">
        <v>7</v>
      </c>
    </row>
    <row r="2535" spans="1:8" x14ac:dyDescent="0.2">
      <c r="A2535" t="s">
        <v>2480</v>
      </c>
      <c r="B2535" s="44">
        <v>39339</v>
      </c>
      <c r="C2535" t="s">
        <v>4</v>
      </c>
      <c r="D2535" t="s">
        <v>3659</v>
      </c>
      <c r="F2535"/>
      <c r="G2535"/>
      <c r="H2535">
        <v>7</v>
      </c>
    </row>
    <row r="2536" spans="1:8" x14ac:dyDescent="0.2">
      <c r="A2536" t="s">
        <v>2481</v>
      </c>
      <c r="B2536" s="44">
        <v>39339</v>
      </c>
      <c r="C2536" t="s">
        <v>4</v>
      </c>
      <c r="D2536" t="s">
        <v>2482</v>
      </c>
      <c r="F2536"/>
      <c r="G2536"/>
      <c r="H2536">
        <v>7</v>
      </c>
    </row>
    <row r="2537" spans="1:8" x14ac:dyDescent="0.2">
      <c r="A2537" t="s">
        <v>2515</v>
      </c>
      <c r="B2537" s="44">
        <v>39343</v>
      </c>
      <c r="C2537" t="s">
        <v>4</v>
      </c>
      <c r="D2537" t="s">
        <v>2516</v>
      </c>
      <c r="F2537"/>
      <c r="G2537"/>
      <c r="H2537">
        <v>7</v>
      </c>
    </row>
    <row r="2538" spans="1:8" x14ac:dyDescent="0.2">
      <c r="A2538" t="s">
        <v>2539</v>
      </c>
      <c r="B2538" s="44">
        <v>39345</v>
      </c>
      <c r="C2538" t="s">
        <v>4</v>
      </c>
      <c r="D2538" t="s">
        <v>3946</v>
      </c>
      <c r="F2538"/>
      <c r="G2538"/>
      <c r="H2538">
        <v>7</v>
      </c>
    </row>
    <row r="2539" spans="1:8" x14ac:dyDescent="0.2">
      <c r="A2539" t="s">
        <v>2539</v>
      </c>
      <c r="B2539" s="44">
        <v>39345</v>
      </c>
      <c r="C2539" t="s">
        <v>4</v>
      </c>
      <c r="D2539" t="s">
        <v>511</v>
      </c>
      <c r="F2539"/>
      <c r="G2539"/>
      <c r="H2539">
        <v>7</v>
      </c>
    </row>
    <row r="2540" spans="1:8" x14ac:dyDescent="0.2">
      <c r="A2540" t="s">
        <v>2538</v>
      </c>
      <c r="B2540" s="44">
        <v>39345</v>
      </c>
      <c r="C2540" t="s">
        <v>4</v>
      </c>
      <c r="D2540" t="s">
        <v>509</v>
      </c>
      <c r="F2540"/>
      <c r="G2540"/>
      <c r="H2540">
        <v>7</v>
      </c>
    </row>
    <row r="2541" spans="1:8" x14ac:dyDescent="0.2">
      <c r="A2541" t="s">
        <v>2548</v>
      </c>
      <c r="B2541" s="44">
        <v>39346</v>
      </c>
      <c r="C2541" t="s">
        <v>4</v>
      </c>
      <c r="D2541" t="s">
        <v>2549</v>
      </c>
      <c r="F2541"/>
      <c r="G2541"/>
      <c r="H2541">
        <v>7</v>
      </c>
    </row>
    <row r="2542" spans="1:8" x14ac:dyDescent="0.2">
      <c r="A2542" t="s">
        <v>2582</v>
      </c>
      <c r="B2542" s="44">
        <v>39350</v>
      </c>
      <c r="C2542" t="s">
        <v>4</v>
      </c>
      <c r="D2542" t="s">
        <v>527</v>
      </c>
      <c r="F2542"/>
      <c r="G2542"/>
      <c r="H2542">
        <v>7</v>
      </c>
    </row>
    <row r="2543" spans="1:8" x14ac:dyDescent="0.2">
      <c r="A2543" t="s">
        <v>2600</v>
      </c>
      <c r="B2543" s="44">
        <v>39352</v>
      </c>
      <c r="C2543" t="s">
        <v>4</v>
      </c>
      <c r="D2543" t="s">
        <v>535</v>
      </c>
      <c r="F2543"/>
      <c r="G2543"/>
      <c r="H2543">
        <v>7</v>
      </c>
    </row>
    <row r="2544" spans="1:8" x14ac:dyDescent="0.2">
      <c r="A2544" t="s">
        <v>516</v>
      </c>
      <c r="B2544" s="44">
        <v>39359</v>
      </c>
      <c r="C2544" t="s">
        <v>4</v>
      </c>
      <c r="D2544" t="s">
        <v>4455</v>
      </c>
      <c r="F2544"/>
      <c r="G2544"/>
      <c r="H2544">
        <v>7</v>
      </c>
    </row>
    <row r="2545" spans="1:8" x14ac:dyDescent="0.2">
      <c r="A2545" t="s">
        <v>517</v>
      </c>
      <c r="B2545" s="44">
        <v>39359</v>
      </c>
      <c r="C2545" t="s">
        <v>4</v>
      </c>
      <c r="D2545" t="s">
        <v>3879</v>
      </c>
      <c r="F2545"/>
      <c r="G2545"/>
      <c r="H2545">
        <v>7</v>
      </c>
    </row>
    <row r="2546" spans="1:8" x14ac:dyDescent="0.2">
      <c r="A2546" t="s">
        <v>518</v>
      </c>
      <c r="B2546" s="44">
        <v>39359</v>
      </c>
      <c r="C2546" t="s">
        <v>4</v>
      </c>
      <c r="D2546" t="s">
        <v>4456</v>
      </c>
      <c r="H2546">
        <v>7</v>
      </c>
    </row>
    <row r="2547" spans="1:8" x14ac:dyDescent="0.2">
      <c r="A2547" t="s">
        <v>570</v>
      </c>
      <c r="B2547" s="44">
        <v>39364</v>
      </c>
      <c r="C2547" t="s">
        <v>4</v>
      </c>
      <c r="D2547" t="s">
        <v>535</v>
      </c>
      <c r="F2547"/>
      <c r="G2547"/>
      <c r="H2547">
        <v>7</v>
      </c>
    </row>
    <row r="2548" spans="1:8" x14ac:dyDescent="0.2">
      <c r="A2548" t="s">
        <v>584</v>
      </c>
      <c r="B2548" s="44">
        <v>39366</v>
      </c>
      <c r="C2548" t="s">
        <v>4</v>
      </c>
      <c r="D2548" t="s">
        <v>527</v>
      </c>
      <c r="F2548"/>
      <c r="G2548"/>
      <c r="H2548">
        <v>7</v>
      </c>
    </row>
    <row r="2549" spans="1:8" x14ac:dyDescent="0.2">
      <c r="A2549" t="s">
        <v>2706</v>
      </c>
      <c r="B2549" s="44">
        <v>39374</v>
      </c>
      <c r="C2549" t="s">
        <v>4</v>
      </c>
      <c r="D2549" t="s">
        <v>545</v>
      </c>
      <c r="F2549"/>
      <c r="G2549"/>
      <c r="H2549">
        <v>7</v>
      </c>
    </row>
    <row r="2550" spans="1:8" x14ac:dyDescent="0.2">
      <c r="A2550" t="s">
        <v>2754</v>
      </c>
      <c r="B2550" s="44">
        <v>39378</v>
      </c>
      <c r="C2550" t="s">
        <v>4</v>
      </c>
      <c r="D2550" t="s">
        <v>535</v>
      </c>
      <c r="F2550"/>
      <c r="G2550"/>
      <c r="H2550">
        <v>7</v>
      </c>
    </row>
    <row r="2551" spans="1:8" x14ac:dyDescent="0.2">
      <c r="A2551" t="s">
        <v>2775</v>
      </c>
      <c r="B2551" s="44">
        <v>39380</v>
      </c>
      <c r="C2551" t="s">
        <v>4</v>
      </c>
      <c r="D2551" t="s">
        <v>538</v>
      </c>
      <c r="F2551"/>
      <c r="G2551"/>
      <c r="H2551">
        <v>7</v>
      </c>
    </row>
    <row r="2552" spans="1:8" x14ac:dyDescent="0.2">
      <c r="A2552" t="s">
        <v>2817</v>
      </c>
      <c r="B2552" s="44">
        <v>39385</v>
      </c>
      <c r="C2552" t="s">
        <v>4</v>
      </c>
      <c r="D2552" t="s">
        <v>527</v>
      </c>
      <c r="F2552"/>
      <c r="G2552"/>
      <c r="H2552">
        <v>7</v>
      </c>
    </row>
    <row r="2553" spans="1:8" x14ac:dyDescent="0.2">
      <c r="A2553" t="s">
        <v>2834</v>
      </c>
      <c r="B2553" s="44">
        <v>39386</v>
      </c>
      <c r="C2553" t="s">
        <v>4</v>
      </c>
      <c r="D2553" t="s">
        <v>538</v>
      </c>
      <c r="F2553"/>
      <c r="G2553"/>
      <c r="H2553">
        <v>7</v>
      </c>
    </row>
    <row r="2554" spans="1:8" x14ac:dyDescent="0.2">
      <c r="A2554" t="s">
        <v>510</v>
      </c>
      <c r="B2554" s="44">
        <v>39388</v>
      </c>
      <c r="C2554" t="s">
        <v>4</v>
      </c>
      <c r="D2554" t="s">
        <v>511</v>
      </c>
      <c r="F2554"/>
      <c r="G2554"/>
      <c r="H2554">
        <v>7</v>
      </c>
    </row>
    <row r="2555" spans="1:8" x14ac:dyDescent="0.2">
      <c r="A2555" t="s">
        <v>508</v>
      </c>
      <c r="B2555" s="44">
        <v>39388</v>
      </c>
      <c r="C2555" t="s">
        <v>4</v>
      </c>
      <c r="D2555" t="s">
        <v>509</v>
      </c>
      <c r="F2555"/>
      <c r="G2555"/>
      <c r="H2555">
        <v>7</v>
      </c>
    </row>
    <row r="2556" spans="1:8" x14ac:dyDescent="0.2">
      <c r="A2556" t="s">
        <v>566</v>
      </c>
      <c r="B2556" s="44">
        <v>39394</v>
      </c>
      <c r="C2556" t="s">
        <v>4</v>
      </c>
      <c r="D2556" t="s">
        <v>538</v>
      </c>
      <c r="F2556"/>
      <c r="G2556"/>
      <c r="H2556">
        <v>7</v>
      </c>
    </row>
    <row r="2557" spans="1:8" x14ac:dyDescent="0.2">
      <c r="A2557" t="s">
        <v>572</v>
      </c>
      <c r="B2557" s="44">
        <v>39395</v>
      </c>
      <c r="C2557" t="s">
        <v>4</v>
      </c>
      <c r="D2557" t="s">
        <v>535</v>
      </c>
      <c r="F2557"/>
      <c r="G2557"/>
      <c r="H2557">
        <v>7</v>
      </c>
    </row>
    <row r="2558" spans="1:8" x14ac:dyDescent="0.2">
      <c r="A2558" t="s">
        <v>3011</v>
      </c>
      <c r="B2558" s="44">
        <v>39415</v>
      </c>
      <c r="C2558" t="s">
        <v>4</v>
      </c>
      <c r="D2558" t="s">
        <v>545</v>
      </c>
      <c r="F2558"/>
      <c r="G2558"/>
      <c r="H2558">
        <v>7</v>
      </c>
    </row>
    <row r="2559" spans="1:8" x14ac:dyDescent="0.2">
      <c r="A2559" t="s">
        <v>531</v>
      </c>
      <c r="B2559" s="44">
        <v>39421</v>
      </c>
      <c r="C2559" t="s">
        <v>4</v>
      </c>
      <c r="D2559" t="s">
        <v>511</v>
      </c>
      <c r="F2559"/>
      <c r="G2559"/>
      <c r="H2559">
        <v>7</v>
      </c>
    </row>
    <row r="2560" spans="1:8" x14ac:dyDescent="0.2">
      <c r="A2560" t="s">
        <v>3066</v>
      </c>
      <c r="B2560" s="44">
        <v>39434</v>
      </c>
      <c r="C2560" t="s">
        <v>4</v>
      </c>
      <c r="D2560" t="s">
        <v>4455</v>
      </c>
      <c r="F2560"/>
      <c r="G2560"/>
      <c r="H2560">
        <v>7</v>
      </c>
    </row>
    <row r="2561" spans="1:8" x14ac:dyDescent="0.2">
      <c r="A2561" t="s">
        <v>589</v>
      </c>
      <c r="B2561" s="44">
        <v>39449</v>
      </c>
      <c r="C2561" t="s">
        <v>4</v>
      </c>
      <c r="D2561" t="s">
        <v>590</v>
      </c>
      <c r="F2561"/>
      <c r="G2561"/>
      <c r="H2561">
        <v>7</v>
      </c>
    </row>
    <row r="2562" spans="1:8" x14ac:dyDescent="0.2">
      <c r="A2562" t="s">
        <v>1410</v>
      </c>
      <c r="B2562" s="44">
        <v>39469</v>
      </c>
      <c r="C2562" t="s">
        <v>4</v>
      </c>
      <c r="D2562" t="s">
        <v>649</v>
      </c>
      <c r="F2562"/>
      <c r="G2562"/>
      <c r="H2562">
        <v>7</v>
      </c>
    </row>
    <row r="2563" spans="1:8" x14ac:dyDescent="0.2">
      <c r="A2563" t="s">
        <v>618</v>
      </c>
      <c r="B2563" s="44">
        <v>39485</v>
      </c>
      <c r="C2563" t="s">
        <v>4</v>
      </c>
      <c r="D2563" t="s">
        <v>4457</v>
      </c>
      <c r="H2563">
        <v>7</v>
      </c>
    </row>
    <row r="2564" spans="1:8" x14ac:dyDescent="0.2">
      <c r="A2564" t="s">
        <v>618</v>
      </c>
      <c r="B2564" s="44">
        <v>39485</v>
      </c>
      <c r="C2564" t="s">
        <v>4</v>
      </c>
      <c r="D2564" t="s">
        <v>4458</v>
      </c>
      <c r="F2564"/>
      <c r="G2564"/>
      <c r="H2564">
        <v>7</v>
      </c>
    </row>
    <row r="2565" spans="1:8" x14ac:dyDescent="0.2">
      <c r="A2565" t="s">
        <v>603</v>
      </c>
      <c r="B2565" s="44">
        <v>39511</v>
      </c>
      <c r="C2565" t="s">
        <v>4</v>
      </c>
      <c r="D2565" t="s">
        <v>604</v>
      </c>
      <c r="F2565"/>
      <c r="G2565"/>
      <c r="H2565">
        <v>7</v>
      </c>
    </row>
    <row r="2566" spans="1:8" x14ac:dyDescent="0.2">
      <c r="A2566" t="s">
        <v>648</v>
      </c>
      <c r="B2566" s="44">
        <v>39519</v>
      </c>
      <c r="C2566" t="s">
        <v>4</v>
      </c>
      <c r="D2566" t="s">
        <v>649</v>
      </c>
      <c r="F2566"/>
      <c r="G2566"/>
      <c r="H2566">
        <v>7</v>
      </c>
    </row>
    <row r="2567" spans="1:8" x14ac:dyDescent="0.2">
      <c r="A2567" t="s">
        <v>647</v>
      </c>
      <c r="B2567" s="44">
        <v>39519</v>
      </c>
      <c r="C2567" t="s">
        <v>4</v>
      </c>
      <c r="D2567" t="s">
        <v>509</v>
      </c>
      <c r="F2567"/>
      <c r="G2567"/>
      <c r="H2567">
        <v>7</v>
      </c>
    </row>
    <row r="2568" spans="1:8" x14ac:dyDescent="0.2">
      <c r="A2568" t="s">
        <v>598</v>
      </c>
      <c r="B2568" s="44">
        <v>39541</v>
      </c>
      <c r="C2568" t="s">
        <v>4</v>
      </c>
      <c r="D2568" t="s">
        <v>509</v>
      </c>
      <c r="F2568"/>
      <c r="G2568"/>
      <c r="H2568">
        <v>7</v>
      </c>
    </row>
    <row r="2569" spans="1:8" x14ac:dyDescent="0.2">
      <c r="A2569" t="s">
        <v>605</v>
      </c>
      <c r="B2569" s="44">
        <v>39542</v>
      </c>
      <c r="C2569" t="s">
        <v>4</v>
      </c>
      <c r="D2569" t="s">
        <v>606</v>
      </c>
      <c r="F2569"/>
      <c r="G2569"/>
      <c r="H2569">
        <v>7</v>
      </c>
    </row>
    <row r="2570" spans="1:8" x14ac:dyDescent="0.2">
      <c r="A2570" t="s">
        <v>616</v>
      </c>
      <c r="B2570" s="44">
        <v>39574</v>
      </c>
      <c r="C2570" t="s">
        <v>4</v>
      </c>
      <c r="D2570" t="s">
        <v>509</v>
      </c>
      <c r="F2570"/>
      <c r="G2570"/>
      <c r="H2570">
        <v>7</v>
      </c>
    </row>
    <row r="2571" spans="1:8" x14ac:dyDescent="0.2">
      <c r="A2571" t="s">
        <v>652</v>
      </c>
      <c r="B2571" s="44">
        <v>39580</v>
      </c>
      <c r="C2571" t="s">
        <v>4</v>
      </c>
      <c r="D2571" t="s">
        <v>509</v>
      </c>
      <c r="F2571"/>
      <c r="G2571"/>
      <c r="H2571">
        <v>7</v>
      </c>
    </row>
    <row r="2572" spans="1:8" x14ac:dyDescent="0.2">
      <c r="A2572" t="s">
        <v>1975</v>
      </c>
      <c r="B2572" s="44">
        <v>39587</v>
      </c>
      <c r="C2572" t="s">
        <v>4</v>
      </c>
      <c r="D2572" t="s">
        <v>1976</v>
      </c>
      <c r="F2572"/>
      <c r="G2572"/>
      <c r="H2572">
        <v>7</v>
      </c>
    </row>
    <row r="2573" spans="1:8" x14ac:dyDescent="0.2">
      <c r="A2573" t="s">
        <v>1977</v>
      </c>
      <c r="B2573" s="44">
        <v>39587</v>
      </c>
      <c r="C2573" t="s">
        <v>4</v>
      </c>
      <c r="D2573" t="s">
        <v>1976</v>
      </c>
      <c r="F2573"/>
      <c r="G2573"/>
      <c r="H2573">
        <v>7</v>
      </c>
    </row>
    <row r="2574" spans="1:8" x14ac:dyDescent="0.2">
      <c r="A2574" t="s">
        <v>613</v>
      </c>
      <c r="B2574" s="44">
        <v>39604</v>
      </c>
      <c r="C2574" t="s">
        <v>4</v>
      </c>
      <c r="D2574" t="s">
        <v>509</v>
      </c>
      <c r="F2574"/>
      <c r="G2574"/>
      <c r="H2574">
        <v>7</v>
      </c>
    </row>
    <row r="2575" spans="1:8" x14ac:dyDescent="0.2">
      <c r="A2575" t="s">
        <v>637</v>
      </c>
      <c r="B2575" s="44">
        <v>39609</v>
      </c>
      <c r="C2575" t="s">
        <v>4</v>
      </c>
      <c r="D2575" t="s">
        <v>638</v>
      </c>
      <c r="F2575"/>
      <c r="G2575"/>
      <c r="H2575">
        <v>7</v>
      </c>
    </row>
    <row r="2576" spans="1:8" x14ac:dyDescent="0.2">
      <c r="A2576" t="s">
        <v>2132</v>
      </c>
      <c r="B2576" s="44">
        <v>39616</v>
      </c>
      <c r="C2576" t="s">
        <v>4</v>
      </c>
      <c r="D2576" t="s">
        <v>509</v>
      </c>
      <c r="F2576"/>
      <c r="G2576"/>
      <c r="H2576">
        <v>7</v>
      </c>
    </row>
    <row r="2577" spans="1:8" x14ac:dyDescent="0.2">
      <c r="A2577" t="s">
        <v>620</v>
      </c>
      <c r="B2577" s="44">
        <v>39636</v>
      </c>
      <c r="C2577" t="s">
        <v>4</v>
      </c>
      <c r="D2577" t="s">
        <v>621</v>
      </c>
      <c r="F2577"/>
      <c r="G2577"/>
      <c r="H2577">
        <v>7</v>
      </c>
    </row>
    <row r="2578" spans="1:8" x14ac:dyDescent="0.2">
      <c r="A2578" t="s">
        <v>642</v>
      </c>
      <c r="B2578" s="44">
        <v>39640</v>
      </c>
      <c r="C2578" t="s">
        <v>4</v>
      </c>
      <c r="D2578" t="s">
        <v>509</v>
      </c>
      <c r="F2578"/>
      <c r="G2578"/>
      <c r="H2578">
        <v>7</v>
      </c>
    </row>
    <row r="2579" spans="1:8" x14ac:dyDescent="0.2">
      <c r="A2579" t="s">
        <v>624</v>
      </c>
      <c r="B2579" s="44">
        <v>39667</v>
      </c>
      <c r="C2579" t="s">
        <v>4</v>
      </c>
      <c r="D2579" t="s">
        <v>3963</v>
      </c>
      <c r="F2579"/>
      <c r="G2579"/>
      <c r="H2579">
        <v>7</v>
      </c>
    </row>
    <row r="2580" spans="1:8" x14ac:dyDescent="0.2">
      <c r="A2580" t="s">
        <v>625</v>
      </c>
      <c r="B2580" s="44">
        <v>39667</v>
      </c>
      <c r="C2580" t="s">
        <v>4</v>
      </c>
      <c r="D2580" t="s">
        <v>3963</v>
      </c>
      <c r="F2580"/>
      <c r="G2580"/>
      <c r="H2580">
        <v>7</v>
      </c>
    </row>
    <row r="2581" spans="1:8" x14ac:dyDescent="0.2">
      <c r="A2581" t="s">
        <v>622</v>
      </c>
      <c r="B2581" s="44">
        <v>39667</v>
      </c>
      <c r="C2581" t="s">
        <v>4</v>
      </c>
      <c r="D2581" t="s">
        <v>4459</v>
      </c>
      <c r="F2581"/>
      <c r="G2581"/>
      <c r="H2581">
        <v>7</v>
      </c>
    </row>
    <row r="2582" spans="1:8" x14ac:dyDescent="0.2">
      <c r="A2582" t="s">
        <v>623</v>
      </c>
      <c r="B2582" s="44">
        <v>39667</v>
      </c>
      <c r="C2582" t="s">
        <v>4</v>
      </c>
      <c r="D2582" t="s">
        <v>4460</v>
      </c>
      <c r="F2582"/>
      <c r="G2582"/>
      <c r="H2582">
        <v>7</v>
      </c>
    </row>
    <row r="2583" spans="1:8" x14ac:dyDescent="0.2">
      <c r="A2583" t="s">
        <v>2414</v>
      </c>
      <c r="B2583" s="44">
        <v>39673</v>
      </c>
      <c r="C2583" t="s">
        <v>4</v>
      </c>
      <c r="D2583" t="s">
        <v>2415</v>
      </c>
      <c r="F2583"/>
      <c r="G2583"/>
      <c r="H2583">
        <v>7</v>
      </c>
    </row>
    <row r="2584" spans="1:8" x14ac:dyDescent="0.2">
      <c r="A2584" t="s">
        <v>2416</v>
      </c>
      <c r="B2584" s="44">
        <v>39673</v>
      </c>
      <c r="C2584" t="s">
        <v>4</v>
      </c>
      <c r="D2584" t="s">
        <v>641</v>
      </c>
      <c r="F2584"/>
      <c r="G2584"/>
      <c r="H2584">
        <v>7</v>
      </c>
    </row>
    <row r="2585" spans="1:8" x14ac:dyDescent="0.2">
      <c r="A2585" t="s">
        <v>2592</v>
      </c>
      <c r="B2585" s="44">
        <v>39717</v>
      </c>
      <c r="C2585" t="s">
        <v>4</v>
      </c>
      <c r="D2585" t="s">
        <v>641</v>
      </c>
      <c r="F2585"/>
      <c r="G2585"/>
      <c r="H2585">
        <v>7</v>
      </c>
    </row>
    <row r="2586" spans="1:8" x14ac:dyDescent="0.2">
      <c r="A2586" t="s">
        <v>631</v>
      </c>
      <c r="B2586" s="44">
        <v>39730</v>
      </c>
      <c r="C2586" t="s">
        <v>4</v>
      </c>
      <c r="D2586" t="s">
        <v>509</v>
      </c>
      <c r="F2586"/>
      <c r="G2586"/>
      <c r="H2586">
        <v>7</v>
      </c>
    </row>
    <row r="2587" spans="1:8" x14ac:dyDescent="0.2">
      <c r="A2587" t="s">
        <v>640</v>
      </c>
      <c r="B2587" s="44">
        <v>39731</v>
      </c>
      <c r="C2587" t="s">
        <v>4</v>
      </c>
      <c r="D2587" t="s">
        <v>641</v>
      </c>
      <c r="F2587"/>
      <c r="G2587"/>
      <c r="H2587">
        <v>7</v>
      </c>
    </row>
    <row r="2588" spans="1:8" x14ac:dyDescent="0.2">
      <c r="A2588" t="s">
        <v>2730</v>
      </c>
      <c r="B2588" s="44">
        <v>39742</v>
      </c>
      <c r="C2588" t="s">
        <v>4</v>
      </c>
      <c r="D2588" t="s">
        <v>509</v>
      </c>
      <c r="F2588"/>
      <c r="G2588"/>
      <c r="H2588">
        <v>7</v>
      </c>
    </row>
    <row r="2589" spans="1:8" x14ac:dyDescent="0.2">
      <c r="A2589" t="s">
        <v>2740</v>
      </c>
      <c r="B2589" s="44">
        <v>39743</v>
      </c>
      <c r="C2589" t="s">
        <v>4</v>
      </c>
      <c r="D2589" t="s">
        <v>509</v>
      </c>
      <c r="F2589"/>
      <c r="G2589"/>
      <c r="H2589">
        <v>7</v>
      </c>
    </row>
    <row r="2590" spans="1:8" x14ac:dyDescent="0.2">
      <c r="A2590" t="s">
        <v>2911</v>
      </c>
      <c r="B2590" s="44">
        <v>39771</v>
      </c>
      <c r="C2590" t="s">
        <v>4</v>
      </c>
      <c r="D2590" t="s">
        <v>2912</v>
      </c>
      <c r="F2590"/>
      <c r="G2590"/>
      <c r="H2590">
        <v>7</v>
      </c>
    </row>
    <row r="2591" spans="1:8" x14ac:dyDescent="0.2">
      <c r="A2591" t="s">
        <v>679</v>
      </c>
      <c r="B2591" s="44">
        <v>39821</v>
      </c>
      <c r="C2591" t="s">
        <v>4</v>
      </c>
      <c r="D2591" t="s">
        <v>509</v>
      </c>
      <c r="F2591"/>
      <c r="G2591"/>
      <c r="H2591">
        <v>7</v>
      </c>
    </row>
    <row r="2592" spans="1:8" x14ac:dyDescent="0.2">
      <c r="A2592" t="s">
        <v>676</v>
      </c>
      <c r="B2592" s="44">
        <v>39940</v>
      </c>
      <c r="C2592" t="s">
        <v>4</v>
      </c>
      <c r="D2592" t="s">
        <v>4461</v>
      </c>
      <c r="H2592">
        <v>7</v>
      </c>
    </row>
    <row r="2593" spans="1:8" x14ac:dyDescent="0.2">
      <c r="A2593" t="s">
        <v>677</v>
      </c>
      <c r="B2593" s="44">
        <v>39940</v>
      </c>
      <c r="C2593" t="s">
        <v>4</v>
      </c>
      <c r="D2593" t="s">
        <v>4462</v>
      </c>
      <c r="H2593">
        <v>7</v>
      </c>
    </row>
    <row r="2594" spans="1:8" x14ac:dyDescent="0.2">
      <c r="A2594" t="s">
        <v>672</v>
      </c>
      <c r="B2594" s="44">
        <v>40031</v>
      </c>
      <c r="C2594" t="s">
        <v>4</v>
      </c>
      <c r="D2594" t="s">
        <v>3690</v>
      </c>
      <c r="F2594"/>
      <c r="G2594"/>
      <c r="H2594">
        <v>7</v>
      </c>
    </row>
    <row r="2595" spans="1:8" x14ac:dyDescent="0.2">
      <c r="A2595" t="s">
        <v>670</v>
      </c>
      <c r="B2595" s="44">
        <v>40031</v>
      </c>
      <c r="C2595" t="s">
        <v>4</v>
      </c>
      <c r="D2595" t="s">
        <v>3977</v>
      </c>
      <c r="F2595"/>
      <c r="G2595"/>
      <c r="H2595">
        <v>7</v>
      </c>
    </row>
    <row r="2596" spans="1:8" x14ac:dyDescent="0.2">
      <c r="A2596" t="s">
        <v>684</v>
      </c>
      <c r="B2596" s="44">
        <v>40094</v>
      </c>
      <c r="C2596" t="s">
        <v>4</v>
      </c>
      <c r="D2596" t="s">
        <v>3978</v>
      </c>
      <c r="F2596"/>
      <c r="G2596"/>
      <c r="H2596">
        <v>7</v>
      </c>
    </row>
    <row r="2597" spans="1:8" x14ac:dyDescent="0.2">
      <c r="A2597" t="s">
        <v>685</v>
      </c>
      <c r="B2597" s="44">
        <v>40094</v>
      </c>
      <c r="C2597" t="s">
        <v>4</v>
      </c>
      <c r="D2597" t="s">
        <v>3979</v>
      </c>
      <c r="F2597"/>
      <c r="G2597"/>
      <c r="H2597">
        <v>7</v>
      </c>
    </row>
    <row r="2598" spans="1:8" x14ac:dyDescent="0.2">
      <c r="A2598" t="s">
        <v>683</v>
      </c>
      <c r="B2598" s="44">
        <v>40094</v>
      </c>
      <c r="C2598" t="s">
        <v>4</v>
      </c>
      <c r="D2598" t="s">
        <v>4463</v>
      </c>
      <c r="F2598"/>
      <c r="G2598"/>
      <c r="H2598">
        <v>7</v>
      </c>
    </row>
    <row r="2599" spans="1:8" x14ac:dyDescent="0.2">
      <c r="A2599" t="s">
        <v>2642</v>
      </c>
      <c r="B2599" s="44">
        <v>40099</v>
      </c>
      <c r="C2599" t="s">
        <v>4</v>
      </c>
      <c r="D2599" t="s">
        <v>3978</v>
      </c>
      <c r="F2599"/>
      <c r="G2599"/>
      <c r="H2599">
        <v>7</v>
      </c>
    </row>
    <row r="2600" spans="1:8" x14ac:dyDescent="0.2">
      <c r="A2600" t="s">
        <v>2743</v>
      </c>
      <c r="B2600" s="44">
        <v>40108</v>
      </c>
      <c r="C2600" t="s">
        <v>912</v>
      </c>
      <c r="D2600" t="s">
        <v>2744</v>
      </c>
      <c r="F2600"/>
      <c r="G2600"/>
      <c r="H2600">
        <v>7</v>
      </c>
    </row>
    <row r="2601" spans="1:8" x14ac:dyDescent="0.2">
      <c r="A2601" t="s">
        <v>2785</v>
      </c>
      <c r="B2601" s="44">
        <v>40112</v>
      </c>
      <c r="C2601" t="s">
        <v>4</v>
      </c>
      <c r="D2601" t="s">
        <v>509</v>
      </c>
      <c r="F2601"/>
      <c r="G2601"/>
      <c r="H2601">
        <v>7</v>
      </c>
    </row>
    <row r="2602" spans="1:8" x14ac:dyDescent="0.2">
      <c r="A2602" t="s">
        <v>664</v>
      </c>
      <c r="B2602" s="44">
        <v>40120</v>
      </c>
      <c r="C2602" t="s">
        <v>4</v>
      </c>
      <c r="D2602" t="s">
        <v>3978</v>
      </c>
      <c r="F2602"/>
      <c r="G2602"/>
      <c r="H2602">
        <v>7</v>
      </c>
    </row>
    <row r="2603" spans="1:8" x14ac:dyDescent="0.2">
      <c r="A2603" t="s">
        <v>668</v>
      </c>
      <c r="B2603" s="44">
        <v>40122</v>
      </c>
      <c r="C2603" t="s">
        <v>4</v>
      </c>
      <c r="D2603" t="s">
        <v>3979</v>
      </c>
      <c r="F2603"/>
      <c r="G2603"/>
      <c r="H2603">
        <v>7</v>
      </c>
    </row>
    <row r="2604" spans="1:8" x14ac:dyDescent="0.2">
      <c r="A2604" t="s">
        <v>673</v>
      </c>
      <c r="B2604" s="44">
        <v>40123</v>
      </c>
      <c r="C2604" t="s">
        <v>4</v>
      </c>
      <c r="D2604" t="s">
        <v>674</v>
      </c>
      <c r="F2604"/>
      <c r="G2604"/>
      <c r="H2604">
        <v>7</v>
      </c>
    </row>
    <row r="2605" spans="1:8" x14ac:dyDescent="0.2">
      <c r="A2605" t="s">
        <v>698</v>
      </c>
      <c r="B2605" s="44">
        <v>40158</v>
      </c>
      <c r="C2605" t="s">
        <v>4</v>
      </c>
      <c r="D2605" t="s">
        <v>3979</v>
      </c>
      <c r="F2605"/>
      <c r="G2605"/>
      <c r="H2605">
        <v>7</v>
      </c>
    </row>
    <row r="2606" spans="1:8" x14ac:dyDescent="0.2">
      <c r="A2606" t="s">
        <v>1398</v>
      </c>
      <c r="B2606" s="44">
        <v>40199</v>
      </c>
      <c r="C2606" t="s">
        <v>4</v>
      </c>
      <c r="D2606" t="s">
        <v>3978</v>
      </c>
      <c r="F2606"/>
      <c r="G2606"/>
      <c r="H2606">
        <v>7</v>
      </c>
    </row>
    <row r="2607" spans="1:8" x14ac:dyDescent="0.2">
      <c r="A2607" t="s">
        <v>1523</v>
      </c>
      <c r="B2607" s="44">
        <v>40226</v>
      </c>
      <c r="C2607" t="s">
        <v>4</v>
      </c>
      <c r="D2607" t="s">
        <v>3979</v>
      </c>
      <c r="F2607"/>
      <c r="G2607"/>
      <c r="H2607">
        <v>7</v>
      </c>
    </row>
    <row r="2608" spans="1:8" x14ac:dyDescent="0.2">
      <c r="A2608" t="s">
        <v>1747</v>
      </c>
      <c r="B2608" s="44">
        <v>40260</v>
      </c>
      <c r="C2608" t="s">
        <v>4</v>
      </c>
      <c r="D2608" t="s">
        <v>3979</v>
      </c>
      <c r="F2608"/>
      <c r="G2608"/>
      <c r="H2608">
        <v>7</v>
      </c>
    </row>
    <row r="2609" spans="1:8" x14ac:dyDescent="0.2">
      <c r="A2609" t="s">
        <v>1758</v>
      </c>
      <c r="B2609" s="44">
        <v>40261</v>
      </c>
      <c r="C2609" t="s">
        <v>4</v>
      </c>
      <c r="D2609" t="s">
        <v>3978</v>
      </c>
      <c r="F2609"/>
      <c r="G2609"/>
      <c r="H2609">
        <v>7</v>
      </c>
    </row>
    <row r="2610" spans="1:8" x14ac:dyDescent="0.2">
      <c r="A2610" t="s">
        <v>720</v>
      </c>
      <c r="B2610" s="44">
        <v>40276</v>
      </c>
      <c r="C2610" t="s">
        <v>4</v>
      </c>
      <c r="D2610" t="s">
        <v>3978</v>
      </c>
      <c r="F2610"/>
      <c r="G2610"/>
      <c r="H2610">
        <v>7</v>
      </c>
    </row>
    <row r="2611" spans="1:8" x14ac:dyDescent="0.2">
      <c r="A2611" t="s">
        <v>1882</v>
      </c>
      <c r="B2611" s="44">
        <v>40291</v>
      </c>
      <c r="C2611" t="s">
        <v>4</v>
      </c>
      <c r="D2611" t="s">
        <v>3979</v>
      </c>
      <c r="F2611"/>
      <c r="G2611"/>
      <c r="H2611">
        <v>7</v>
      </c>
    </row>
    <row r="2612" spans="1:8" x14ac:dyDescent="0.2">
      <c r="A2612" t="s">
        <v>715</v>
      </c>
      <c r="B2612" s="44">
        <v>40303</v>
      </c>
      <c r="C2612" t="s">
        <v>4</v>
      </c>
      <c r="D2612" t="s">
        <v>509</v>
      </c>
      <c r="F2612"/>
      <c r="G2612"/>
      <c r="H2612">
        <v>7</v>
      </c>
    </row>
    <row r="2613" spans="1:8" x14ac:dyDescent="0.2">
      <c r="A2613" t="s">
        <v>2119</v>
      </c>
      <c r="B2613" s="44">
        <v>40345</v>
      </c>
      <c r="C2613" t="s">
        <v>4</v>
      </c>
      <c r="D2613" t="s">
        <v>2120</v>
      </c>
      <c r="F2613"/>
      <c r="G2613"/>
      <c r="H2613">
        <v>7</v>
      </c>
    </row>
    <row r="2614" spans="1:8" x14ac:dyDescent="0.2">
      <c r="A2614" t="s">
        <v>2199</v>
      </c>
      <c r="B2614" s="44">
        <v>40350</v>
      </c>
      <c r="C2614" t="s">
        <v>4</v>
      </c>
      <c r="D2614" t="s">
        <v>2200</v>
      </c>
      <c r="F2614"/>
      <c r="G2614"/>
      <c r="H2614">
        <v>7</v>
      </c>
    </row>
    <row r="2615" spans="1:8" x14ac:dyDescent="0.2">
      <c r="A2615" t="s">
        <v>722</v>
      </c>
      <c r="B2615" s="44">
        <v>40367</v>
      </c>
      <c r="C2615" t="s">
        <v>4</v>
      </c>
      <c r="D2615" t="s">
        <v>723</v>
      </c>
      <c r="F2615"/>
      <c r="G2615"/>
      <c r="H2615">
        <v>7</v>
      </c>
    </row>
    <row r="2616" spans="1:8" x14ac:dyDescent="0.2">
      <c r="A2616" t="s">
        <v>2382</v>
      </c>
      <c r="B2616" s="44">
        <v>40382</v>
      </c>
      <c r="C2616" t="s">
        <v>5834</v>
      </c>
      <c r="D2616" t="s">
        <v>2383</v>
      </c>
      <c r="F2616"/>
      <c r="G2616"/>
      <c r="H2616">
        <v>7</v>
      </c>
    </row>
    <row r="2617" spans="1:8" x14ac:dyDescent="0.2">
      <c r="A2617" t="s">
        <v>2652</v>
      </c>
      <c r="B2617" s="44">
        <v>40465</v>
      </c>
      <c r="C2617" t="s">
        <v>5834</v>
      </c>
      <c r="D2617" t="s">
        <v>2653</v>
      </c>
      <c r="F2617"/>
      <c r="G2617"/>
      <c r="H2617">
        <v>7</v>
      </c>
    </row>
    <row r="2618" spans="1:8" x14ac:dyDescent="0.2">
      <c r="A2618" t="s">
        <v>792</v>
      </c>
      <c r="B2618" s="44">
        <v>40674</v>
      </c>
      <c r="C2618" t="s">
        <v>5834</v>
      </c>
      <c r="D2618" t="s">
        <v>793</v>
      </c>
      <c r="F2618"/>
      <c r="G2618"/>
      <c r="H2618">
        <v>7</v>
      </c>
    </row>
    <row r="2619" spans="1:8" x14ac:dyDescent="0.2">
      <c r="A2619" t="s">
        <v>2054</v>
      </c>
      <c r="B2619" s="44">
        <v>40689</v>
      </c>
      <c r="C2619" t="s">
        <v>5834</v>
      </c>
      <c r="D2619" t="s">
        <v>2055</v>
      </c>
      <c r="F2619"/>
      <c r="G2619"/>
      <c r="H2619">
        <v>7</v>
      </c>
    </row>
    <row r="2620" spans="1:8" x14ac:dyDescent="0.2">
      <c r="A2620" t="s">
        <v>2056</v>
      </c>
      <c r="B2620" s="44">
        <v>40689</v>
      </c>
      <c r="C2620" t="s">
        <v>5834</v>
      </c>
      <c r="D2620" t="s">
        <v>2057</v>
      </c>
      <c r="F2620"/>
      <c r="G2620"/>
      <c r="H2620">
        <v>7</v>
      </c>
    </row>
    <row r="2621" spans="1:8" x14ac:dyDescent="0.2">
      <c r="A2621" t="s">
        <v>2090</v>
      </c>
      <c r="B2621" s="44">
        <v>40707</v>
      </c>
      <c r="C2621" t="s">
        <v>5834</v>
      </c>
      <c r="D2621" t="s">
        <v>2091</v>
      </c>
      <c r="F2621"/>
      <c r="G2621"/>
      <c r="H2621">
        <v>7</v>
      </c>
    </row>
    <row r="2622" spans="1:8" x14ac:dyDescent="0.2">
      <c r="A2622" t="s">
        <v>773</v>
      </c>
      <c r="B2622" s="44">
        <v>40794</v>
      </c>
      <c r="C2622" t="s">
        <v>4</v>
      </c>
      <c r="D2622" t="s">
        <v>774</v>
      </c>
      <c r="F2622"/>
      <c r="G2622"/>
      <c r="H2622">
        <v>7</v>
      </c>
    </row>
    <row r="2623" spans="1:8" x14ac:dyDescent="0.2">
      <c r="A2623" t="s">
        <v>797</v>
      </c>
      <c r="B2623" s="44">
        <v>40828</v>
      </c>
      <c r="C2623" t="s">
        <v>5834</v>
      </c>
      <c r="D2623" t="s">
        <v>798</v>
      </c>
      <c r="F2623"/>
      <c r="G2623"/>
      <c r="H2623">
        <v>7</v>
      </c>
    </row>
    <row r="2624" spans="1:8" x14ac:dyDescent="0.2">
      <c r="A2624" t="s">
        <v>777</v>
      </c>
      <c r="B2624" s="44">
        <v>40855</v>
      </c>
      <c r="C2624" t="s">
        <v>778</v>
      </c>
      <c r="D2624" t="s">
        <v>779</v>
      </c>
      <c r="F2624"/>
      <c r="G2624"/>
      <c r="H2624">
        <v>7</v>
      </c>
    </row>
    <row r="2625" spans="1:8" x14ac:dyDescent="0.2">
      <c r="A2625" t="s">
        <v>828</v>
      </c>
      <c r="B2625" s="44">
        <v>40918</v>
      </c>
      <c r="C2625" t="s">
        <v>4</v>
      </c>
      <c r="D2625" t="s">
        <v>829</v>
      </c>
      <c r="F2625"/>
      <c r="G2625"/>
      <c r="H2625">
        <v>7</v>
      </c>
    </row>
    <row r="2626" spans="1:8" x14ac:dyDescent="0.2">
      <c r="A2626" t="s">
        <v>1525</v>
      </c>
      <c r="B2626" s="44">
        <v>40956</v>
      </c>
      <c r="C2626" t="s">
        <v>5834</v>
      </c>
      <c r="D2626" t="s">
        <v>1526</v>
      </c>
      <c r="F2626"/>
      <c r="G2626"/>
      <c r="H2626">
        <v>7</v>
      </c>
    </row>
    <row r="2627" spans="1:8" x14ac:dyDescent="0.2">
      <c r="A2627" t="s">
        <v>817</v>
      </c>
      <c r="B2627" s="44">
        <v>41037</v>
      </c>
      <c r="C2627" t="s">
        <v>5834</v>
      </c>
      <c r="D2627" t="s">
        <v>818</v>
      </c>
      <c r="F2627"/>
      <c r="G2627"/>
      <c r="H2627">
        <v>7</v>
      </c>
    </row>
    <row r="2628" spans="1:8" x14ac:dyDescent="0.2">
      <c r="A2628" t="s">
        <v>1958</v>
      </c>
      <c r="B2628" s="44">
        <v>41046</v>
      </c>
      <c r="C2628" t="s">
        <v>5834</v>
      </c>
      <c r="D2628" t="s">
        <v>4464</v>
      </c>
      <c r="F2628"/>
      <c r="G2628"/>
      <c r="H2628">
        <v>7</v>
      </c>
    </row>
    <row r="2629" spans="1:8" x14ac:dyDescent="0.2">
      <c r="A2629" t="s">
        <v>1966</v>
      </c>
      <c r="B2629" s="44">
        <v>41047</v>
      </c>
      <c r="C2629" t="s">
        <v>5834</v>
      </c>
      <c r="D2629" t="s">
        <v>1967</v>
      </c>
      <c r="F2629"/>
      <c r="G2629"/>
      <c r="H2629">
        <v>7</v>
      </c>
    </row>
    <row r="2630" spans="1:8" x14ac:dyDescent="0.2">
      <c r="A2630" t="s">
        <v>833</v>
      </c>
      <c r="B2630" s="44">
        <v>41100</v>
      </c>
      <c r="C2630" t="s">
        <v>4</v>
      </c>
      <c r="D2630" t="s">
        <v>834</v>
      </c>
      <c r="F2630"/>
      <c r="G2630"/>
      <c r="H2630">
        <v>7</v>
      </c>
    </row>
    <row r="2631" spans="1:8" x14ac:dyDescent="0.2">
      <c r="A2631" t="s">
        <v>835</v>
      </c>
      <c r="B2631" s="44">
        <v>41100</v>
      </c>
      <c r="C2631" t="s">
        <v>4</v>
      </c>
      <c r="D2631" t="s">
        <v>836</v>
      </c>
      <c r="F2631"/>
      <c r="G2631"/>
      <c r="H2631">
        <v>7</v>
      </c>
    </row>
    <row r="2632" spans="1:8" x14ac:dyDescent="0.2">
      <c r="A2632" t="s">
        <v>2327</v>
      </c>
      <c r="B2632" s="44">
        <v>41106</v>
      </c>
      <c r="C2632" t="s">
        <v>4</v>
      </c>
      <c r="D2632" t="s">
        <v>2328</v>
      </c>
      <c r="F2632"/>
      <c r="G2632"/>
      <c r="H2632">
        <v>7</v>
      </c>
    </row>
    <row r="2633" spans="1:8" x14ac:dyDescent="0.2">
      <c r="A2633" t="s">
        <v>2384</v>
      </c>
      <c r="B2633" s="44">
        <v>41113</v>
      </c>
      <c r="C2633" t="s">
        <v>5834</v>
      </c>
      <c r="D2633" t="s">
        <v>2385</v>
      </c>
      <c r="F2633"/>
      <c r="G2633"/>
      <c r="H2633">
        <v>7</v>
      </c>
    </row>
    <row r="2634" spans="1:8" x14ac:dyDescent="0.2">
      <c r="A2634" t="s">
        <v>2400</v>
      </c>
      <c r="B2634" s="44">
        <v>41116</v>
      </c>
      <c r="C2634" t="s">
        <v>5834</v>
      </c>
      <c r="D2634" t="s">
        <v>2401</v>
      </c>
      <c r="F2634"/>
      <c r="G2634"/>
      <c r="H2634">
        <v>7</v>
      </c>
    </row>
    <row r="2635" spans="1:8" x14ac:dyDescent="0.2">
      <c r="A2635" t="s">
        <v>819</v>
      </c>
      <c r="B2635" s="44">
        <v>41129</v>
      </c>
      <c r="C2635" t="s">
        <v>778</v>
      </c>
      <c r="D2635" t="s">
        <v>820</v>
      </c>
      <c r="F2635"/>
      <c r="G2635"/>
      <c r="H2635">
        <v>7</v>
      </c>
    </row>
    <row r="2636" spans="1:8" x14ac:dyDescent="0.2">
      <c r="A2636" t="s">
        <v>2504</v>
      </c>
      <c r="B2636" s="44">
        <v>41169</v>
      </c>
      <c r="C2636" t="s">
        <v>5834</v>
      </c>
      <c r="D2636" t="s">
        <v>2505</v>
      </c>
      <c r="F2636"/>
      <c r="G2636"/>
      <c r="H2636">
        <v>7</v>
      </c>
    </row>
    <row r="2637" spans="1:8" x14ac:dyDescent="0.2">
      <c r="A2637" t="s">
        <v>848</v>
      </c>
      <c r="B2637" s="44">
        <v>41194</v>
      </c>
      <c r="C2637" t="s">
        <v>5838</v>
      </c>
      <c r="D2637" t="s">
        <v>849</v>
      </c>
      <c r="F2637"/>
      <c r="G2637"/>
      <c r="H2637">
        <v>7</v>
      </c>
    </row>
    <row r="2638" spans="1:8" x14ac:dyDescent="0.2">
      <c r="A2638" t="s">
        <v>805</v>
      </c>
      <c r="B2638" s="44">
        <v>41246</v>
      </c>
      <c r="C2638" t="s">
        <v>5834</v>
      </c>
      <c r="D2638" t="s">
        <v>806</v>
      </c>
      <c r="F2638"/>
      <c r="G2638"/>
      <c r="H2638">
        <v>7</v>
      </c>
    </row>
    <row r="2639" spans="1:8" x14ac:dyDescent="0.2">
      <c r="A2639" t="s">
        <v>3085</v>
      </c>
      <c r="B2639" s="44">
        <v>41263</v>
      </c>
      <c r="C2639" t="s">
        <v>4</v>
      </c>
      <c r="D2639" t="s">
        <v>3193</v>
      </c>
      <c r="F2639"/>
      <c r="G2639"/>
      <c r="H2639">
        <v>7</v>
      </c>
    </row>
    <row r="2640" spans="1:8" x14ac:dyDescent="0.2">
      <c r="A2640" t="s">
        <v>917</v>
      </c>
      <c r="B2640" s="44">
        <v>41316</v>
      </c>
      <c r="C2640" t="s">
        <v>912</v>
      </c>
      <c r="D2640" t="s">
        <v>918</v>
      </c>
      <c r="F2640"/>
      <c r="G2640"/>
      <c r="H2640">
        <v>7</v>
      </c>
    </row>
    <row r="2641" spans="1:8" x14ac:dyDescent="0.2">
      <c r="A2641" t="s">
        <v>1505</v>
      </c>
      <c r="B2641" s="44">
        <v>41319</v>
      </c>
      <c r="C2641" t="s">
        <v>5838</v>
      </c>
      <c r="D2641" t="s">
        <v>1506</v>
      </c>
      <c r="F2641"/>
      <c r="G2641"/>
      <c r="H2641">
        <v>7</v>
      </c>
    </row>
    <row r="2642" spans="1:8" x14ac:dyDescent="0.2">
      <c r="A2642" t="s">
        <v>1613</v>
      </c>
      <c r="B2642" s="44">
        <v>41330</v>
      </c>
      <c r="C2642" t="s">
        <v>778</v>
      </c>
      <c r="D2642" t="s">
        <v>1614</v>
      </c>
      <c r="F2642"/>
      <c r="G2642"/>
      <c r="H2642">
        <v>7</v>
      </c>
    </row>
    <row r="2643" spans="1:8" x14ac:dyDescent="0.2">
      <c r="A2643" t="s">
        <v>1771</v>
      </c>
      <c r="B2643" s="44">
        <v>41359</v>
      </c>
      <c r="C2643" t="s">
        <v>5840</v>
      </c>
      <c r="D2643" t="s">
        <v>1772</v>
      </c>
      <c r="F2643"/>
      <c r="G2643"/>
      <c r="H2643">
        <v>7</v>
      </c>
    </row>
    <row r="2644" spans="1:8" x14ac:dyDescent="0.2">
      <c r="A2644" t="s">
        <v>1838</v>
      </c>
      <c r="B2644" s="44">
        <v>41382</v>
      </c>
      <c r="C2644" t="s">
        <v>778</v>
      </c>
      <c r="D2644" t="s">
        <v>1839</v>
      </c>
      <c r="F2644"/>
      <c r="G2644"/>
      <c r="H2644">
        <v>7</v>
      </c>
    </row>
    <row r="2645" spans="1:8" x14ac:dyDescent="0.2">
      <c r="A2645" t="s">
        <v>1873</v>
      </c>
      <c r="B2645" s="44">
        <v>41386</v>
      </c>
      <c r="C2645" t="s">
        <v>5834</v>
      </c>
      <c r="D2645" t="s">
        <v>1874</v>
      </c>
      <c r="F2645"/>
      <c r="G2645"/>
      <c r="H2645">
        <v>7</v>
      </c>
    </row>
    <row r="2646" spans="1:8" x14ac:dyDescent="0.2">
      <c r="A2646" t="s">
        <v>1891</v>
      </c>
      <c r="B2646" s="44">
        <v>41389</v>
      </c>
      <c r="C2646" t="s">
        <v>5834</v>
      </c>
      <c r="D2646" t="s">
        <v>936</v>
      </c>
      <c r="F2646"/>
      <c r="G2646"/>
      <c r="H2646">
        <v>7</v>
      </c>
    </row>
    <row r="2647" spans="1:8" x14ac:dyDescent="0.2">
      <c r="A2647" t="s">
        <v>864</v>
      </c>
      <c r="B2647" s="44">
        <v>41396</v>
      </c>
      <c r="C2647" t="s">
        <v>778</v>
      </c>
      <c r="D2647" t="s">
        <v>865</v>
      </c>
      <c r="F2647"/>
      <c r="G2647"/>
      <c r="H2647">
        <v>7</v>
      </c>
    </row>
    <row r="2648" spans="1:8" x14ac:dyDescent="0.2">
      <c r="A2648" t="s">
        <v>877</v>
      </c>
      <c r="B2648" s="44">
        <v>41397</v>
      </c>
      <c r="C2648" t="s">
        <v>778</v>
      </c>
      <c r="D2648" t="s">
        <v>878</v>
      </c>
      <c r="F2648"/>
      <c r="G2648"/>
      <c r="H2648">
        <v>7</v>
      </c>
    </row>
    <row r="2649" spans="1:8" x14ac:dyDescent="0.2">
      <c r="A2649" t="s">
        <v>2008</v>
      </c>
      <c r="B2649" s="44">
        <v>41415</v>
      </c>
      <c r="C2649" t="s">
        <v>778</v>
      </c>
      <c r="D2649" t="s">
        <v>2009</v>
      </c>
      <c r="F2649"/>
      <c r="G2649"/>
      <c r="H2649">
        <v>7</v>
      </c>
    </row>
    <row r="2650" spans="1:8" x14ac:dyDescent="0.2">
      <c r="A2650" t="s">
        <v>2239</v>
      </c>
      <c r="B2650" s="44">
        <v>41449</v>
      </c>
      <c r="C2650" t="s">
        <v>4</v>
      </c>
      <c r="D2650" t="s">
        <v>2240</v>
      </c>
      <c r="F2650"/>
      <c r="G2650"/>
      <c r="H2650">
        <v>7</v>
      </c>
    </row>
    <row r="2651" spans="1:8" x14ac:dyDescent="0.2">
      <c r="A2651" t="s">
        <v>909</v>
      </c>
      <c r="B2651" s="44">
        <v>41464</v>
      </c>
      <c r="C2651" t="s">
        <v>5834</v>
      </c>
      <c r="D2651" t="s">
        <v>910</v>
      </c>
      <c r="F2651"/>
      <c r="G2651"/>
      <c r="H2651">
        <v>7</v>
      </c>
    </row>
    <row r="2652" spans="1:8" x14ac:dyDescent="0.2">
      <c r="A2652" t="s">
        <v>2336</v>
      </c>
      <c r="B2652" s="44">
        <v>41472</v>
      </c>
      <c r="C2652" t="s">
        <v>2337</v>
      </c>
      <c r="D2652" t="s">
        <v>2338</v>
      </c>
      <c r="F2652"/>
      <c r="G2652"/>
      <c r="H2652">
        <v>7</v>
      </c>
    </row>
    <row r="2653" spans="1:8" x14ac:dyDescent="0.2">
      <c r="A2653" t="s">
        <v>867</v>
      </c>
      <c r="B2653" s="44">
        <v>41488</v>
      </c>
      <c r="C2653" t="s">
        <v>4</v>
      </c>
      <c r="D2653" t="s">
        <v>868</v>
      </c>
      <c r="F2653"/>
      <c r="G2653"/>
      <c r="H2653">
        <v>7</v>
      </c>
    </row>
    <row r="2654" spans="1:8" x14ac:dyDescent="0.2">
      <c r="A2654" t="s">
        <v>2507</v>
      </c>
      <c r="B2654" s="44">
        <v>41534</v>
      </c>
      <c r="C2654" t="s">
        <v>5834</v>
      </c>
      <c r="D2654" t="s">
        <v>1154</v>
      </c>
      <c r="F2654"/>
      <c r="G2654"/>
      <c r="H2654">
        <v>7</v>
      </c>
    </row>
    <row r="2655" spans="1:8" x14ac:dyDescent="0.2">
      <c r="A2655" t="s">
        <v>872</v>
      </c>
      <c r="B2655" s="44">
        <v>41549</v>
      </c>
      <c r="C2655" t="s">
        <v>4</v>
      </c>
      <c r="D2655" t="s">
        <v>873</v>
      </c>
      <c r="F2655"/>
      <c r="G2655"/>
      <c r="H2655">
        <v>7</v>
      </c>
    </row>
    <row r="2656" spans="1:8" x14ac:dyDescent="0.2">
      <c r="A2656" t="s">
        <v>2824</v>
      </c>
      <c r="B2656" s="44">
        <v>41577</v>
      </c>
      <c r="C2656" t="s">
        <v>5834</v>
      </c>
      <c r="D2656" t="s">
        <v>2825</v>
      </c>
      <c r="F2656"/>
      <c r="G2656"/>
      <c r="H2656">
        <v>7</v>
      </c>
    </row>
    <row r="2657" spans="1:8" x14ac:dyDescent="0.2">
      <c r="A2657" t="s">
        <v>2822</v>
      </c>
      <c r="B2657" s="44">
        <v>41577</v>
      </c>
      <c r="C2657" t="s">
        <v>5834</v>
      </c>
      <c r="D2657" t="s">
        <v>2823</v>
      </c>
      <c r="F2657"/>
      <c r="G2657"/>
      <c r="H2657">
        <v>7</v>
      </c>
    </row>
    <row r="2658" spans="1:8" x14ac:dyDescent="0.2">
      <c r="A2658" t="s">
        <v>925</v>
      </c>
      <c r="B2658" s="44">
        <v>41589</v>
      </c>
      <c r="C2658" t="s">
        <v>5834</v>
      </c>
      <c r="D2658" t="s">
        <v>926</v>
      </c>
      <c r="F2658"/>
      <c r="G2658"/>
      <c r="H2658">
        <v>7</v>
      </c>
    </row>
    <row r="2659" spans="1:8" x14ac:dyDescent="0.2">
      <c r="A2659" t="s">
        <v>935</v>
      </c>
      <c r="B2659" s="44">
        <v>41590</v>
      </c>
      <c r="C2659" t="s">
        <v>5834</v>
      </c>
      <c r="D2659" t="s">
        <v>936</v>
      </c>
      <c r="F2659"/>
      <c r="G2659"/>
      <c r="H2659">
        <v>7</v>
      </c>
    </row>
    <row r="2660" spans="1:8" x14ac:dyDescent="0.2">
      <c r="A2660" t="s">
        <v>2931</v>
      </c>
      <c r="B2660" s="44">
        <v>41598</v>
      </c>
      <c r="C2660" t="s">
        <v>4</v>
      </c>
      <c r="D2660" t="s">
        <v>2932</v>
      </c>
      <c r="F2660"/>
      <c r="G2660"/>
      <c r="H2660">
        <v>7</v>
      </c>
    </row>
    <row r="2661" spans="1:8" x14ac:dyDescent="0.2">
      <c r="A2661" t="s">
        <v>2955</v>
      </c>
      <c r="B2661" s="44">
        <v>41600</v>
      </c>
      <c r="C2661" t="s">
        <v>5840</v>
      </c>
      <c r="D2661" t="s">
        <v>2956</v>
      </c>
      <c r="F2661"/>
      <c r="G2661"/>
      <c r="H2661">
        <v>7</v>
      </c>
    </row>
    <row r="2662" spans="1:8" x14ac:dyDescent="0.2">
      <c r="A2662" t="s">
        <v>999</v>
      </c>
      <c r="B2662" s="44">
        <v>41651</v>
      </c>
      <c r="C2662" t="s">
        <v>4</v>
      </c>
      <c r="D2662" t="s">
        <v>1000</v>
      </c>
      <c r="F2662"/>
      <c r="G2662"/>
      <c r="H2662">
        <v>7</v>
      </c>
    </row>
    <row r="2663" spans="1:8" x14ac:dyDescent="0.2">
      <c r="A2663" t="s">
        <v>1535</v>
      </c>
      <c r="B2663" s="44">
        <v>41688</v>
      </c>
      <c r="C2663" t="s">
        <v>5834</v>
      </c>
      <c r="D2663" t="s">
        <v>1536</v>
      </c>
      <c r="F2663"/>
      <c r="G2663"/>
      <c r="H2663">
        <v>7</v>
      </c>
    </row>
    <row r="2664" spans="1:8" x14ac:dyDescent="0.2">
      <c r="A2664" t="s">
        <v>2019</v>
      </c>
      <c r="B2664" s="44">
        <v>41781</v>
      </c>
      <c r="C2664" t="s">
        <v>2020</v>
      </c>
      <c r="D2664" t="s">
        <v>2021</v>
      </c>
      <c r="F2664"/>
      <c r="G2664"/>
      <c r="H2664">
        <v>7</v>
      </c>
    </row>
    <row r="2665" spans="1:8" x14ac:dyDescent="0.2">
      <c r="A2665" t="s">
        <v>963</v>
      </c>
      <c r="B2665" s="44">
        <v>41796</v>
      </c>
      <c r="C2665" t="s">
        <v>5834</v>
      </c>
      <c r="D2665" t="s">
        <v>964</v>
      </c>
      <c r="F2665"/>
      <c r="G2665"/>
      <c r="H2665">
        <v>7</v>
      </c>
    </row>
    <row r="2666" spans="1:8" x14ac:dyDescent="0.2">
      <c r="A2666" t="s">
        <v>968</v>
      </c>
      <c r="B2666" s="44">
        <v>41827</v>
      </c>
      <c r="C2666" t="s">
        <v>4</v>
      </c>
      <c r="D2666" t="s">
        <v>969</v>
      </c>
      <c r="F2666"/>
      <c r="G2666"/>
      <c r="H2666">
        <v>7</v>
      </c>
    </row>
    <row r="2667" spans="1:8" x14ac:dyDescent="0.2">
      <c r="A2667" t="s">
        <v>978</v>
      </c>
      <c r="B2667" s="44">
        <v>41829</v>
      </c>
      <c r="C2667" t="s">
        <v>5834</v>
      </c>
      <c r="D2667" t="s">
        <v>979</v>
      </c>
      <c r="F2667"/>
      <c r="G2667"/>
      <c r="H2667">
        <v>7</v>
      </c>
    </row>
    <row r="2668" spans="1:8" x14ac:dyDescent="0.2">
      <c r="A2668" t="s">
        <v>2634</v>
      </c>
      <c r="B2668" s="44">
        <v>41912</v>
      </c>
      <c r="C2668" t="s">
        <v>5837</v>
      </c>
      <c r="D2668" t="s">
        <v>2635</v>
      </c>
      <c r="F2668"/>
      <c r="G2668"/>
      <c r="H2668">
        <v>7</v>
      </c>
    </row>
    <row r="2669" spans="1:8" x14ac:dyDescent="0.2">
      <c r="A2669" t="s">
        <v>2974</v>
      </c>
      <c r="B2669" s="44">
        <v>41967</v>
      </c>
      <c r="C2669" t="s">
        <v>5834</v>
      </c>
      <c r="D2669" t="s">
        <v>806</v>
      </c>
      <c r="F2669"/>
      <c r="G2669"/>
      <c r="H2669">
        <v>7</v>
      </c>
    </row>
    <row r="2670" spans="1:8" x14ac:dyDescent="0.2">
      <c r="A2670" t="s">
        <v>2990</v>
      </c>
      <c r="B2670" s="44">
        <v>41969</v>
      </c>
      <c r="C2670" t="s">
        <v>5834</v>
      </c>
      <c r="D2670" t="s">
        <v>1067</v>
      </c>
      <c r="F2670"/>
      <c r="G2670"/>
      <c r="H2670">
        <v>7</v>
      </c>
    </row>
    <row r="2671" spans="1:8" x14ac:dyDescent="0.2">
      <c r="A2671" t="s">
        <v>1490</v>
      </c>
      <c r="B2671" s="44">
        <v>42035</v>
      </c>
      <c r="C2671" t="s">
        <v>5834</v>
      </c>
      <c r="D2671" t="s">
        <v>1491</v>
      </c>
      <c r="F2671"/>
      <c r="G2671"/>
      <c r="H2671">
        <v>7</v>
      </c>
    </row>
    <row r="2672" spans="1:8" x14ac:dyDescent="0.2">
      <c r="A2672" t="s">
        <v>1068</v>
      </c>
      <c r="B2672" s="44">
        <v>42047</v>
      </c>
      <c r="C2672" t="s">
        <v>4</v>
      </c>
      <c r="D2672" t="s">
        <v>1069</v>
      </c>
      <c r="F2672"/>
      <c r="G2672"/>
      <c r="H2672">
        <v>7</v>
      </c>
    </row>
    <row r="2673" spans="1:8" x14ac:dyDescent="0.2">
      <c r="A2673" t="s">
        <v>1063</v>
      </c>
      <c r="B2673" s="44">
        <v>42047</v>
      </c>
      <c r="C2673" t="s">
        <v>4</v>
      </c>
      <c r="D2673" t="s">
        <v>1064</v>
      </c>
      <c r="F2673"/>
      <c r="G2673"/>
      <c r="H2673">
        <v>7</v>
      </c>
    </row>
    <row r="2674" spans="1:8" x14ac:dyDescent="0.2">
      <c r="A2674" t="s">
        <v>1066</v>
      </c>
      <c r="B2674" s="44">
        <v>42047</v>
      </c>
      <c r="C2674" t="s">
        <v>4</v>
      </c>
      <c r="D2674" t="s">
        <v>1067</v>
      </c>
      <c r="F2674"/>
      <c r="G2674"/>
      <c r="H2674">
        <v>7</v>
      </c>
    </row>
    <row r="2675" spans="1:8" x14ac:dyDescent="0.2">
      <c r="A2675" t="s">
        <v>1497</v>
      </c>
      <c r="B2675" s="44">
        <v>42048</v>
      </c>
      <c r="C2675" t="s">
        <v>4</v>
      </c>
      <c r="D2675" t="s">
        <v>1498</v>
      </c>
      <c r="F2675"/>
      <c r="G2675"/>
      <c r="H2675">
        <v>7</v>
      </c>
    </row>
    <row r="2676" spans="1:8" x14ac:dyDescent="0.2">
      <c r="A2676" t="s">
        <v>1766</v>
      </c>
      <c r="B2676" s="44">
        <v>42088</v>
      </c>
      <c r="C2676" t="s">
        <v>5834</v>
      </c>
      <c r="D2676" t="s">
        <v>1767</v>
      </c>
      <c r="F2676"/>
      <c r="G2676"/>
      <c r="H2676">
        <v>7</v>
      </c>
    </row>
    <row r="2677" spans="1:8" x14ac:dyDescent="0.2">
      <c r="A2677" t="s">
        <v>1764</v>
      </c>
      <c r="B2677" s="44">
        <v>42088</v>
      </c>
      <c r="C2677" t="s">
        <v>5834</v>
      </c>
      <c r="D2677" t="s">
        <v>1765</v>
      </c>
      <c r="F2677"/>
      <c r="G2677"/>
      <c r="H2677">
        <v>7</v>
      </c>
    </row>
    <row r="2678" spans="1:8" x14ac:dyDescent="0.2">
      <c r="A2678" t="s">
        <v>1789</v>
      </c>
      <c r="B2678" s="44">
        <v>42090</v>
      </c>
      <c r="C2678" t="s">
        <v>5835</v>
      </c>
      <c r="D2678" t="s">
        <v>1790</v>
      </c>
      <c r="F2678"/>
      <c r="G2678"/>
      <c r="H2678">
        <v>7</v>
      </c>
    </row>
    <row r="2679" spans="1:8" x14ac:dyDescent="0.2">
      <c r="A2679" t="s">
        <v>1007</v>
      </c>
      <c r="B2679" s="44">
        <v>42248</v>
      </c>
      <c r="C2679" t="s">
        <v>5834</v>
      </c>
      <c r="D2679" t="s">
        <v>1008</v>
      </c>
      <c r="F2679"/>
      <c r="G2679"/>
      <c r="H2679">
        <v>7</v>
      </c>
    </row>
    <row r="2680" spans="1:8" x14ac:dyDescent="0.2">
      <c r="A2680" t="s">
        <v>2637</v>
      </c>
      <c r="B2680" s="44">
        <v>42277</v>
      </c>
      <c r="C2680" t="s">
        <v>4</v>
      </c>
      <c r="D2680" t="s">
        <v>2638</v>
      </c>
      <c r="F2680"/>
      <c r="G2680"/>
      <c r="H2680">
        <v>7</v>
      </c>
    </row>
    <row r="2681" spans="1:8" x14ac:dyDescent="0.2">
      <c r="A2681" t="s">
        <v>2813</v>
      </c>
      <c r="B2681" s="44">
        <v>42306</v>
      </c>
      <c r="C2681" t="s">
        <v>5834</v>
      </c>
      <c r="D2681" t="s">
        <v>1067</v>
      </c>
      <c r="F2681"/>
      <c r="G2681"/>
      <c r="H2681">
        <v>7</v>
      </c>
    </row>
    <row r="2682" spans="1:8" x14ac:dyDescent="0.2">
      <c r="A2682" t="s">
        <v>1058</v>
      </c>
      <c r="B2682" s="44">
        <v>42319</v>
      </c>
      <c r="C2682" t="s">
        <v>5834</v>
      </c>
      <c r="D2682" t="s">
        <v>4465</v>
      </c>
      <c r="F2682"/>
      <c r="G2682"/>
      <c r="H2682">
        <v>7</v>
      </c>
    </row>
    <row r="2683" spans="1:8" x14ac:dyDescent="0.2">
      <c r="A2683" t="s">
        <v>1730</v>
      </c>
      <c r="B2683" s="44">
        <v>42450</v>
      </c>
      <c r="C2683" t="s">
        <v>5834</v>
      </c>
      <c r="D2683" t="s">
        <v>1731</v>
      </c>
      <c r="F2683"/>
      <c r="G2683"/>
      <c r="H2683">
        <v>7</v>
      </c>
    </row>
    <row r="2684" spans="1:8" x14ac:dyDescent="0.2">
      <c r="A2684" t="s">
        <v>1821</v>
      </c>
      <c r="B2684" s="44">
        <v>42474</v>
      </c>
      <c r="C2684" t="s">
        <v>4</v>
      </c>
      <c r="D2684" t="s">
        <v>4466</v>
      </c>
      <c r="F2684"/>
      <c r="G2684"/>
      <c r="H2684">
        <v>7</v>
      </c>
    </row>
    <row r="2685" spans="1:8" x14ac:dyDescent="0.2">
      <c r="A2685" t="s">
        <v>2049</v>
      </c>
      <c r="B2685" s="44">
        <v>42515</v>
      </c>
      <c r="C2685" t="s">
        <v>4</v>
      </c>
      <c r="D2685" t="s">
        <v>2050</v>
      </c>
      <c r="F2685"/>
      <c r="G2685"/>
      <c r="H2685">
        <v>7</v>
      </c>
    </row>
    <row r="2686" spans="1:8" x14ac:dyDescent="0.2">
      <c r="A2686" t="s">
        <v>2297</v>
      </c>
      <c r="B2686" s="44">
        <v>42551</v>
      </c>
      <c r="C2686" t="s">
        <v>912</v>
      </c>
      <c r="D2686" t="s">
        <v>2298</v>
      </c>
      <c r="F2686"/>
      <c r="G2686"/>
      <c r="H2686">
        <v>7</v>
      </c>
    </row>
    <row r="2687" spans="1:8" x14ac:dyDescent="0.2">
      <c r="A2687" t="s">
        <v>2711</v>
      </c>
      <c r="B2687" s="44">
        <v>42662</v>
      </c>
      <c r="C2687" t="s">
        <v>4</v>
      </c>
      <c r="D2687" t="s">
        <v>2712</v>
      </c>
      <c r="F2687"/>
      <c r="G2687"/>
      <c r="H2687">
        <v>7</v>
      </c>
    </row>
    <row r="2688" spans="1:8" x14ac:dyDescent="0.2">
      <c r="A2688" t="s">
        <v>2880</v>
      </c>
      <c r="B2688" s="44">
        <v>42690</v>
      </c>
      <c r="C2688" t="s">
        <v>912</v>
      </c>
      <c r="D2688" t="s">
        <v>2881</v>
      </c>
      <c r="F2688"/>
      <c r="G2688"/>
      <c r="H2688">
        <v>7</v>
      </c>
    </row>
    <row r="2689" spans="1:8" x14ac:dyDescent="0.2">
      <c r="A2689" t="s">
        <v>1193</v>
      </c>
      <c r="B2689" s="44">
        <v>42777</v>
      </c>
      <c r="C2689" t="s">
        <v>912</v>
      </c>
      <c r="D2689" t="s">
        <v>1194</v>
      </c>
      <c r="F2689"/>
      <c r="G2689"/>
      <c r="H2689">
        <v>7</v>
      </c>
    </row>
    <row r="2690" spans="1:8" x14ac:dyDescent="0.2">
      <c r="A2690" t="s">
        <v>1158</v>
      </c>
      <c r="B2690" s="44">
        <v>42919</v>
      </c>
      <c r="C2690" t="s">
        <v>912</v>
      </c>
      <c r="D2690" t="s">
        <v>1159</v>
      </c>
      <c r="F2690"/>
      <c r="G2690"/>
      <c r="H2690">
        <v>7</v>
      </c>
    </row>
    <row r="2691" spans="1:8" x14ac:dyDescent="0.2">
      <c r="A2691" t="s">
        <v>2613</v>
      </c>
      <c r="B2691" s="44">
        <v>43006</v>
      </c>
      <c r="C2691" t="s">
        <v>2061</v>
      </c>
      <c r="D2691" t="s">
        <v>4268</v>
      </c>
      <c r="F2691"/>
      <c r="G2691"/>
      <c r="H2691">
        <v>7</v>
      </c>
    </row>
    <row r="2692" spans="1:8" x14ac:dyDescent="0.2">
      <c r="A2692" t="s">
        <v>2614</v>
      </c>
      <c r="B2692" s="44">
        <v>43006</v>
      </c>
      <c r="C2692" t="s">
        <v>4</v>
      </c>
      <c r="D2692" t="s">
        <v>4467</v>
      </c>
      <c r="F2692"/>
      <c r="G2692"/>
      <c r="H2692">
        <v>7</v>
      </c>
    </row>
    <row r="2693" spans="1:8" x14ac:dyDescent="0.2">
      <c r="A2693" t="s">
        <v>2623</v>
      </c>
      <c r="B2693" s="44">
        <v>43007</v>
      </c>
      <c r="C2693" t="s">
        <v>4</v>
      </c>
      <c r="D2693" t="s">
        <v>4269</v>
      </c>
      <c r="F2693"/>
      <c r="G2693"/>
      <c r="H2693">
        <v>7</v>
      </c>
    </row>
    <row r="2694" spans="1:8" x14ac:dyDescent="0.2">
      <c r="A2694" t="s">
        <v>2623</v>
      </c>
      <c r="B2694" s="44">
        <v>43007</v>
      </c>
      <c r="C2694" t="s">
        <v>4</v>
      </c>
      <c r="D2694" t="s">
        <v>4270</v>
      </c>
      <c r="F2694"/>
      <c r="G2694"/>
      <c r="H2694">
        <v>7</v>
      </c>
    </row>
    <row r="2695" spans="1:8" x14ac:dyDescent="0.2">
      <c r="A2695" t="s">
        <v>2624</v>
      </c>
      <c r="B2695" s="44">
        <v>43007</v>
      </c>
      <c r="C2695" t="s">
        <v>4</v>
      </c>
      <c r="D2695" t="s">
        <v>4468</v>
      </c>
      <c r="F2695"/>
      <c r="G2695"/>
      <c r="H2695">
        <v>7</v>
      </c>
    </row>
    <row r="2696" spans="1:8" x14ac:dyDescent="0.2">
      <c r="A2696" t="s">
        <v>1151</v>
      </c>
      <c r="B2696" s="44">
        <v>43010</v>
      </c>
      <c r="C2696" t="s">
        <v>4</v>
      </c>
      <c r="D2696" t="s">
        <v>1152</v>
      </c>
      <c r="F2696"/>
      <c r="G2696"/>
      <c r="H2696">
        <v>7</v>
      </c>
    </row>
    <row r="2697" spans="1:8" x14ac:dyDescent="0.2">
      <c r="A2697" t="s">
        <v>1153</v>
      </c>
      <c r="B2697" s="44">
        <v>43010</v>
      </c>
      <c r="C2697" t="s">
        <v>4</v>
      </c>
      <c r="D2697" t="s">
        <v>1154</v>
      </c>
      <c r="F2697"/>
      <c r="G2697"/>
      <c r="H2697">
        <v>7</v>
      </c>
    </row>
    <row r="2698" spans="1:8" x14ac:dyDescent="0.2">
      <c r="A2698" t="s">
        <v>1189</v>
      </c>
      <c r="B2698" s="44">
        <v>43049</v>
      </c>
      <c r="C2698" t="s">
        <v>5834</v>
      </c>
      <c r="D2698" t="s">
        <v>1190</v>
      </c>
      <c r="F2698"/>
      <c r="G2698"/>
      <c r="H2698">
        <v>7</v>
      </c>
    </row>
    <row r="2699" spans="1:8" x14ac:dyDescent="0.2">
      <c r="A2699" t="s">
        <v>2865</v>
      </c>
      <c r="B2699" s="44">
        <v>43054</v>
      </c>
      <c r="C2699" t="s">
        <v>4</v>
      </c>
      <c r="D2699" t="s">
        <v>2866</v>
      </c>
      <c r="F2699"/>
      <c r="G2699"/>
      <c r="H2699">
        <v>7</v>
      </c>
    </row>
    <row r="2700" spans="1:8" x14ac:dyDescent="0.2">
      <c r="A2700" t="s">
        <v>1214</v>
      </c>
      <c r="B2700" s="44">
        <v>43134</v>
      </c>
      <c r="C2700" t="s">
        <v>5840</v>
      </c>
      <c r="D2700" t="s">
        <v>1215</v>
      </c>
      <c r="F2700"/>
      <c r="G2700"/>
      <c r="H2700">
        <v>7</v>
      </c>
    </row>
    <row r="2701" spans="1:8" x14ac:dyDescent="0.2">
      <c r="A2701" t="s">
        <v>1208</v>
      </c>
      <c r="B2701" s="44">
        <v>43222</v>
      </c>
      <c r="C2701" t="s">
        <v>5840</v>
      </c>
      <c r="D2701" t="s">
        <v>1209</v>
      </c>
      <c r="F2701"/>
      <c r="G2701"/>
      <c r="H2701">
        <v>7</v>
      </c>
    </row>
    <row r="2702" spans="1:8" x14ac:dyDescent="0.2">
      <c r="A2702" t="s">
        <v>1243</v>
      </c>
      <c r="B2702" s="44">
        <v>43354</v>
      </c>
      <c r="C2702" t="s">
        <v>5840</v>
      </c>
      <c r="D2702" t="s">
        <v>1209</v>
      </c>
      <c r="F2702"/>
      <c r="G2702"/>
      <c r="H2702">
        <v>7</v>
      </c>
    </row>
    <row r="2703" spans="1:8" x14ac:dyDescent="0.2">
      <c r="A2703" t="s">
        <v>1249</v>
      </c>
      <c r="B2703" s="44">
        <v>43355</v>
      </c>
      <c r="C2703" t="s">
        <v>5840</v>
      </c>
      <c r="D2703" t="s">
        <v>1250</v>
      </c>
      <c r="F2703"/>
      <c r="G2703"/>
      <c r="H2703">
        <v>7</v>
      </c>
    </row>
    <row r="2704" spans="1:8" x14ac:dyDescent="0.2">
      <c r="A2704" t="s">
        <v>2343</v>
      </c>
      <c r="B2704" s="44">
        <v>43663</v>
      </c>
      <c r="C2704" t="s">
        <v>4</v>
      </c>
      <c r="D2704" t="s">
        <v>2344</v>
      </c>
      <c r="F2704"/>
      <c r="G2704"/>
      <c r="H2704">
        <v>7</v>
      </c>
    </row>
    <row r="2705" spans="1:8" x14ac:dyDescent="0.2">
      <c r="A2705" t="s">
        <v>2358</v>
      </c>
      <c r="B2705" s="44">
        <v>43664</v>
      </c>
      <c r="C2705" t="s">
        <v>4</v>
      </c>
      <c r="D2705" t="s">
        <v>2344</v>
      </c>
      <c r="F2705"/>
      <c r="G2705"/>
      <c r="H2705">
        <v>7</v>
      </c>
    </row>
    <row r="2706" spans="1:8" x14ac:dyDescent="0.2">
      <c r="A2706" t="s">
        <v>2666</v>
      </c>
      <c r="B2706" s="44">
        <v>43753</v>
      </c>
      <c r="C2706" t="s">
        <v>5840</v>
      </c>
      <c r="D2706" t="s">
        <v>2667</v>
      </c>
      <c r="F2706"/>
      <c r="G2706"/>
      <c r="H2706">
        <v>7</v>
      </c>
    </row>
    <row r="2707" spans="1:8" x14ac:dyDescent="0.2">
      <c r="A2707" t="s">
        <v>2859</v>
      </c>
      <c r="B2707" s="44">
        <v>43783</v>
      </c>
      <c r="C2707" t="s">
        <v>5834</v>
      </c>
      <c r="D2707" t="s">
        <v>2860</v>
      </c>
      <c r="F2707"/>
      <c r="G2707"/>
      <c r="H2707">
        <v>7</v>
      </c>
    </row>
    <row r="2708" spans="1:8" x14ac:dyDescent="0.2">
      <c r="A2708" t="s">
        <v>2984</v>
      </c>
      <c r="B2708" s="44">
        <v>43794</v>
      </c>
      <c r="C2708" t="s">
        <v>5834</v>
      </c>
      <c r="D2708" t="s">
        <v>2985</v>
      </c>
      <c r="F2708"/>
      <c r="G2708"/>
      <c r="H2708">
        <v>7</v>
      </c>
    </row>
    <row r="2709" spans="1:8" x14ac:dyDescent="0.2">
      <c r="A2709" t="s">
        <v>1645</v>
      </c>
      <c r="B2709" s="44">
        <v>43888</v>
      </c>
      <c r="C2709" t="s">
        <v>5834</v>
      </c>
      <c r="D2709" t="s">
        <v>1646</v>
      </c>
      <c r="F2709"/>
      <c r="G2709"/>
      <c r="H2709">
        <v>7</v>
      </c>
    </row>
    <row r="2710" spans="1:8" x14ac:dyDescent="0.2">
      <c r="A2710" t="s">
        <v>2300</v>
      </c>
      <c r="B2710" s="44">
        <v>44012</v>
      </c>
      <c r="C2710" t="s">
        <v>4</v>
      </c>
      <c r="D2710" t="s">
        <v>3293</v>
      </c>
      <c r="F2710"/>
      <c r="G2710"/>
      <c r="H2710">
        <v>7</v>
      </c>
    </row>
    <row r="2711" spans="1:8" x14ac:dyDescent="0.2">
      <c r="A2711" s="44">
        <v>41698</v>
      </c>
      <c r="B2711" s="44">
        <v>41698</v>
      </c>
      <c r="C2711" t="s">
        <v>5833</v>
      </c>
      <c r="D2711" t="s">
        <v>5816</v>
      </c>
      <c r="F2711"/>
      <c r="G2711"/>
      <c r="H2711">
        <v>5</v>
      </c>
    </row>
    <row r="2712" spans="1:8" x14ac:dyDescent="0.2">
      <c r="A2712" s="44">
        <v>37873</v>
      </c>
      <c r="B2712" s="44">
        <v>37873</v>
      </c>
      <c r="C2712" t="s">
        <v>4</v>
      </c>
      <c r="D2712" t="s">
        <v>5817</v>
      </c>
      <c r="F2712"/>
      <c r="G2712"/>
      <c r="H2712">
        <v>7</v>
      </c>
    </row>
    <row r="2713" spans="1:8" x14ac:dyDescent="0.2">
      <c r="A2713" s="44">
        <v>37874</v>
      </c>
      <c r="B2713" s="44">
        <v>37874</v>
      </c>
      <c r="C2713" t="s">
        <v>4</v>
      </c>
      <c r="D2713" t="s">
        <v>5817</v>
      </c>
      <c r="F2713"/>
      <c r="G2713"/>
      <c r="H2713">
        <v>7</v>
      </c>
    </row>
    <row r="2714" spans="1:8" x14ac:dyDescent="0.2">
      <c r="A2714" s="44">
        <v>40830</v>
      </c>
      <c r="B2714" s="44">
        <v>40830</v>
      </c>
      <c r="C2714" t="s">
        <v>4</v>
      </c>
      <c r="D2714" t="s">
        <v>5818</v>
      </c>
      <c r="F2714"/>
      <c r="G2714"/>
      <c r="H2714">
        <v>7</v>
      </c>
    </row>
    <row r="2715" spans="1:8" x14ac:dyDescent="0.2">
      <c r="A2715" s="44">
        <v>40831</v>
      </c>
      <c r="B2715" s="44">
        <v>40831</v>
      </c>
      <c r="C2715" t="s">
        <v>4</v>
      </c>
      <c r="D2715" t="s">
        <v>5818</v>
      </c>
      <c r="F2715"/>
      <c r="G2715"/>
      <c r="H2715">
        <v>7</v>
      </c>
    </row>
    <row r="2716" spans="1:8" x14ac:dyDescent="0.2">
      <c r="A2716" s="44">
        <v>41161</v>
      </c>
      <c r="B2716" s="44">
        <v>41161</v>
      </c>
      <c r="C2716" t="s">
        <v>3042</v>
      </c>
      <c r="D2716" t="s">
        <v>5819</v>
      </c>
      <c r="F2716"/>
      <c r="G2716"/>
      <c r="H2716">
        <v>7</v>
      </c>
    </row>
    <row r="2717" spans="1:8" x14ac:dyDescent="0.2">
      <c r="A2717" s="44">
        <v>41162</v>
      </c>
      <c r="B2717" s="44">
        <v>41162</v>
      </c>
      <c r="C2717" t="s">
        <v>3042</v>
      </c>
      <c r="D2717" t="s">
        <v>5819</v>
      </c>
      <c r="F2717"/>
      <c r="G2717"/>
      <c r="H2717">
        <v>7</v>
      </c>
    </row>
    <row r="2718" spans="1:8" x14ac:dyDescent="0.2">
      <c r="A2718" s="44">
        <v>41216</v>
      </c>
      <c r="B2718" s="44">
        <v>41216</v>
      </c>
      <c r="C2718" t="s">
        <v>2840</v>
      </c>
      <c r="D2718" t="s">
        <v>5821</v>
      </c>
      <c r="F2718"/>
      <c r="G2718"/>
      <c r="H2718">
        <v>7</v>
      </c>
    </row>
    <row r="2719" spans="1:8" x14ac:dyDescent="0.2">
      <c r="A2719" s="44">
        <v>41217</v>
      </c>
      <c r="B2719" s="44">
        <v>41217</v>
      </c>
      <c r="C2719" t="s">
        <v>2840</v>
      </c>
      <c r="D2719" t="s">
        <v>5821</v>
      </c>
      <c r="F2719"/>
      <c r="G2719"/>
      <c r="H2719">
        <v>7</v>
      </c>
    </row>
    <row r="2720" spans="1:8" x14ac:dyDescent="0.2">
      <c r="A2720" s="44">
        <v>41218</v>
      </c>
      <c r="B2720" s="44">
        <v>41218</v>
      </c>
      <c r="C2720" t="s">
        <v>2840</v>
      </c>
      <c r="D2720" t="s">
        <v>5822</v>
      </c>
      <c r="F2720"/>
      <c r="G2720"/>
      <c r="H2720">
        <v>7</v>
      </c>
    </row>
    <row r="2721" spans="1:8" x14ac:dyDescent="0.2">
      <c r="A2721" s="44">
        <v>41320</v>
      </c>
      <c r="B2721" s="44">
        <v>41320</v>
      </c>
      <c r="C2721" t="s">
        <v>5838</v>
      </c>
      <c r="D2721" t="s">
        <v>5820</v>
      </c>
      <c r="F2721"/>
      <c r="G2721"/>
      <c r="H2721">
        <v>7</v>
      </c>
    </row>
    <row r="2722" spans="1:8" x14ac:dyDescent="0.2">
      <c r="A2722" s="44">
        <v>41321</v>
      </c>
      <c r="B2722" s="44">
        <v>41321</v>
      </c>
      <c r="C2722" t="s">
        <v>5838</v>
      </c>
      <c r="D2722" t="s">
        <v>5820</v>
      </c>
      <c r="F2722"/>
      <c r="G2722"/>
      <c r="H2722">
        <v>7</v>
      </c>
    </row>
    <row r="2723" spans="1:8" x14ac:dyDescent="0.2">
      <c r="A2723" s="44">
        <v>41404</v>
      </c>
      <c r="B2723" s="44">
        <v>41404</v>
      </c>
      <c r="C2723" t="s">
        <v>4</v>
      </c>
      <c r="D2723" t="s">
        <v>5823</v>
      </c>
      <c r="F2723"/>
      <c r="G2723"/>
      <c r="H2723">
        <v>7</v>
      </c>
    </row>
    <row r="2724" spans="1:8" x14ac:dyDescent="0.2">
      <c r="A2724" s="44">
        <v>41405</v>
      </c>
      <c r="B2724" s="44">
        <v>41405</v>
      </c>
      <c r="C2724" t="s">
        <v>4</v>
      </c>
      <c r="D2724" t="s">
        <v>5823</v>
      </c>
      <c r="F2724"/>
      <c r="G2724"/>
      <c r="H2724">
        <v>7</v>
      </c>
    </row>
    <row r="2725" spans="1:8" x14ac:dyDescent="0.2">
      <c r="A2725" s="44">
        <v>41473</v>
      </c>
      <c r="B2725" s="44">
        <v>41473</v>
      </c>
      <c r="C2725" t="s">
        <v>5838</v>
      </c>
      <c r="D2725" t="s">
        <v>5824</v>
      </c>
      <c r="F2725"/>
      <c r="G2725"/>
      <c r="H2725">
        <v>7</v>
      </c>
    </row>
    <row r="2726" spans="1:8" x14ac:dyDescent="0.2">
      <c r="A2726" s="44">
        <v>41474</v>
      </c>
      <c r="B2726" s="44">
        <v>41474</v>
      </c>
      <c r="C2726" t="s">
        <v>5838</v>
      </c>
      <c r="D2726" t="s">
        <v>5824</v>
      </c>
      <c r="F2726"/>
      <c r="G2726"/>
      <c r="H2726">
        <v>7</v>
      </c>
    </row>
    <row r="2727" spans="1:8" x14ac:dyDescent="0.2">
      <c r="A2727" s="44">
        <v>41473</v>
      </c>
      <c r="B2727" s="44">
        <v>41473</v>
      </c>
      <c r="C2727" t="s">
        <v>5838</v>
      </c>
      <c r="D2727" t="s">
        <v>5825</v>
      </c>
      <c r="F2727"/>
      <c r="G2727"/>
      <c r="H2727">
        <v>7</v>
      </c>
    </row>
    <row r="2728" spans="1:8" x14ac:dyDescent="0.2">
      <c r="A2728" s="44">
        <v>41474</v>
      </c>
      <c r="B2728" s="44">
        <v>41474</v>
      </c>
      <c r="C2728" t="s">
        <v>5838</v>
      </c>
      <c r="D2728" t="s">
        <v>5825</v>
      </c>
      <c r="F2728"/>
      <c r="G2728"/>
      <c r="H2728">
        <v>7</v>
      </c>
    </row>
    <row r="2729" spans="1:8" x14ac:dyDescent="0.2">
      <c r="A2729" s="44">
        <v>41474</v>
      </c>
      <c r="B2729" s="44">
        <v>41474</v>
      </c>
      <c r="C2729" t="s">
        <v>5838</v>
      </c>
      <c r="D2729" t="s">
        <v>5820</v>
      </c>
      <c r="F2729"/>
      <c r="G2729"/>
      <c r="H2729">
        <v>7</v>
      </c>
    </row>
    <row r="2730" spans="1:8" x14ac:dyDescent="0.2">
      <c r="A2730" s="44">
        <v>41475</v>
      </c>
      <c r="B2730" s="44">
        <v>41475</v>
      </c>
      <c r="C2730" t="s">
        <v>5838</v>
      </c>
      <c r="D2730" t="s">
        <v>5820</v>
      </c>
      <c r="F2730"/>
      <c r="G2730"/>
      <c r="H2730">
        <v>7</v>
      </c>
    </row>
    <row r="2731" spans="1:8" x14ac:dyDescent="0.2">
      <c r="A2731" s="44">
        <v>41558</v>
      </c>
      <c r="B2731" s="44">
        <v>41558</v>
      </c>
      <c r="C2731" t="s">
        <v>912</v>
      </c>
      <c r="D2731" t="s">
        <v>5826</v>
      </c>
      <c r="F2731"/>
      <c r="G2731"/>
      <c r="H2731">
        <v>7</v>
      </c>
    </row>
    <row r="2732" spans="1:8" x14ac:dyDescent="0.2">
      <c r="A2732" s="44">
        <v>41559</v>
      </c>
      <c r="B2732" s="44">
        <v>41559</v>
      </c>
      <c r="C2732" t="s">
        <v>912</v>
      </c>
      <c r="D2732" t="s">
        <v>5826</v>
      </c>
      <c r="F2732"/>
      <c r="G2732"/>
      <c r="H2732">
        <v>7</v>
      </c>
    </row>
    <row r="2733" spans="1:8" x14ac:dyDescent="0.2">
      <c r="A2733" s="44">
        <v>41650</v>
      </c>
      <c r="B2733" s="44">
        <v>41650</v>
      </c>
      <c r="C2733" t="s">
        <v>3042</v>
      </c>
      <c r="D2733" t="s">
        <v>5827</v>
      </c>
      <c r="F2733"/>
      <c r="G2733"/>
      <c r="H2733">
        <v>7</v>
      </c>
    </row>
    <row r="2734" spans="1:8" x14ac:dyDescent="0.2">
      <c r="A2734" s="44">
        <v>41651</v>
      </c>
      <c r="B2734" s="44">
        <v>41651</v>
      </c>
      <c r="C2734" t="s">
        <v>3042</v>
      </c>
      <c r="D2734" t="s">
        <v>5827</v>
      </c>
      <c r="F2734"/>
      <c r="G2734"/>
      <c r="H2734">
        <v>7</v>
      </c>
    </row>
    <row r="2735" spans="1:8" x14ac:dyDescent="0.2">
      <c r="A2735" s="44">
        <v>41661</v>
      </c>
      <c r="B2735" s="44">
        <v>41661</v>
      </c>
      <c r="C2735" t="s">
        <v>3042</v>
      </c>
      <c r="D2735" t="s">
        <v>5828</v>
      </c>
      <c r="F2735"/>
      <c r="G2735"/>
      <c r="H2735">
        <v>7</v>
      </c>
    </row>
    <row r="2736" spans="1:8" x14ac:dyDescent="0.2">
      <c r="A2736" s="44">
        <v>41664</v>
      </c>
      <c r="B2736" s="44">
        <v>41664</v>
      </c>
      <c r="C2736" t="s">
        <v>3042</v>
      </c>
      <c r="D2736" t="s">
        <v>5828</v>
      </c>
      <c r="F2736"/>
      <c r="G2736"/>
      <c r="H2736">
        <v>7</v>
      </c>
    </row>
    <row r="2737" spans="1:8" x14ac:dyDescent="0.2">
      <c r="A2737" s="44">
        <v>41779</v>
      </c>
      <c r="B2737" s="44">
        <v>41779</v>
      </c>
      <c r="C2737" t="s">
        <v>778</v>
      </c>
      <c r="D2737" t="s">
        <v>5829</v>
      </c>
      <c r="F2737"/>
      <c r="G2737"/>
      <c r="H2737">
        <v>7</v>
      </c>
    </row>
    <row r="2738" spans="1:8" x14ac:dyDescent="0.2">
      <c r="A2738" s="44">
        <v>41790</v>
      </c>
      <c r="B2738" s="44">
        <v>41790</v>
      </c>
      <c r="C2738" t="s">
        <v>778</v>
      </c>
      <c r="D2738" t="s">
        <v>5829</v>
      </c>
      <c r="F2738"/>
      <c r="G2738"/>
      <c r="H2738">
        <v>7</v>
      </c>
    </row>
    <row r="2739" spans="1:8" x14ac:dyDescent="0.2">
      <c r="A2739" s="44">
        <v>41788</v>
      </c>
      <c r="B2739" s="44">
        <v>41788</v>
      </c>
      <c r="C2739" t="s">
        <v>2073</v>
      </c>
      <c r="D2739" t="s">
        <v>5830</v>
      </c>
      <c r="F2739"/>
      <c r="G2739"/>
      <c r="H2739">
        <v>7</v>
      </c>
    </row>
    <row r="2740" spans="1:8" x14ac:dyDescent="0.2">
      <c r="A2740" s="44">
        <v>41790</v>
      </c>
      <c r="B2740" s="44">
        <v>41790</v>
      </c>
      <c r="C2740" t="s">
        <v>2073</v>
      </c>
      <c r="D2740" t="s">
        <v>5830</v>
      </c>
      <c r="F2740"/>
      <c r="G2740"/>
      <c r="H2740">
        <v>7</v>
      </c>
    </row>
    <row r="2741" spans="1:8" x14ac:dyDescent="0.2">
      <c r="A2741" s="44">
        <v>43084</v>
      </c>
      <c r="B2741" s="44">
        <v>43084</v>
      </c>
      <c r="C2741" t="s">
        <v>3042</v>
      </c>
      <c r="D2741" t="s">
        <v>5831</v>
      </c>
      <c r="F2741"/>
      <c r="G2741"/>
      <c r="H2741">
        <v>7</v>
      </c>
    </row>
    <row r="2742" spans="1:8" x14ac:dyDescent="0.2">
      <c r="A2742" s="44">
        <v>43085</v>
      </c>
      <c r="B2742" s="44">
        <v>43085</v>
      </c>
      <c r="C2742" t="s">
        <v>3042</v>
      </c>
      <c r="D2742" t="s">
        <v>5831</v>
      </c>
      <c r="F2742"/>
      <c r="G2742"/>
      <c r="H2742">
        <v>7</v>
      </c>
    </row>
    <row r="2743" spans="1:8" x14ac:dyDescent="0.2">
      <c r="A2743" s="44">
        <v>43251</v>
      </c>
      <c r="B2743" s="44">
        <v>43251</v>
      </c>
      <c r="C2743" t="s">
        <v>778</v>
      </c>
      <c r="D2743" t="s">
        <v>2086</v>
      </c>
      <c r="F2743"/>
      <c r="G2743"/>
      <c r="H2743">
        <v>7</v>
      </c>
    </row>
    <row r="2744" spans="1:8" x14ac:dyDescent="0.2">
      <c r="A2744" t="s">
        <v>1352</v>
      </c>
      <c r="B2744" s="44">
        <v>36540</v>
      </c>
      <c r="C2744" t="s">
        <v>4</v>
      </c>
      <c r="D2744" t="s">
        <v>3106</v>
      </c>
      <c r="F2744"/>
      <c r="G2744"/>
      <c r="H2744">
        <v>8</v>
      </c>
    </row>
    <row r="2745" spans="1:8" x14ac:dyDescent="0.2">
      <c r="A2745" t="s">
        <v>2364</v>
      </c>
      <c r="B2745" s="44">
        <v>36727</v>
      </c>
      <c r="C2745" t="s">
        <v>4</v>
      </c>
      <c r="D2745" t="s">
        <v>3107</v>
      </c>
      <c r="F2745"/>
      <c r="G2745"/>
      <c r="H2745">
        <v>8</v>
      </c>
    </row>
    <row r="2746" spans="1:8" x14ac:dyDescent="0.2">
      <c r="A2746" t="s">
        <v>2373</v>
      </c>
      <c r="B2746" s="44">
        <v>36728</v>
      </c>
      <c r="C2746" t="s">
        <v>4</v>
      </c>
      <c r="D2746" t="s">
        <v>3108</v>
      </c>
      <c r="F2746"/>
      <c r="G2746"/>
      <c r="H2746">
        <v>8</v>
      </c>
    </row>
    <row r="2747" spans="1:8" x14ac:dyDescent="0.2">
      <c r="A2747" t="s">
        <v>2390</v>
      </c>
      <c r="B2747" s="44">
        <v>36731</v>
      </c>
      <c r="C2747" t="s">
        <v>4</v>
      </c>
      <c r="D2747" t="s">
        <v>3109</v>
      </c>
      <c r="F2747"/>
      <c r="G2747"/>
      <c r="H2747">
        <v>8</v>
      </c>
    </row>
    <row r="2748" spans="1:8" x14ac:dyDescent="0.2">
      <c r="A2748" t="s">
        <v>2616</v>
      </c>
      <c r="B2748" s="44">
        <v>36798</v>
      </c>
      <c r="C2748" t="s">
        <v>4</v>
      </c>
      <c r="D2748" t="s">
        <v>3110</v>
      </c>
      <c r="F2748"/>
      <c r="G2748"/>
      <c r="H2748">
        <v>8</v>
      </c>
    </row>
    <row r="2749" spans="1:8" x14ac:dyDescent="0.2">
      <c r="A2749" t="s">
        <v>106</v>
      </c>
      <c r="B2749" s="44">
        <v>36801</v>
      </c>
      <c r="C2749" t="s">
        <v>4</v>
      </c>
      <c r="D2749" t="s">
        <v>3111</v>
      </c>
      <c r="F2749"/>
      <c r="G2749"/>
      <c r="H2749">
        <v>8</v>
      </c>
    </row>
    <row r="2750" spans="1:8" x14ac:dyDescent="0.2">
      <c r="A2750" t="s">
        <v>2720</v>
      </c>
      <c r="B2750" s="44">
        <v>36819</v>
      </c>
      <c r="C2750" t="s">
        <v>4</v>
      </c>
      <c r="D2750" t="s">
        <v>3112</v>
      </c>
      <c r="F2750"/>
      <c r="G2750"/>
      <c r="H2750">
        <v>8</v>
      </c>
    </row>
    <row r="2751" spans="1:8" x14ac:dyDescent="0.2">
      <c r="A2751" t="s">
        <v>2753</v>
      </c>
      <c r="B2751" s="44">
        <v>36822</v>
      </c>
      <c r="C2751" t="s">
        <v>4</v>
      </c>
      <c r="D2751" t="s">
        <v>3113</v>
      </c>
      <c r="F2751"/>
      <c r="G2751"/>
      <c r="H2751">
        <v>8</v>
      </c>
    </row>
    <row r="2752" spans="1:8" x14ac:dyDescent="0.2">
      <c r="A2752" t="s">
        <v>269</v>
      </c>
      <c r="B2752" s="44">
        <v>37867</v>
      </c>
      <c r="C2752" t="s">
        <v>4</v>
      </c>
      <c r="D2752" t="s">
        <v>3114</v>
      </c>
      <c r="F2752"/>
      <c r="G2752"/>
      <c r="H2752">
        <v>8</v>
      </c>
    </row>
    <row r="2753" spans="1:8" x14ac:dyDescent="0.2">
      <c r="A2753" t="s">
        <v>339</v>
      </c>
      <c r="B2753" s="44">
        <v>38084</v>
      </c>
      <c r="C2753" t="s">
        <v>4</v>
      </c>
      <c r="D2753" t="s">
        <v>341</v>
      </c>
      <c r="F2753"/>
      <c r="G2753"/>
      <c r="H2753">
        <v>8</v>
      </c>
    </row>
    <row r="2754" spans="1:8" x14ac:dyDescent="0.2">
      <c r="A2754" t="s">
        <v>2052</v>
      </c>
      <c r="B2754" s="44">
        <v>38133</v>
      </c>
      <c r="C2754" t="s">
        <v>4</v>
      </c>
      <c r="D2754" t="s">
        <v>3115</v>
      </c>
      <c r="F2754"/>
      <c r="G2754"/>
      <c r="H2754">
        <v>8</v>
      </c>
    </row>
    <row r="2755" spans="1:8" x14ac:dyDescent="0.2">
      <c r="A2755" t="s">
        <v>2084</v>
      </c>
      <c r="B2755" s="44">
        <v>38138</v>
      </c>
      <c r="C2755" t="s">
        <v>4</v>
      </c>
      <c r="D2755" t="s">
        <v>3116</v>
      </c>
      <c r="F2755"/>
      <c r="G2755"/>
      <c r="H2755">
        <v>8</v>
      </c>
    </row>
    <row r="2756" spans="1:8" x14ac:dyDescent="0.2">
      <c r="A2756" t="s">
        <v>314</v>
      </c>
      <c r="B2756" s="44">
        <v>38139</v>
      </c>
      <c r="C2756" t="s">
        <v>4</v>
      </c>
      <c r="D2756" t="s">
        <v>3117</v>
      </c>
      <c r="F2756"/>
      <c r="G2756"/>
      <c r="H2756">
        <v>8</v>
      </c>
    </row>
    <row r="2757" spans="1:8" x14ac:dyDescent="0.2">
      <c r="A2757" t="s">
        <v>316</v>
      </c>
      <c r="B2757" s="44">
        <v>38140</v>
      </c>
      <c r="C2757" t="s">
        <v>4</v>
      </c>
      <c r="D2757" t="s">
        <v>3118</v>
      </c>
      <c r="F2757"/>
      <c r="G2757"/>
      <c r="H2757">
        <v>8</v>
      </c>
    </row>
    <row r="2758" spans="1:8" x14ac:dyDescent="0.2">
      <c r="A2758" t="s">
        <v>320</v>
      </c>
      <c r="B2758" s="44">
        <v>38141</v>
      </c>
      <c r="C2758" t="s">
        <v>4</v>
      </c>
      <c r="D2758" t="s">
        <v>3119</v>
      </c>
      <c r="F2758"/>
      <c r="G2758"/>
      <c r="H2758">
        <v>8</v>
      </c>
    </row>
    <row r="2759" spans="1:8" x14ac:dyDescent="0.2">
      <c r="A2759" t="s">
        <v>333</v>
      </c>
      <c r="B2759" s="44">
        <v>38144</v>
      </c>
      <c r="C2759" t="s">
        <v>4</v>
      </c>
      <c r="D2759" t="s">
        <v>334</v>
      </c>
      <c r="F2759"/>
      <c r="G2759"/>
      <c r="H2759">
        <v>8</v>
      </c>
    </row>
    <row r="2760" spans="1:8" x14ac:dyDescent="0.2">
      <c r="A2760" t="s">
        <v>343</v>
      </c>
      <c r="B2760" s="44">
        <v>38145</v>
      </c>
      <c r="C2760" t="s">
        <v>4</v>
      </c>
      <c r="D2760" t="s">
        <v>3120</v>
      </c>
      <c r="F2760"/>
      <c r="G2760"/>
      <c r="H2760">
        <v>8</v>
      </c>
    </row>
    <row r="2761" spans="1:8" x14ac:dyDescent="0.2">
      <c r="A2761" t="s">
        <v>351</v>
      </c>
      <c r="B2761" s="44">
        <v>38147</v>
      </c>
      <c r="C2761" t="s">
        <v>4</v>
      </c>
      <c r="D2761" t="s">
        <v>3121</v>
      </c>
      <c r="F2761"/>
      <c r="G2761"/>
      <c r="H2761">
        <v>8</v>
      </c>
    </row>
    <row r="2762" spans="1:8" x14ac:dyDescent="0.2">
      <c r="A2762" t="s">
        <v>351</v>
      </c>
      <c r="B2762" s="44">
        <v>38147</v>
      </c>
      <c r="C2762" t="s">
        <v>4</v>
      </c>
      <c r="D2762" t="s">
        <v>3122</v>
      </c>
      <c r="F2762"/>
      <c r="G2762"/>
      <c r="H2762">
        <v>8</v>
      </c>
    </row>
    <row r="2763" spans="1:8" x14ac:dyDescent="0.2">
      <c r="A2763" t="s">
        <v>2088</v>
      </c>
      <c r="B2763" s="44">
        <v>38151</v>
      </c>
      <c r="C2763" t="s">
        <v>4</v>
      </c>
      <c r="D2763" t="s">
        <v>3123</v>
      </c>
      <c r="F2763"/>
      <c r="G2763"/>
      <c r="H2763">
        <v>8</v>
      </c>
    </row>
    <row r="2764" spans="1:8" x14ac:dyDescent="0.2">
      <c r="A2764" t="s">
        <v>2097</v>
      </c>
      <c r="B2764" s="44">
        <v>38152</v>
      </c>
      <c r="C2764" t="s">
        <v>4</v>
      </c>
      <c r="D2764" t="s">
        <v>3124</v>
      </c>
      <c r="F2764"/>
      <c r="G2764"/>
      <c r="H2764">
        <v>8</v>
      </c>
    </row>
    <row r="2765" spans="1:8" x14ac:dyDescent="0.2">
      <c r="A2765" t="s">
        <v>2106</v>
      </c>
      <c r="B2765" s="44">
        <v>38153</v>
      </c>
      <c r="C2765" t="s">
        <v>4</v>
      </c>
      <c r="D2765" t="s">
        <v>3125</v>
      </c>
      <c r="F2765"/>
      <c r="G2765"/>
      <c r="H2765">
        <v>8</v>
      </c>
    </row>
    <row r="2766" spans="1:8" x14ac:dyDescent="0.2">
      <c r="A2766" t="s">
        <v>2118</v>
      </c>
      <c r="B2766" s="44">
        <v>38154</v>
      </c>
      <c r="C2766" t="s">
        <v>4</v>
      </c>
      <c r="D2766" t="s">
        <v>3126</v>
      </c>
      <c r="F2766"/>
      <c r="G2766"/>
      <c r="H2766">
        <v>8</v>
      </c>
    </row>
    <row r="2767" spans="1:8" x14ac:dyDescent="0.2">
      <c r="A2767" t="s">
        <v>2131</v>
      </c>
      <c r="B2767" s="44">
        <v>38155</v>
      </c>
      <c r="C2767" t="s">
        <v>4</v>
      </c>
      <c r="D2767" t="s">
        <v>3127</v>
      </c>
      <c r="F2767"/>
      <c r="G2767"/>
      <c r="H2767">
        <v>8</v>
      </c>
    </row>
    <row r="2768" spans="1:8" x14ac:dyDescent="0.2">
      <c r="A2768" t="s">
        <v>2152</v>
      </c>
      <c r="B2768" s="44">
        <v>38156</v>
      </c>
      <c r="C2768" t="s">
        <v>4</v>
      </c>
      <c r="D2768" t="s">
        <v>3128</v>
      </c>
      <c r="F2768"/>
      <c r="G2768"/>
      <c r="H2768">
        <v>8</v>
      </c>
    </row>
    <row r="2769" spans="1:8" x14ac:dyDescent="0.2">
      <c r="A2769" t="s">
        <v>2177</v>
      </c>
      <c r="B2769" s="44">
        <v>38158</v>
      </c>
      <c r="C2769" t="s">
        <v>4</v>
      </c>
      <c r="D2769" t="s">
        <v>3129</v>
      </c>
      <c r="F2769"/>
      <c r="G2769"/>
      <c r="H2769">
        <v>8</v>
      </c>
    </row>
    <row r="2770" spans="1:8" x14ac:dyDescent="0.2">
      <c r="A2770" t="s">
        <v>2195</v>
      </c>
      <c r="B2770" s="44">
        <v>38159</v>
      </c>
      <c r="C2770" t="s">
        <v>4</v>
      </c>
      <c r="D2770" t="s">
        <v>3130</v>
      </c>
      <c r="F2770"/>
      <c r="G2770"/>
      <c r="H2770">
        <v>8</v>
      </c>
    </row>
    <row r="2771" spans="1:8" x14ac:dyDescent="0.2">
      <c r="A2771" t="s">
        <v>2211</v>
      </c>
      <c r="B2771" s="44">
        <v>38160</v>
      </c>
      <c r="C2771" t="s">
        <v>4</v>
      </c>
      <c r="D2771" t="s">
        <v>3131</v>
      </c>
      <c r="F2771"/>
      <c r="G2771"/>
      <c r="H2771">
        <v>8</v>
      </c>
    </row>
    <row r="2772" spans="1:8" x14ac:dyDescent="0.2">
      <c r="A2772" t="s">
        <v>2223</v>
      </c>
      <c r="B2772" s="44">
        <v>38161</v>
      </c>
      <c r="C2772" t="s">
        <v>4</v>
      </c>
      <c r="D2772" t="s">
        <v>3132</v>
      </c>
      <c r="F2772"/>
      <c r="G2772"/>
      <c r="H2772">
        <v>8</v>
      </c>
    </row>
    <row r="2773" spans="1:8" x14ac:dyDescent="0.2">
      <c r="A2773" t="s">
        <v>2224</v>
      </c>
      <c r="B2773" s="44">
        <v>38161</v>
      </c>
      <c r="C2773" t="s">
        <v>4</v>
      </c>
      <c r="D2773" t="s">
        <v>2225</v>
      </c>
      <c r="F2773"/>
      <c r="G2773"/>
      <c r="H2773">
        <v>8</v>
      </c>
    </row>
    <row r="2774" spans="1:8" x14ac:dyDescent="0.2">
      <c r="A2774" t="s">
        <v>2232</v>
      </c>
      <c r="B2774" s="44">
        <v>38162</v>
      </c>
      <c r="C2774" t="s">
        <v>4</v>
      </c>
      <c r="D2774" t="s">
        <v>3133</v>
      </c>
      <c r="F2774"/>
      <c r="G2774"/>
      <c r="H2774">
        <v>8</v>
      </c>
    </row>
    <row r="2775" spans="1:8" x14ac:dyDescent="0.2">
      <c r="A2775" t="s">
        <v>2267</v>
      </c>
      <c r="B2775" s="44">
        <v>38165</v>
      </c>
      <c r="C2775" t="s">
        <v>4</v>
      </c>
      <c r="D2775" t="s">
        <v>3134</v>
      </c>
      <c r="F2775"/>
      <c r="G2775"/>
      <c r="H2775">
        <v>8</v>
      </c>
    </row>
    <row r="2776" spans="1:8" x14ac:dyDescent="0.2">
      <c r="A2776" t="s">
        <v>2272</v>
      </c>
      <c r="B2776" s="44">
        <v>38166</v>
      </c>
      <c r="C2776" t="s">
        <v>4</v>
      </c>
      <c r="D2776" t="s">
        <v>3135</v>
      </c>
      <c r="F2776"/>
      <c r="G2776"/>
      <c r="H2776">
        <v>8</v>
      </c>
    </row>
    <row r="2777" spans="1:8" x14ac:dyDescent="0.2">
      <c r="A2777" t="s">
        <v>2286</v>
      </c>
      <c r="B2777" s="44">
        <v>38167</v>
      </c>
      <c r="C2777" t="s">
        <v>4</v>
      </c>
      <c r="D2777" t="s">
        <v>3136</v>
      </c>
      <c r="F2777"/>
      <c r="G2777"/>
      <c r="H2777">
        <v>8</v>
      </c>
    </row>
    <row r="2778" spans="1:8" x14ac:dyDescent="0.2">
      <c r="A2778" t="s">
        <v>325</v>
      </c>
      <c r="B2778" s="44">
        <v>38172</v>
      </c>
      <c r="C2778" t="s">
        <v>4</v>
      </c>
      <c r="D2778" t="s">
        <v>3137</v>
      </c>
      <c r="F2778"/>
      <c r="G2778"/>
      <c r="H2778">
        <v>8</v>
      </c>
    </row>
    <row r="2779" spans="1:8" x14ac:dyDescent="0.2">
      <c r="A2779" t="s">
        <v>330</v>
      </c>
      <c r="B2779" s="44">
        <v>38173</v>
      </c>
      <c r="C2779" t="s">
        <v>4</v>
      </c>
      <c r="D2779" t="s">
        <v>3138</v>
      </c>
      <c r="F2779"/>
      <c r="G2779"/>
      <c r="H2779">
        <v>8</v>
      </c>
    </row>
    <row r="2780" spans="1:8" x14ac:dyDescent="0.2">
      <c r="A2780" t="s">
        <v>335</v>
      </c>
      <c r="B2780" s="44">
        <v>38174</v>
      </c>
      <c r="C2780" t="s">
        <v>4</v>
      </c>
      <c r="D2780" t="s">
        <v>3139</v>
      </c>
      <c r="F2780"/>
      <c r="G2780"/>
      <c r="H2780">
        <v>8</v>
      </c>
    </row>
    <row r="2781" spans="1:8" x14ac:dyDescent="0.2">
      <c r="A2781" t="s">
        <v>344</v>
      </c>
      <c r="B2781" s="44">
        <v>38175</v>
      </c>
      <c r="C2781" t="s">
        <v>4</v>
      </c>
      <c r="D2781" t="s">
        <v>3140</v>
      </c>
      <c r="F2781"/>
      <c r="G2781"/>
      <c r="H2781">
        <v>8</v>
      </c>
    </row>
    <row r="2782" spans="1:8" x14ac:dyDescent="0.2">
      <c r="A2782" t="s">
        <v>359</v>
      </c>
      <c r="B2782" s="44">
        <v>38179</v>
      </c>
      <c r="C2782" t="s">
        <v>4</v>
      </c>
      <c r="D2782" t="s">
        <v>3141</v>
      </c>
      <c r="F2782"/>
      <c r="G2782"/>
      <c r="H2782">
        <v>8</v>
      </c>
    </row>
    <row r="2783" spans="1:8" x14ac:dyDescent="0.2">
      <c r="A2783" t="s">
        <v>362</v>
      </c>
      <c r="B2783" s="44">
        <v>38180</v>
      </c>
      <c r="C2783" t="s">
        <v>4</v>
      </c>
      <c r="D2783" t="s">
        <v>3142</v>
      </c>
      <c r="F2783"/>
      <c r="G2783"/>
      <c r="H2783">
        <v>8</v>
      </c>
    </row>
    <row r="2784" spans="1:8" x14ac:dyDescent="0.2">
      <c r="A2784" t="s">
        <v>2303</v>
      </c>
      <c r="B2784" s="44">
        <v>38181</v>
      </c>
      <c r="C2784" t="s">
        <v>4</v>
      </c>
      <c r="D2784" t="s">
        <v>2304</v>
      </c>
      <c r="F2784"/>
      <c r="G2784"/>
      <c r="H2784">
        <v>8</v>
      </c>
    </row>
    <row r="2785" spans="1:8" x14ac:dyDescent="0.2">
      <c r="A2785" t="s">
        <v>396</v>
      </c>
      <c r="B2785" s="44">
        <v>38392</v>
      </c>
      <c r="C2785" t="s">
        <v>4</v>
      </c>
      <c r="D2785" t="s">
        <v>397</v>
      </c>
      <c r="F2785"/>
      <c r="G2785"/>
      <c r="H2785">
        <v>8</v>
      </c>
    </row>
    <row r="2786" spans="1:8" x14ac:dyDescent="0.2">
      <c r="A2786" t="s">
        <v>365</v>
      </c>
      <c r="B2786" s="44">
        <v>38688</v>
      </c>
      <c r="C2786" t="s">
        <v>4</v>
      </c>
      <c r="D2786" t="s">
        <v>366</v>
      </c>
      <c r="F2786"/>
      <c r="G2786"/>
      <c r="H2786">
        <v>8</v>
      </c>
    </row>
    <row r="2787" spans="1:8" x14ac:dyDescent="0.2">
      <c r="A2787" t="s">
        <v>392</v>
      </c>
      <c r="B2787" s="44">
        <v>38694</v>
      </c>
      <c r="C2787" t="s">
        <v>4</v>
      </c>
      <c r="D2787" t="s">
        <v>393</v>
      </c>
      <c r="F2787"/>
      <c r="G2787"/>
      <c r="H2787">
        <v>8</v>
      </c>
    </row>
    <row r="2788" spans="1:8" x14ac:dyDescent="0.2">
      <c r="A2788" t="s">
        <v>1509</v>
      </c>
      <c r="B2788" s="44">
        <v>38763</v>
      </c>
      <c r="C2788" t="s">
        <v>4</v>
      </c>
      <c r="D2788" t="s">
        <v>1510</v>
      </c>
      <c r="F2788"/>
      <c r="G2788"/>
      <c r="H2788">
        <v>8</v>
      </c>
    </row>
    <row r="2789" spans="1:8" x14ac:dyDescent="0.2">
      <c r="A2789" t="s">
        <v>464</v>
      </c>
      <c r="B2789" s="44">
        <v>38784</v>
      </c>
      <c r="C2789" t="s">
        <v>4</v>
      </c>
      <c r="D2789" t="s">
        <v>465</v>
      </c>
      <c r="F2789"/>
      <c r="G2789"/>
      <c r="H2789">
        <v>8</v>
      </c>
    </row>
    <row r="2790" spans="1:8" x14ac:dyDescent="0.2">
      <c r="A2790" t="s">
        <v>466</v>
      </c>
      <c r="B2790" s="44">
        <v>38876</v>
      </c>
      <c r="C2790" t="s">
        <v>4</v>
      </c>
      <c r="D2790" t="s">
        <v>468</v>
      </c>
      <c r="F2790"/>
      <c r="G2790"/>
      <c r="H2790">
        <v>8</v>
      </c>
    </row>
    <row r="2791" spans="1:8" x14ac:dyDescent="0.2">
      <c r="A2791" t="s">
        <v>419</v>
      </c>
      <c r="B2791" s="44">
        <v>39022</v>
      </c>
      <c r="C2791" t="s">
        <v>4</v>
      </c>
      <c r="D2791" t="s">
        <v>420</v>
      </c>
      <c r="F2791"/>
      <c r="G2791"/>
      <c r="H2791">
        <v>8</v>
      </c>
    </row>
    <row r="2792" spans="1:8" x14ac:dyDescent="0.2">
      <c r="A2792" t="s">
        <v>2806</v>
      </c>
      <c r="B2792" s="44">
        <v>39384</v>
      </c>
      <c r="C2792" t="s">
        <v>4</v>
      </c>
      <c r="D2792" t="s">
        <v>2807</v>
      </c>
      <c r="F2792"/>
      <c r="G2792"/>
      <c r="H2792">
        <v>8</v>
      </c>
    </row>
    <row r="2793" spans="1:8" x14ac:dyDescent="0.2">
      <c r="A2793" t="s">
        <v>2818</v>
      </c>
      <c r="B2793" s="44">
        <v>39385</v>
      </c>
      <c r="C2793" t="s">
        <v>4</v>
      </c>
      <c r="D2793" t="s">
        <v>2819</v>
      </c>
      <c r="F2793"/>
      <c r="G2793"/>
      <c r="H2793">
        <v>8</v>
      </c>
    </row>
    <row r="2794" spans="1:8" x14ac:dyDescent="0.2">
      <c r="A2794" t="s">
        <v>2832</v>
      </c>
      <c r="B2794" s="44">
        <v>39386</v>
      </c>
      <c r="C2794" t="s">
        <v>4</v>
      </c>
      <c r="D2794" t="s">
        <v>2833</v>
      </c>
      <c r="F2794"/>
      <c r="G2794"/>
      <c r="H2794">
        <v>8</v>
      </c>
    </row>
    <row r="2795" spans="1:8" x14ac:dyDescent="0.2">
      <c r="A2795" t="s">
        <v>502</v>
      </c>
      <c r="B2795" s="44">
        <v>39387</v>
      </c>
      <c r="C2795" t="s">
        <v>4</v>
      </c>
      <c r="D2795" t="s">
        <v>503</v>
      </c>
      <c r="F2795"/>
      <c r="G2795"/>
      <c r="H2795">
        <v>8</v>
      </c>
    </row>
    <row r="2796" spans="1:8" x14ac:dyDescent="0.2">
      <c r="A2796" t="s">
        <v>506</v>
      </c>
      <c r="B2796" s="44">
        <v>39388</v>
      </c>
      <c r="C2796" t="s">
        <v>4</v>
      </c>
      <c r="D2796" t="s">
        <v>507</v>
      </c>
      <c r="F2796"/>
      <c r="G2796"/>
      <c r="H2796">
        <v>8</v>
      </c>
    </row>
    <row r="2797" spans="1:8" x14ac:dyDescent="0.2">
      <c r="A2797" t="s">
        <v>528</v>
      </c>
      <c r="B2797" s="44">
        <v>39391</v>
      </c>
      <c r="C2797" t="s">
        <v>4</v>
      </c>
      <c r="D2797" t="s">
        <v>529</v>
      </c>
      <c r="F2797"/>
      <c r="G2797"/>
      <c r="H2797">
        <v>8</v>
      </c>
    </row>
    <row r="2798" spans="1:8" x14ac:dyDescent="0.2">
      <c r="A2798" t="s">
        <v>548</v>
      </c>
      <c r="B2798" s="44">
        <v>39392</v>
      </c>
      <c r="C2798" t="s">
        <v>4</v>
      </c>
      <c r="D2798" t="s">
        <v>549</v>
      </c>
      <c r="F2798"/>
      <c r="G2798"/>
      <c r="H2798">
        <v>8</v>
      </c>
    </row>
    <row r="2799" spans="1:8" x14ac:dyDescent="0.2">
      <c r="A2799" t="s">
        <v>1552</v>
      </c>
      <c r="B2799" s="44">
        <v>39498</v>
      </c>
      <c r="C2799" t="s">
        <v>4</v>
      </c>
      <c r="D2799" t="s">
        <v>1553</v>
      </c>
      <c r="F2799"/>
      <c r="G2799"/>
      <c r="H2799">
        <v>8</v>
      </c>
    </row>
    <row r="2800" spans="1:8" x14ac:dyDescent="0.2">
      <c r="A2800" t="s">
        <v>1565</v>
      </c>
      <c r="B2800" s="44">
        <v>39499</v>
      </c>
      <c r="C2800" t="s">
        <v>4</v>
      </c>
      <c r="D2800" t="s">
        <v>1566</v>
      </c>
      <c r="F2800"/>
      <c r="G2800"/>
      <c r="H2800">
        <v>8</v>
      </c>
    </row>
    <row r="2801" spans="1:8" x14ac:dyDescent="0.2">
      <c r="A2801" t="s">
        <v>1575</v>
      </c>
      <c r="B2801" s="44">
        <v>39500</v>
      </c>
      <c r="C2801" t="s">
        <v>4</v>
      </c>
      <c r="D2801" t="s">
        <v>1576</v>
      </c>
      <c r="F2801"/>
      <c r="G2801"/>
      <c r="H2801">
        <v>8</v>
      </c>
    </row>
    <row r="2802" spans="1:8" x14ac:dyDescent="0.2">
      <c r="A2802" t="s">
        <v>1604</v>
      </c>
      <c r="B2802" s="44">
        <v>39503</v>
      </c>
      <c r="C2802" t="s">
        <v>4</v>
      </c>
      <c r="D2802" t="s">
        <v>1605</v>
      </c>
      <c r="F2802"/>
      <c r="G2802"/>
      <c r="H2802">
        <v>8</v>
      </c>
    </row>
    <row r="2803" spans="1:8" x14ac:dyDescent="0.2">
      <c r="A2803" t="s">
        <v>1638</v>
      </c>
      <c r="B2803" s="44">
        <v>39505</v>
      </c>
      <c r="C2803" t="s">
        <v>4</v>
      </c>
      <c r="D2803" t="s">
        <v>1639</v>
      </c>
      <c r="F2803"/>
      <c r="G2803"/>
      <c r="H2803">
        <v>8</v>
      </c>
    </row>
    <row r="2804" spans="1:8" x14ac:dyDescent="0.2">
      <c r="A2804" t="s">
        <v>1650</v>
      </c>
      <c r="B2804" s="44">
        <v>39506</v>
      </c>
      <c r="C2804" t="s">
        <v>4</v>
      </c>
      <c r="D2804" t="s">
        <v>1651</v>
      </c>
      <c r="F2804"/>
      <c r="G2804"/>
      <c r="H2804">
        <v>8</v>
      </c>
    </row>
    <row r="2805" spans="1:8" x14ac:dyDescent="0.2">
      <c r="A2805" t="s">
        <v>1660</v>
      </c>
      <c r="B2805" s="44">
        <v>39507</v>
      </c>
      <c r="C2805" t="s">
        <v>4</v>
      </c>
      <c r="D2805" t="s">
        <v>1661</v>
      </c>
      <c r="F2805"/>
      <c r="G2805"/>
      <c r="H2805">
        <v>8</v>
      </c>
    </row>
    <row r="2806" spans="1:8" x14ac:dyDescent="0.2">
      <c r="A2806" t="s">
        <v>594</v>
      </c>
      <c r="B2806" s="44">
        <v>39510</v>
      </c>
      <c r="C2806" t="s">
        <v>4</v>
      </c>
      <c r="D2806" t="s">
        <v>595</v>
      </c>
      <c r="F2806"/>
      <c r="G2806"/>
      <c r="H2806">
        <v>8</v>
      </c>
    </row>
    <row r="2807" spans="1:8" x14ac:dyDescent="0.2">
      <c r="A2807" t="s">
        <v>601</v>
      </c>
      <c r="B2807" s="44">
        <v>39511</v>
      </c>
      <c r="C2807" t="s">
        <v>4</v>
      </c>
      <c r="D2807" t="s">
        <v>602</v>
      </c>
      <c r="F2807"/>
      <c r="G2807"/>
      <c r="H2807">
        <v>8</v>
      </c>
    </row>
    <row r="2808" spans="1:8" x14ac:dyDescent="0.2">
      <c r="A2808" t="s">
        <v>611</v>
      </c>
      <c r="B2808" s="44">
        <v>39512</v>
      </c>
      <c r="C2808" t="s">
        <v>4</v>
      </c>
      <c r="D2808" t="s">
        <v>612</v>
      </c>
      <c r="F2808"/>
      <c r="G2808"/>
      <c r="H2808">
        <v>8</v>
      </c>
    </row>
    <row r="2809" spans="1:8" x14ac:dyDescent="0.2">
      <c r="A2809" t="s">
        <v>626</v>
      </c>
      <c r="B2809" s="44">
        <v>39576</v>
      </c>
      <c r="C2809" t="s">
        <v>4</v>
      </c>
      <c r="D2809" t="s">
        <v>627</v>
      </c>
      <c r="F2809"/>
      <c r="G2809"/>
      <c r="H2809">
        <v>8</v>
      </c>
    </row>
    <row r="2810" spans="1:8" x14ac:dyDescent="0.2">
      <c r="A2810" t="s">
        <v>629</v>
      </c>
      <c r="B2810" s="44">
        <v>39577</v>
      </c>
      <c r="C2810" t="s">
        <v>4</v>
      </c>
      <c r="D2810" t="s">
        <v>630</v>
      </c>
      <c r="F2810"/>
      <c r="G2810"/>
      <c r="H2810">
        <v>8</v>
      </c>
    </row>
    <row r="2811" spans="1:8" x14ac:dyDescent="0.2">
      <c r="A2811" t="s">
        <v>650</v>
      </c>
      <c r="B2811" s="44">
        <v>39580</v>
      </c>
      <c r="C2811" t="s">
        <v>4</v>
      </c>
      <c r="D2811" t="s">
        <v>651</v>
      </c>
      <c r="F2811"/>
      <c r="G2811"/>
      <c r="H2811">
        <v>8</v>
      </c>
    </row>
    <row r="2812" spans="1:8" x14ac:dyDescent="0.2">
      <c r="A2812" t="s">
        <v>1924</v>
      </c>
      <c r="B2812" s="44">
        <v>39581</v>
      </c>
      <c r="C2812" t="s">
        <v>4</v>
      </c>
      <c r="D2812" t="s">
        <v>1925</v>
      </c>
      <c r="F2812"/>
      <c r="G2812"/>
      <c r="H2812">
        <v>8</v>
      </c>
    </row>
    <row r="2813" spans="1:8" x14ac:dyDescent="0.2">
      <c r="A2813" t="s">
        <v>1932</v>
      </c>
      <c r="B2813" s="44">
        <v>39582</v>
      </c>
      <c r="C2813" t="s">
        <v>4</v>
      </c>
      <c r="D2813" t="s">
        <v>1933</v>
      </c>
      <c r="F2813"/>
      <c r="G2813"/>
      <c r="H2813">
        <v>8</v>
      </c>
    </row>
    <row r="2814" spans="1:8" x14ac:dyDescent="0.2">
      <c r="A2814" t="s">
        <v>1939</v>
      </c>
      <c r="B2814" s="44">
        <v>39583</v>
      </c>
      <c r="C2814" t="s">
        <v>4</v>
      </c>
      <c r="D2814" t="s">
        <v>1940</v>
      </c>
      <c r="F2814"/>
      <c r="G2814"/>
      <c r="H2814">
        <v>8</v>
      </c>
    </row>
    <row r="2815" spans="1:8" x14ac:dyDescent="0.2">
      <c r="A2815" t="s">
        <v>1947</v>
      </c>
      <c r="B2815" s="44">
        <v>39584</v>
      </c>
      <c r="C2815" t="s">
        <v>4</v>
      </c>
      <c r="D2815" t="s">
        <v>1948</v>
      </c>
      <c r="F2815"/>
      <c r="G2815"/>
      <c r="H2815">
        <v>8</v>
      </c>
    </row>
    <row r="2816" spans="1:8" x14ac:dyDescent="0.2">
      <c r="A2816" t="s">
        <v>1978</v>
      </c>
      <c r="B2816" s="44">
        <v>39587</v>
      </c>
      <c r="C2816" t="s">
        <v>4</v>
      </c>
      <c r="D2816" t="s">
        <v>1979</v>
      </c>
      <c r="F2816"/>
      <c r="G2816"/>
      <c r="H2816">
        <v>8</v>
      </c>
    </row>
    <row r="2817" spans="1:8" x14ac:dyDescent="0.2">
      <c r="A2817" t="s">
        <v>1987</v>
      </c>
      <c r="B2817" s="44">
        <v>39588</v>
      </c>
      <c r="C2817" t="s">
        <v>4</v>
      </c>
      <c r="D2817" t="s">
        <v>1988</v>
      </c>
      <c r="F2817"/>
      <c r="G2817"/>
      <c r="H2817">
        <v>8</v>
      </c>
    </row>
    <row r="2818" spans="1:8" x14ac:dyDescent="0.2">
      <c r="A2818" t="s">
        <v>2005</v>
      </c>
      <c r="B2818" s="44">
        <v>39589</v>
      </c>
      <c r="C2818" t="s">
        <v>4</v>
      </c>
      <c r="D2818" t="s">
        <v>2006</v>
      </c>
      <c r="F2818"/>
      <c r="G2818"/>
      <c r="H2818">
        <v>8</v>
      </c>
    </row>
    <row r="2819" spans="1:8" x14ac:dyDescent="0.2">
      <c r="A2819" t="s">
        <v>2016</v>
      </c>
      <c r="B2819" s="44">
        <v>39590</v>
      </c>
      <c r="C2819" t="s">
        <v>4</v>
      </c>
      <c r="D2819" t="s">
        <v>2017</v>
      </c>
      <c r="F2819"/>
      <c r="G2819"/>
      <c r="H2819">
        <v>8</v>
      </c>
    </row>
    <row r="2820" spans="1:8" x14ac:dyDescent="0.2">
      <c r="A2820" t="s">
        <v>2032</v>
      </c>
      <c r="B2820" s="44">
        <v>39591</v>
      </c>
      <c r="C2820" t="s">
        <v>4</v>
      </c>
      <c r="D2820" t="s">
        <v>2033</v>
      </c>
      <c r="F2820"/>
      <c r="G2820"/>
      <c r="H2820">
        <v>8</v>
      </c>
    </row>
    <row r="2821" spans="1:8" x14ac:dyDescent="0.2">
      <c r="A2821" t="s">
        <v>607</v>
      </c>
      <c r="B2821" s="44">
        <v>39603</v>
      </c>
      <c r="C2821" t="s">
        <v>4</v>
      </c>
      <c r="D2821" t="s">
        <v>608</v>
      </c>
      <c r="F2821"/>
      <c r="G2821"/>
      <c r="H2821">
        <v>8</v>
      </c>
    </row>
    <row r="2822" spans="1:8" x14ac:dyDescent="0.2">
      <c r="A2822" t="s">
        <v>2153</v>
      </c>
      <c r="B2822" s="44">
        <v>39617</v>
      </c>
      <c r="C2822" t="s">
        <v>4</v>
      </c>
      <c r="D2822" t="s">
        <v>3143</v>
      </c>
      <c r="F2822"/>
      <c r="G2822"/>
      <c r="H2822">
        <v>8</v>
      </c>
    </row>
    <row r="2823" spans="1:8" x14ac:dyDescent="0.2">
      <c r="A2823" t="s">
        <v>2166</v>
      </c>
      <c r="B2823" s="44">
        <v>39618</v>
      </c>
      <c r="C2823" t="s">
        <v>4</v>
      </c>
      <c r="D2823" t="s">
        <v>3144</v>
      </c>
      <c r="F2823"/>
      <c r="G2823"/>
      <c r="H2823">
        <v>8</v>
      </c>
    </row>
    <row r="2824" spans="1:8" x14ac:dyDescent="0.2">
      <c r="A2824" t="s">
        <v>2185</v>
      </c>
      <c r="B2824" s="44">
        <v>39619</v>
      </c>
      <c r="C2824" t="s">
        <v>4</v>
      </c>
      <c r="D2824" t="s">
        <v>3145</v>
      </c>
      <c r="F2824"/>
      <c r="G2824"/>
      <c r="H2824">
        <v>8</v>
      </c>
    </row>
    <row r="2825" spans="1:8" x14ac:dyDescent="0.2">
      <c r="A2825" t="s">
        <v>2228</v>
      </c>
      <c r="B2825" s="44">
        <v>39622</v>
      </c>
      <c r="C2825" t="s">
        <v>4</v>
      </c>
      <c r="D2825" t="s">
        <v>3146</v>
      </c>
      <c r="F2825"/>
      <c r="G2825"/>
      <c r="H2825">
        <v>8</v>
      </c>
    </row>
    <row r="2826" spans="1:8" x14ac:dyDescent="0.2">
      <c r="A2826" t="s">
        <v>2437</v>
      </c>
      <c r="B2826" s="44">
        <v>39681</v>
      </c>
      <c r="C2826" t="s">
        <v>4</v>
      </c>
      <c r="D2826" t="s">
        <v>2438</v>
      </c>
      <c r="F2826"/>
      <c r="G2826"/>
      <c r="H2826">
        <v>8</v>
      </c>
    </row>
    <row r="2827" spans="1:8" x14ac:dyDescent="0.2">
      <c r="A2827" t="s">
        <v>2437</v>
      </c>
      <c r="B2827" s="44">
        <v>39681</v>
      </c>
      <c r="C2827" t="s">
        <v>4</v>
      </c>
      <c r="D2827" t="s">
        <v>2439</v>
      </c>
      <c r="F2827"/>
      <c r="G2827"/>
      <c r="H2827">
        <v>8</v>
      </c>
    </row>
    <row r="2828" spans="1:8" x14ac:dyDescent="0.2">
      <c r="A2828" t="s">
        <v>2437</v>
      </c>
      <c r="B2828" s="44">
        <v>39681</v>
      </c>
      <c r="C2828" t="s">
        <v>4</v>
      </c>
      <c r="D2828" t="s">
        <v>2440</v>
      </c>
      <c r="F2828"/>
      <c r="G2828"/>
      <c r="H2828">
        <v>8</v>
      </c>
    </row>
    <row r="2829" spans="1:8" x14ac:dyDescent="0.2">
      <c r="A2829" t="s">
        <v>1383</v>
      </c>
      <c r="B2829" s="44">
        <v>35815</v>
      </c>
      <c r="C2829" t="s">
        <v>4</v>
      </c>
      <c r="D2829" t="s">
        <v>3228</v>
      </c>
      <c r="F2829"/>
      <c r="G2829"/>
      <c r="H2829">
        <v>9</v>
      </c>
    </row>
    <row r="2830" spans="1:8" x14ac:dyDescent="0.2">
      <c r="A2830" t="s">
        <v>1473</v>
      </c>
      <c r="B2830" s="44">
        <v>35824</v>
      </c>
      <c r="C2830" t="s">
        <v>4</v>
      </c>
      <c r="D2830" t="s">
        <v>3228</v>
      </c>
      <c r="F2830"/>
      <c r="G2830"/>
      <c r="H2830">
        <v>9</v>
      </c>
    </row>
    <row r="2831" spans="1:8" x14ac:dyDescent="0.2">
      <c r="A2831" t="s">
        <v>1636</v>
      </c>
      <c r="B2831" s="44">
        <v>36583</v>
      </c>
      <c r="C2831" t="s">
        <v>4</v>
      </c>
      <c r="D2831" t="s">
        <v>3245</v>
      </c>
      <c r="H2831">
        <v>9</v>
      </c>
    </row>
    <row r="2832" spans="1:8" x14ac:dyDescent="0.2">
      <c r="A2832" t="s">
        <v>104</v>
      </c>
      <c r="B2832" s="44">
        <v>36648</v>
      </c>
      <c r="C2832" t="s">
        <v>4</v>
      </c>
      <c r="D2832" t="s">
        <v>3235</v>
      </c>
      <c r="F2832"/>
      <c r="G2832"/>
      <c r="H2832">
        <v>9</v>
      </c>
    </row>
    <row r="2833" spans="1:8" x14ac:dyDescent="0.2">
      <c r="A2833" t="s">
        <v>2025</v>
      </c>
      <c r="B2833" s="44">
        <v>36669</v>
      </c>
      <c r="C2833" t="s">
        <v>4</v>
      </c>
      <c r="D2833" t="s">
        <v>3882</v>
      </c>
      <c r="H2833">
        <v>9</v>
      </c>
    </row>
    <row r="2834" spans="1:8" x14ac:dyDescent="0.2">
      <c r="A2834" t="s">
        <v>2026</v>
      </c>
      <c r="B2834" s="44">
        <v>36669</v>
      </c>
      <c r="C2834" t="s">
        <v>4</v>
      </c>
      <c r="D2834" t="s">
        <v>2027</v>
      </c>
      <c r="F2834"/>
      <c r="G2834"/>
      <c r="H2834">
        <v>9</v>
      </c>
    </row>
    <row r="2835" spans="1:8" x14ac:dyDescent="0.2">
      <c r="A2835" t="s">
        <v>2266</v>
      </c>
      <c r="B2835" s="44">
        <v>36704</v>
      </c>
      <c r="C2835" t="s">
        <v>4</v>
      </c>
      <c r="D2835" t="s">
        <v>3621</v>
      </c>
      <c r="F2835"/>
      <c r="G2835"/>
      <c r="H2835">
        <v>9</v>
      </c>
    </row>
    <row r="2836" spans="1:8" x14ac:dyDescent="0.2">
      <c r="A2836" t="s">
        <v>118</v>
      </c>
      <c r="B2836" s="44">
        <v>36711</v>
      </c>
      <c r="C2836" t="s">
        <v>4</v>
      </c>
      <c r="D2836" t="s">
        <v>3621</v>
      </c>
      <c r="F2836"/>
      <c r="G2836"/>
      <c r="H2836">
        <v>9</v>
      </c>
    </row>
    <row r="2837" spans="1:8" x14ac:dyDescent="0.2">
      <c r="A2837" t="s">
        <v>2827</v>
      </c>
      <c r="B2837" s="44">
        <v>36830</v>
      </c>
      <c r="C2837" t="s">
        <v>4</v>
      </c>
      <c r="D2837" t="s">
        <v>3236</v>
      </c>
      <c r="F2837"/>
      <c r="G2837"/>
      <c r="H2837">
        <v>9</v>
      </c>
    </row>
    <row r="2838" spans="1:8" x14ac:dyDescent="0.2">
      <c r="A2838" t="s">
        <v>2948</v>
      </c>
      <c r="B2838" s="44">
        <v>36852</v>
      </c>
      <c r="C2838" t="s">
        <v>4</v>
      </c>
      <c r="D2838" t="s">
        <v>3246</v>
      </c>
      <c r="F2838"/>
      <c r="G2838"/>
      <c r="H2838">
        <v>9</v>
      </c>
    </row>
    <row r="2839" spans="1:8" x14ac:dyDescent="0.2">
      <c r="A2839" t="s">
        <v>1637</v>
      </c>
      <c r="B2839" s="44">
        <v>36949</v>
      </c>
      <c r="C2839" t="s">
        <v>4</v>
      </c>
      <c r="D2839" t="s">
        <v>3245</v>
      </c>
      <c r="H2839">
        <v>9</v>
      </c>
    </row>
    <row r="2840" spans="1:8" x14ac:dyDescent="0.2">
      <c r="A2840" t="s">
        <v>2992</v>
      </c>
      <c r="B2840" s="44">
        <v>37222</v>
      </c>
      <c r="C2840" t="s">
        <v>4</v>
      </c>
      <c r="D2840" t="s">
        <v>3627</v>
      </c>
      <c r="H2840">
        <v>9</v>
      </c>
    </row>
    <row r="2841" spans="1:8" x14ac:dyDescent="0.2">
      <c r="A2841" t="s">
        <v>2318</v>
      </c>
      <c r="B2841" s="44">
        <v>37817</v>
      </c>
      <c r="C2841" t="s">
        <v>4</v>
      </c>
      <c r="D2841" t="s">
        <v>3253</v>
      </c>
      <c r="F2841"/>
      <c r="G2841"/>
      <c r="H2841">
        <v>9</v>
      </c>
    </row>
    <row r="2842" spans="1:8" x14ac:dyDescent="0.2">
      <c r="A2842" t="s">
        <v>2924</v>
      </c>
      <c r="B2842" s="44">
        <v>37945</v>
      </c>
      <c r="C2842" t="s">
        <v>4</v>
      </c>
      <c r="D2842" t="s">
        <v>3294</v>
      </c>
      <c r="H2842">
        <v>9</v>
      </c>
    </row>
    <row r="2843" spans="1:8" x14ac:dyDescent="0.2">
      <c r="A2843" t="s">
        <v>2830</v>
      </c>
      <c r="B2843" s="44">
        <v>39021</v>
      </c>
      <c r="C2843" t="s">
        <v>4</v>
      </c>
      <c r="D2843" t="s">
        <v>3283</v>
      </c>
      <c r="F2843"/>
      <c r="G2843"/>
      <c r="H2843">
        <v>9</v>
      </c>
    </row>
    <row r="2844" spans="1:8" x14ac:dyDescent="0.2">
      <c r="A2844" t="s">
        <v>1781</v>
      </c>
      <c r="B2844" s="44">
        <v>39168</v>
      </c>
      <c r="C2844" t="s">
        <v>4</v>
      </c>
      <c r="D2844" t="s">
        <v>4484</v>
      </c>
      <c r="F2844"/>
      <c r="G2844"/>
      <c r="H2844">
        <v>9</v>
      </c>
    </row>
    <row r="2845" spans="1:8" x14ac:dyDescent="0.2">
      <c r="A2845" t="s">
        <v>2540</v>
      </c>
      <c r="B2845" s="44">
        <v>39345</v>
      </c>
      <c r="C2845" t="s">
        <v>4</v>
      </c>
      <c r="D2845" t="s">
        <v>3352</v>
      </c>
      <c r="F2845"/>
      <c r="G2845"/>
      <c r="H2845">
        <v>9</v>
      </c>
    </row>
    <row r="2846" spans="1:8" x14ac:dyDescent="0.2">
      <c r="A2846" t="s">
        <v>3067</v>
      </c>
      <c r="B2846" s="44">
        <v>39434</v>
      </c>
      <c r="C2846" t="s">
        <v>4</v>
      </c>
      <c r="D2846" t="s">
        <v>3299</v>
      </c>
      <c r="F2846"/>
      <c r="G2846"/>
      <c r="H2846">
        <v>9</v>
      </c>
    </row>
    <row r="2847" spans="1:8" x14ac:dyDescent="0.2">
      <c r="A2847" t="s">
        <v>1908</v>
      </c>
      <c r="B2847" s="44">
        <v>39567</v>
      </c>
      <c r="C2847" t="s">
        <v>4</v>
      </c>
      <c r="D2847" t="s">
        <v>3361</v>
      </c>
      <c r="F2847"/>
      <c r="G2847"/>
      <c r="H2847">
        <v>9</v>
      </c>
    </row>
    <row r="2848" spans="1:8" x14ac:dyDescent="0.2">
      <c r="A2848" t="s">
        <v>2252</v>
      </c>
      <c r="B2848" s="44">
        <v>39625</v>
      </c>
      <c r="C2848" t="s">
        <v>4</v>
      </c>
      <c r="D2848" t="s">
        <v>3369</v>
      </c>
      <c r="F2848"/>
      <c r="G2848"/>
      <c r="H2848">
        <v>9</v>
      </c>
    </row>
    <row r="2849" spans="1:8" x14ac:dyDescent="0.2">
      <c r="A2849" t="s">
        <v>2377</v>
      </c>
      <c r="B2849" s="44">
        <v>39651</v>
      </c>
      <c r="C2849" t="s">
        <v>4</v>
      </c>
      <c r="D2849" t="s">
        <v>3303</v>
      </c>
      <c r="F2849"/>
      <c r="G2849"/>
      <c r="H2849">
        <v>9</v>
      </c>
    </row>
    <row r="2850" spans="1:8" x14ac:dyDescent="0.2">
      <c r="A2850" t="s">
        <v>644</v>
      </c>
      <c r="B2850" s="44">
        <v>39702</v>
      </c>
      <c r="C2850" t="s">
        <v>4</v>
      </c>
      <c r="D2850" t="s">
        <v>3369</v>
      </c>
      <c r="F2850"/>
      <c r="G2850"/>
      <c r="H2850">
        <v>9</v>
      </c>
    </row>
    <row r="2851" spans="1:8" x14ac:dyDescent="0.2">
      <c r="A2851" t="s">
        <v>749</v>
      </c>
      <c r="B2851" s="44">
        <v>40665</v>
      </c>
      <c r="C2851" t="s">
        <v>4</v>
      </c>
      <c r="D2851" t="s">
        <v>3372</v>
      </c>
      <c r="F2851"/>
      <c r="G2851"/>
      <c r="H2851">
        <v>9</v>
      </c>
    </row>
    <row r="2852" spans="1:8" x14ac:dyDescent="0.2">
      <c r="A2852" t="s">
        <v>1663</v>
      </c>
      <c r="B2852" s="44">
        <v>40968</v>
      </c>
      <c r="C2852" t="s">
        <v>4</v>
      </c>
      <c r="D2852" t="s">
        <v>4474</v>
      </c>
      <c r="F2852"/>
      <c r="G2852"/>
      <c r="H2852">
        <v>9</v>
      </c>
    </row>
    <row r="2853" spans="1:8" x14ac:dyDescent="0.2">
      <c r="A2853" t="s">
        <v>2254</v>
      </c>
      <c r="B2853" s="44">
        <v>41086</v>
      </c>
      <c r="C2853" t="s">
        <v>4</v>
      </c>
      <c r="D2853" t="s">
        <v>3334</v>
      </c>
      <c r="F2853"/>
      <c r="G2853"/>
      <c r="H2853">
        <v>9</v>
      </c>
    </row>
    <row r="2854" spans="1:8" x14ac:dyDescent="0.2">
      <c r="A2854" t="s">
        <v>2954</v>
      </c>
      <c r="B2854" s="44">
        <v>41235</v>
      </c>
      <c r="C2854" t="s">
        <v>4</v>
      </c>
      <c r="D2854" t="s">
        <v>3336</v>
      </c>
      <c r="F2854"/>
      <c r="G2854"/>
      <c r="H2854">
        <v>9</v>
      </c>
    </row>
    <row r="2855" spans="1:8" x14ac:dyDescent="0.2">
      <c r="A2855" t="s">
        <v>1353</v>
      </c>
      <c r="B2855" s="44">
        <v>41289</v>
      </c>
      <c r="C2855" t="s">
        <v>4</v>
      </c>
      <c r="D2855" t="s">
        <v>3379</v>
      </c>
      <c r="F2855"/>
      <c r="G2855"/>
      <c r="H2855">
        <v>9</v>
      </c>
    </row>
    <row r="2856" spans="1:8" x14ac:dyDescent="0.2">
      <c r="A2856" t="s">
        <v>894</v>
      </c>
      <c r="B2856" s="44">
        <v>41339</v>
      </c>
      <c r="C2856" t="s">
        <v>4</v>
      </c>
      <c r="D2856" t="s">
        <v>3278</v>
      </c>
      <c r="F2856"/>
      <c r="G2856"/>
      <c r="H2856">
        <v>9</v>
      </c>
    </row>
    <row r="2857" spans="1:8" x14ac:dyDescent="0.2">
      <c r="A2857" t="s">
        <v>866</v>
      </c>
      <c r="B2857" s="44">
        <v>41457</v>
      </c>
      <c r="C2857" t="s">
        <v>4</v>
      </c>
      <c r="D2857" t="s">
        <v>3447</v>
      </c>
      <c r="F2857"/>
      <c r="G2857"/>
      <c r="H2857">
        <v>9</v>
      </c>
    </row>
    <row r="2858" spans="1:8" x14ac:dyDescent="0.2">
      <c r="A2858" t="s">
        <v>2988</v>
      </c>
      <c r="B2858" s="44">
        <v>41604</v>
      </c>
      <c r="C2858" t="s">
        <v>4</v>
      </c>
      <c r="D2858" t="s">
        <v>4476</v>
      </c>
      <c r="F2858"/>
      <c r="G2858"/>
      <c r="H2858">
        <v>9</v>
      </c>
    </row>
    <row r="2859" spans="1:8" x14ac:dyDescent="0.2">
      <c r="A2859" t="s">
        <v>2241</v>
      </c>
      <c r="B2859" s="44">
        <v>41814</v>
      </c>
      <c r="C2859" t="s">
        <v>4</v>
      </c>
      <c r="D2859" t="s">
        <v>3551</v>
      </c>
      <c r="F2859"/>
      <c r="G2859"/>
      <c r="H2859">
        <v>9</v>
      </c>
    </row>
    <row r="2860" spans="1:8" x14ac:dyDescent="0.2">
      <c r="A2860" t="s">
        <v>2500</v>
      </c>
      <c r="B2860" s="44">
        <v>42263</v>
      </c>
      <c r="C2860" t="s">
        <v>4</v>
      </c>
      <c r="D2860" t="s">
        <v>3580</v>
      </c>
      <c r="F2860"/>
      <c r="G2860"/>
      <c r="H2860">
        <v>9</v>
      </c>
    </row>
    <row r="2861" spans="1:8" x14ac:dyDescent="0.2">
      <c r="A2861" t="s">
        <v>1027</v>
      </c>
      <c r="B2861" s="44">
        <v>42345</v>
      </c>
      <c r="C2861" t="s">
        <v>5834</v>
      </c>
      <c r="D2861" t="s">
        <v>3590</v>
      </c>
      <c r="F2861"/>
      <c r="G2861"/>
      <c r="H2861">
        <v>9</v>
      </c>
    </row>
    <row r="2862" spans="1:8" x14ac:dyDescent="0.2">
      <c r="A2862" t="s">
        <v>1116</v>
      </c>
      <c r="B2862" s="44">
        <v>42437</v>
      </c>
      <c r="C2862" t="s">
        <v>4</v>
      </c>
      <c r="D2862" t="s">
        <v>3498</v>
      </c>
      <c r="F2862"/>
      <c r="G2862"/>
      <c r="H2862">
        <v>9</v>
      </c>
    </row>
    <row r="2863" spans="1:8" x14ac:dyDescent="0.2">
      <c r="A2863" t="s">
        <v>1846</v>
      </c>
      <c r="B2863" s="44">
        <v>42479</v>
      </c>
      <c r="C2863" t="s">
        <v>4</v>
      </c>
      <c r="D2863" t="s">
        <v>3560</v>
      </c>
      <c r="F2863"/>
      <c r="G2863"/>
      <c r="H2863">
        <v>9</v>
      </c>
    </row>
    <row r="2864" spans="1:8" x14ac:dyDescent="0.2">
      <c r="A2864" t="s">
        <v>2044</v>
      </c>
      <c r="B2864" s="44">
        <v>42514</v>
      </c>
      <c r="C2864" t="s">
        <v>4</v>
      </c>
      <c r="D2864" t="s">
        <v>3499</v>
      </c>
      <c r="F2864"/>
      <c r="G2864"/>
      <c r="H2864">
        <v>9</v>
      </c>
    </row>
    <row r="2865" spans="1:8" x14ac:dyDescent="0.2">
      <c r="A2865" t="s">
        <v>1139</v>
      </c>
      <c r="B2865" s="44">
        <v>42563</v>
      </c>
      <c r="C2865" t="s">
        <v>4</v>
      </c>
      <c r="D2865" t="s">
        <v>3595</v>
      </c>
      <c r="F2865"/>
      <c r="G2865"/>
      <c r="H2865">
        <v>9</v>
      </c>
    </row>
    <row r="2866" spans="1:8" x14ac:dyDescent="0.2">
      <c r="A2866" t="s">
        <v>2864</v>
      </c>
      <c r="B2866" s="44">
        <v>42689</v>
      </c>
      <c r="C2866" t="s">
        <v>4</v>
      </c>
      <c r="D2866" t="s">
        <v>4479</v>
      </c>
      <c r="F2866"/>
      <c r="G2866"/>
      <c r="H2866">
        <v>9</v>
      </c>
    </row>
    <row r="2867" spans="1:8" x14ac:dyDescent="0.2">
      <c r="A2867" t="s">
        <v>1570</v>
      </c>
      <c r="B2867" s="44">
        <v>42787</v>
      </c>
      <c r="C2867" t="s">
        <v>4</v>
      </c>
      <c r="D2867" t="s">
        <v>3562</v>
      </c>
      <c r="F2867"/>
      <c r="G2867"/>
      <c r="H2867">
        <v>9</v>
      </c>
    </row>
    <row r="2868" spans="1:8" x14ac:dyDescent="0.2">
      <c r="A2868" t="s">
        <v>3087</v>
      </c>
      <c r="B2868" s="44">
        <v>43089</v>
      </c>
      <c r="C2868" t="s">
        <v>4</v>
      </c>
      <c r="D2868" t="s">
        <v>3602</v>
      </c>
      <c r="F2868"/>
      <c r="G2868"/>
      <c r="H2868">
        <v>9</v>
      </c>
    </row>
    <row r="2869" spans="1:8" x14ac:dyDescent="0.2">
      <c r="A2869" t="s">
        <v>1222</v>
      </c>
      <c r="B2869" s="44">
        <v>43438</v>
      </c>
      <c r="C2869" t="s">
        <v>4</v>
      </c>
      <c r="D2869" t="s">
        <v>3426</v>
      </c>
      <c r="F2869"/>
      <c r="G2869"/>
      <c r="H2869">
        <v>9</v>
      </c>
    </row>
    <row r="2870" spans="1:8" x14ac:dyDescent="0.2">
      <c r="A2870" t="s">
        <v>1261</v>
      </c>
      <c r="B2870" s="44">
        <v>43712</v>
      </c>
      <c r="C2870" t="s">
        <v>4</v>
      </c>
      <c r="D2870" t="s">
        <v>3538</v>
      </c>
      <c r="F2870"/>
      <c r="G2870"/>
      <c r="H2870">
        <v>9</v>
      </c>
    </row>
    <row r="2871" spans="1:8" x14ac:dyDescent="0.2">
      <c r="A2871" t="s">
        <v>2665</v>
      </c>
      <c r="B2871" s="44">
        <v>43753</v>
      </c>
      <c r="C2871" t="s">
        <v>4</v>
      </c>
      <c r="D2871" t="s">
        <v>3572</v>
      </c>
      <c r="F2871"/>
      <c r="G2871"/>
      <c r="H2871">
        <v>9</v>
      </c>
    </row>
    <row r="2872" spans="1:8" x14ac:dyDescent="0.2">
      <c r="A2872" t="s">
        <v>1302</v>
      </c>
      <c r="B2872" s="44">
        <v>43893</v>
      </c>
      <c r="C2872" t="s">
        <v>4</v>
      </c>
      <c r="D2872" t="s">
        <v>3545</v>
      </c>
      <c r="F2872"/>
      <c r="G2872"/>
      <c r="H2872">
        <v>9</v>
      </c>
    </row>
    <row r="2873" spans="1:8" x14ac:dyDescent="0.2">
      <c r="A2873" t="s">
        <v>1304</v>
      </c>
      <c r="B2873" s="44">
        <v>43894</v>
      </c>
      <c r="C2873" t="s">
        <v>4</v>
      </c>
      <c r="D2873" t="s">
        <v>3451</v>
      </c>
      <c r="F2873"/>
      <c r="G2873"/>
      <c r="H2873">
        <v>9</v>
      </c>
    </row>
    <row r="2874" spans="1:8" x14ac:dyDescent="0.2">
      <c r="A2874" s="44">
        <v>43253</v>
      </c>
      <c r="B2874" s="44">
        <v>43253</v>
      </c>
      <c r="C2874" t="s">
        <v>778</v>
      </c>
      <c r="D2874" t="s">
        <v>2086</v>
      </c>
      <c r="H2874">
        <v>7</v>
      </c>
    </row>
  </sheetData>
  <autoFilter ref="A1:I2874" xr:uid="{00000000-0001-0000-0000-000000000000}"/>
  <sortState xmlns:xlrd2="http://schemas.microsoft.com/office/spreadsheetml/2017/richdata2" ref="A2:I2873">
    <sortCondition ref="H2:H2873"/>
    <sortCondition ref="B2:B28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3029-575B-C442-B110-A2671C58EE91}">
  <sheetPr codeName="Sheet3"/>
  <dimension ref="A1:AK1209"/>
  <sheetViews>
    <sheetView topLeftCell="A510" zoomScale="88" zoomScaleNormal="100" workbookViewId="0">
      <selection activeCell="AJ6" sqref="AJ6:AJ37"/>
    </sheetView>
  </sheetViews>
  <sheetFormatPr baseColWidth="10" defaultRowHeight="15" x14ac:dyDescent="0.2"/>
  <cols>
    <col min="3" max="3" width="15.5" customWidth="1"/>
  </cols>
  <sheetData>
    <row r="1" spans="1:37" s="36" customFormat="1" ht="16" customHeight="1" x14ac:dyDescent="0.2">
      <c r="A1" s="74" t="s">
        <v>4528</v>
      </c>
      <c r="B1" s="74"/>
      <c r="C1" s="76" t="s">
        <v>4529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7" t="s">
        <v>4530</v>
      </c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26"/>
      <c r="AJ1" s="79" t="s">
        <v>4531</v>
      </c>
    </row>
    <row r="2" spans="1:37" x14ac:dyDescent="0.2">
      <c r="A2" s="74"/>
      <c r="B2" s="74"/>
      <c r="C2" s="27" t="s">
        <v>4575</v>
      </c>
      <c r="D2" s="27" t="s">
        <v>4576</v>
      </c>
      <c r="E2" s="27" t="s">
        <v>4577</v>
      </c>
      <c r="F2" s="27" t="s">
        <v>4578</v>
      </c>
      <c r="G2" s="27" t="s">
        <v>4579</v>
      </c>
      <c r="H2" s="27" t="s">
        <v>4580</v>
      </c>
      <c r="I2" s="27" t="s">
        <v>4581</v>
      </c>
      <c r="J2" s="27" t="s">
        <v>4582</v>
      </c>
      <c r="K2" s="27" t="s">
        <v>4583</v>
      </c>
      <c r="L2" s="27" t="s">
        <v>4584</v>
      </c>
      <c r="M2" s="28" t="s">
        <v>4585</v>
      </c>
      <c r="N2" s="27" t="s">
        <v>4586</v>
      </c>
      <c r="O2" s="27" t="s">
        <v>4587</v>
      </c>
      <c r="P2" s="27" t="s">
        <v>4588</v>
      </c>
      <c r="Q2" s="29" t="s">
        <v>4589</v>
      </c>
      <c r="R2" s="29" t="s">
        <v>4590</v>
      </c>
      <c r="S2" s="29" t="s">
        <v>4591</v>
      </c>
      <c r="T2" s="29" t="s">
        <v>4592</v>
      </c>
      <c r="U2" s="29" t="s">
        <v>4593</v>
      </c>
      <c r="V2" s="29" t="s">
        <v>4594</v>
      </c>
      <c r="W2" s="80" t="s">
        <v>4552</v>
      </c>
      <c r="X2" s="27" t="s">
        <v>4595</v>
      </c>
      <c r="Y2" s="27" t="s">
        <v>4596</v>
      </c>
      <c r="Z2" s="27" t="s">
        <v>4597</v>
      </c>
      <c r="AA2" s="27" t="s">
        <v>4598</v>
      </c>
      <c r="AB2" s="27" t="s">
        <v>4599</v>
      </c>
      <c r="AC2" s="27" t="s">
        <v>4600</v>
      </c>
      <c r="AD2" s="27" t="s">
        <v>4601</v>
      </c>
      <c r="AE2" s="27" t="s">
        <v>4602</v>
      </c>
      <c r="AF2" s="27" t="s">
        <v>4603</v>
      </c>
      <c r="AG2" s="29" t="s">
        <v>4604</v>
      </c>
      <c r="AH2" s="29" t="s">
        <v>4605</v>
      </c>
      <c r="AI2" s="80" t="s">
        <v>4563</v>
      </c>
      <c r="AJ2" s="79"/>
    </row>
    <row r="3" spans="1:37" x14ac:dyDescent="0.2">
      <c r="A3" s="75"/>
      <c r="B3" s="75"/>
      <c r="C3" s="30" t="s">
        <v>4564</v>
      </c>
      <c r="D3" s="30" t="s">
        <v>4564</v>
      </c>
      <c r="E3" s="30" t="s">
        <v>4564</v>
      </c>
      <c r="F3" s="30" t="s">
        <v>4564</v>
      </c>
      <c r="G3" s="30" t="s">
        <v>4564</v>
      </c>
      <c r="H3" s="30" t="s">
        <v>4564</v>
      </c>
      <c r="I3" s="30" t="s">
        <v>4564</v>
      </c>
      <c r="J3" s="30" t="s">
        <v>4564</v>
      </c>
      <c r="K3" s="30" t="s">
        <v>4564</v>
      </c>
      <c r="L3" s="30" t="s">
        <v>4564</v>
      </c>
      <c r="M3" s="30" t="s">
        <v>4564</v>
      </c>
      <c r="N3" s="30" t="s">
        <v>4564</v>
      </c>
      <c r="O3" s="30" t="s">
        <v>4564</v>
      </c>
      <c r="P3" s="30" t="s">
        <v>4564</v>
      </c>
      <c r="Q3" s="30" t="s">
        <v>4564</v>
      </c>
      <c r="R3" s="30" t="s">
        <v>4564</v>
      </c>
      <c r="S3" s="30" t="s">
        <v>4564</v>
      </c>
      <c r="T3" s="30" t="s">
        <v>4564</v>
      </c>
      <c r="U3" s="30" t="s">
        <v>4564</v>
      </c>
      <c r="V3" s="30" t="s">
        <v>4564</v>
      </c>
      <c r="W3" s="81"/>
      <c r="X3" s="30" t="s">
        <v>4564</v>
      </c>
      <c r="Y3" s="30" t="s">
        <v>4564</v>
      </c>
      <c r="Z3" s="30" t="s">
        <v>4564</v>
      </c>
      <c r="AA3" s="30" t="s">
        <v>4564</v>
      </c>
      <c r="AB3" s="27" t="s">
        <v>4564</v>
      </c>
      <c r="AC3" s="27" t="s">
        <v>4564</v>
      </c>
      <c r="AD3" s="27" t="s">
        <v>4564</v>
      </c>
      <c r="AE3" s="27" t="s">
        <v>4564</v>
      </c>
      <c r="AF3" s="30" t="s">
        <v>4564</v>
      </c>
      <c r="AG3" s="30" t="s">
        <v>4564</v>
      </c>
      <c r="AH3" s="30" t="s">
        <v>4564</v>
      </c>
      <c r="AI3" s="81"/>
      <c r="AJ3" s="79"/>
    </row>
    <row r="4" spans="1:37" s="36" customFormat="1" ht="16" x14ac:dyDescent="0.2">
      <c r="A4" s="31"/>
      <c r="B4" s="31"/>
      <c r="C4" s="32">
        <v>1</v>
      </c>
      <c r="D4" s="32">
        <v>2</v>
      </c>
      <c r="E4" s="32">
        <v>2.1</v>
      </c>
      <c r="F4" s="32">
        <v>2.2000000000000002</v>
      </c>
      <c r="G4" s="32">
        <v>3</v>
      </c>
      <c r="H4" s="32">
        <v>4</v>
      </c>
      <c r="I4" s="32">
        <v>5</v>
      </c>
      <c r="J4" s="32">
        <v>6</v>
      </c>
      <c r="K4" s="32">
        <v>7</v>
      </c>
      <c r="L4" s="32">
        <v>8</v>
      </c>
      <c r="M4" s="32">
        <v>9</v>
      </c>
      <c r="N4" s="32" t="s">
        <v>4565</v>
      </c>
      <c r="O4" s="32" t="s">
        <v>4566</v>
      </c>
      <c r="P4" s="32" t="s">
        <v>4567</v>
      </c>
      <c r="Q4" s="32" t="s">
        <v>4568</v>
      </c>
      <c r="R4" s="32" t="s">
        <v>4569</v>
      </c>
      <c r="S4" s="32" t="s">
        <v>4570</v>
      </c>
      <c r="T4" s="32" t="s">
        <v>4571</v>
      </c>
      <c r="U4" s="32" t="s">
        <v>4572</v>
      </c>
      <c r="V4" s="32" t="s">
        <v>4573</v>
      </c>
      <c r="W4" s="81"/>
      <c r="X4" s="32">
        <v>1</v>
      </c>
      <c r="Y4" s="32">
        <v>2</v>
      </c>
      <c r="Z4" s="32">
        <v>3</v>
      </c>
      <c r="AA4" s="32">
        <v>4</v>
      </c>
      <c r="AB4" s="27" t="s">
        <v>4565</v>
      </c>
      <c r="AC4" s="27" t="s">
        <v>4566</v>
      </c>
      <c r="AD4" s="27" t="s">
        <v>4567</v>
      </c>
      <c r="AE4" s="33" t="s">
        <v>4568</v>
      </c>
      <c r="AF4" s="33" t="s">
        <v>4569</v>
      </c>
      <c r="AG4" s="33" t="s">
        <v>4570</v>
      </c>
      <c r="AH4" s="32" t="s">
        <v>4571</v>
      </c>
      <c r="AI4" s="81"/>
      <c r="AJ4" s="79"/>
    </row>
    <row r="5" spans="1:37" s="36" customFormat="1" x14ac:dyDescent="0.2">
      <c r="A5" s="34" t="s">
        <v>4574</v>
      </c>
      <c r="B5" s="34" t="s">
        <v>0</v>
      </c>
      <c r="C5" s="27" t="s">
        <v>4532</v>
      </c>
      <c r="D5" s="27" t="s">
        <v>4533</v>
      </c>
      <c r="E5" s="27" t="s">
        <v>4534</v>
      </c>
      <c r="F5" s="27" t="s">
        <v>4535</v>
      </c>
      <c r="G5" s="27" t="s">
        <v>4536</v>
      </c>
      <c r="H5" s="27" t="s">
        <v>4537</v>
      </c>
      <c r="I5" s="27" t="s">
        <v>4538</v>
      </c>
      <c r="J5" s="27" t="s">
        <v>4539</v>
      </c>
      <c r="K5" s="27" t="s">
        <v>4540</v>
      </c>
      <c r="L5" s="27" t="s">
        <v>4541</v>
      </c>
      <c r="M5" s="28" t="s">
        <v>4542</v>
      </c>
      <c r="N5" s="27" t="s">
        <v>4543</v>
      </c>
      <c r="O5" s="27" t="s">
        <v>4544</v>
      </c>
      <c r="P5" s="27" t="s">
        <v>4545</v>
      </c>
      <c r="Q5" s="29" t="s">
        <v>4546</v>
      </c>
      <c r="R5" s="29" t="s">
        <v>4547</v>
      </c>
      <c r="S5" s="29" t="s">
        <v>4548</v>
      </c>
      <c r="T5" s="29" t="s">
        <v>4549</v>
      </c>
      <c r="U5" s="29" t="s">
        <v>4550</v>
      </c>
      <c r="V5" s="29" t="s">
        <v>4551</v>
      </c>
      <c r="W5" s="82"/>
      <c r="X5" s="27" t="s">
        <v>4553</v>
      </c>
      <c r="Y5" s="27" t="s">
        <v>4554</v>
      </c>
      <c r="Z5" s="27" t="s">
        <v>4532</v>
      </c>
      <c r="AA5" s="27" t="s">
        <v>4555</v>
      </c>
      <c r="AB5" s="27" t="s">
        <v>4556</v>
      </c>
      <c r="AC5" s="27" t="s">
        <v>4557</v>
      </c>
      <c r="AD5" s="27" t="s">
        <v>4558</v>
      </c>
      <c r="AE5" s="27" t="s">
        <v>4559</v>
      </c>
      <c r="AF5" s="27" t="s">
        <v>4560</v>
      </c>
      <c r="AG5" s="29" t="s">
        <v>4561</v>
      </c>
      <c r="AH5" s="29" t="s">
        <v>4562</v>
      </c>
      <c r="AI5" s="82"/>
      <c r="AJ5" s="35" t="s">
        <v>4564</v>
      </c>
    </row>
    <row r="6" spans="1:37" x14ac:dyDescent="0.2">
      <c r="A6" s="17" t="s">
        <v>4606</v>
      </c>
      <c r="B6" s="17">
        <v>35802</v>
      </c>
      <c r="Q6" s="20">
        <v>12936</v>
      </c>
      <c r="R6" s="20">
        <v>10024</v>
      </c>
      <c r="S6" s="20">
        <v>1371</v>
      </c>
      <c r="T6" s="20">
        <v>6930</v>
      </c>
      <c r="U6" s="20">
        <v>453</v>
      </c>
      <c r="V6" s="20">
        <v>3</v>
      </c>
      <c r="W6" s="20">
        <f>SUM(Q6:V6)</f>
        <v>31717</v>
      </c>
      <c r="X6" s="36">
        <v>-22957</v>
      </c>
      <c r="Y6" s="36"/>
      <c r="Z6" s="36"/>
      <c r="AA6" s="36"/>
      <c r="AB6" s="36"/>
      <c r="AC6" s="36"/>
      <c r="AD6" s="36"/>
      <c r="AE6" s="36">
        <v>-3</v>
      </c>
      <c r="AF6" s="36">
        <v>-1278</v>
      </c>
      <c r="AG6" s="36">
        <v>-2729</v>
      </c>
      <c r="AH6" s="36">
        <v>-4736</v>
      </c>
      <c r="AI6" s="20">
        <f>SUM(X6,AE6:AH6)</f>
        <v>-31703</v>
      </c>
      <c r="AJ6" s="20">
        <f>W6+AI6</f>
        <v>14</v>
      </c>
      <c r="AK6" s="37"/>
    </row>
    <row r="7" spans="1:37" x14ac:dyDescent="0.2">
      <c r="A7" s="17" t="s">
        <v>4607</v>
      </c>
      <c r="B7" s="17">
        <v>35809</v>
      </c>
      <c r="Q7" s="20">
        <v>13684</v>
      </c>
      <c r="R7" s="20">
        <v>8476</v>
      </c>
      <c r="S7" s="20">
        <v>1369</v>
      </c>
      <c r="T7" s="20">
        <v>6617</v>
      </c>
      <c r="U7" s="20">
        <v>453</v>
      </c>
      <c r="V7" s="20">
        <v>4</v>
      </c>
      <c r="W7" s="20">
        <f t="shared" ref="W7:W70" si="0">SUM(Q7:V7)</f>
        <v>30603</v>
      </c>
      <c r="X7" s="36">
        <v>-22157</v>
      </c>
      <c r="Y7" s="36"/>
      <c r="Z7" s="36"/>
      <c r="AA7" s="36"/>
      <c r="AB7" s="36"/>
      <c r="AC7" s="36"/>
      <c r="AD7" s="36"/>
      <c r="AE7" s="36">
        <v>-3</v>
      </c>
      <c r="AF7" s="36">
        <v>-1115</v>
      </c>
      <c r="AG7" s="36">
        <v>-2739</v>
      </c>
      <c r="AH7" s="36">
        <v>-4575</v>
      </c>
      <c r="AI7" s="20">
        <f t="shared" ref="AI7:AI70" si="1">SUM(X7,AE7:AH7)</f>
        <v>-30589</v>
      </c>
      <c r="AJ7" s="20">
        <f t="shared" ref="AJ7:AJ70" si="2">W7+AI7</f>
        <v>14</v>
      </c>
    </row>
    <row r="8" spans="1:37" x14ac:dyDescent="0.2">
      <c r="A8" s="17" t="s">
        <v>4608</v>
      </c>
      <c r="B8" s="17">
        <v>35816</v>
      </c>
      <c r="Q8" s="20">
        <v>12763</v>
      </c>
      <c r="R8" s="20">
        <v>9237</v>
      </c>
      <c r="S8" s="20">
        <v>1369</v>
      </c>
      <c r="T8" s="20">
        <v>6837</v>
      </c>
      <c r="U8" s="20">
        <v>454</v>
      </c>
      <c r="V8" s="20">
        <v>5</v>
      </c>
      <c r="W8" s="20">
        <f t="shared" si="0"/>
        <v>30665</v>
      </c>
      <c r="X8" s="36">
        <v>-21995</v>
      </c>
      <c r="Y8" s="36"/>
      <c r="Z8" s="36"/>
      <c r="AA8" s="36"/>
      <c r="AB8" s="36"/>
      <c r="AC8" s="36"/>
      <c r="AD8" s="36"/>
      <c r="AE8" s="36">
        <v>-5</v>
      </c>
      <c r="AF8" s="36">
        <v>-889</v>
      </c>
      <c r="AG8" s="36">
        <v>-2729</v>
      </c>
      <c r="AH8" s="36">
        <v>-5032</v>
      </c>
      <c r="AI8" s="20">
        <f t="shared" si="1"/>
        <v>-30650</v>
      </c>
      <c r="AJ8" s="20">
        <f t="shared" si="2"/>
        <v>15</v>
      </c>
    </row>
    <row r="9" spans="1:37" x14ac:dyDescent="0.2">
      <c r="A9" s="17" t="s">
        <v>4609</v>
      </c>
      <c r="B9" s="17">
        <v>35823</v>
      </c>
      <c r="Q9" s="20">
        <v>10101</v>
      </c>
      <c r="R9" s="20">
        <v>11859</v>
      </c>
      <c r="S9" s="20">
        <v>1369</v>
      </c>
      <c r="T9" s="20">
        <v>6637</v>
      </c>
      <c r="U9" s="20">
        <v>453</v>
      </c>
      <c r="V9" s="20">
        <v>5</v>
      </c>
      <c r="W9" s="20">
        <f t="shared" si="0"/>
        <v>30424</v>
      </c>
      <c r="X9" s="36">
        <v>-21955</v>
      </c>
      <c r="Y9" s="36"/>
      <c r="Z9" s="36"/>
      <c r="AA9" s="36"/>
      <c r="AB9" s="36"/>
      <c r="AC9" s="36"/>
      <c r="AD9" s="36"/>
      <c r="AE9" s="36">
        <v>-5</v>
      </c>
      <c r="AF9" s="36">
        <v>-1198</v>
      </c>
      <c r="AG9" s="36">
        <v>-2725</v>
      </c>
      <c r="AH9" s="36">
        <v>-4527</v>
      </c>
      <c r="AI9" s="20">
        <f t="shared" si="1"/>
        <v>-30410</v>
      </c>
      <c r="AJ9" s="20">
        <f t="shared" si="2"/>
        <v>14</v>
      </c>
    </row>
    <row r="10" spans="1:37" x14ac:dyDescent="0.2">
      <c r="A10" s="17" t="s">
        <v>4610</v>
      </c>
      <c r="B10" s="17">
        <v>35830</v>
      </c>
      <c r="Q10" s="20">
        <v>2683</v>
      </c>
      <c r="R10" s="20">
        <v>19397</v>
      </c>
      <c r="S10" s="20">
        <v>1369</v>
      </c>
      <c r="T10" s="20">
        <v>8691</v>
      </c>
      <c r="U10" s="20">
        <v>451</v>
      </c>
      <c r="V10" s="20">
        <v>5</v>
      </c>
      <c r="W10" s="20">
        <f t="shared" si="0"/>
        <v>32596</v>
      </c>
      <c r="X10" s="36">
        <v>-22075</v>
      </c>
      <c r="Y10" s="36"/>
      <c r="Z10" s="36"/>
      <c r="AA10" s="36"/>
      <c r="AB10" s="36"/>
      <c r="AC10" s="36"/>
      <c r="AD10" s="36"/>
      <c r="AE10" s="36">
        <v>-5</v>
      </c>
      <c r="AF10" s="36">
        <v>-1274</v>
      </c>
      <c r="AG10" s="36">
        <v>-2638</v>
      </c>
      <c r="AH10" s="36">
        <v>-6590</v>
      </c>
      <c r="AI10" s="20">
        <f t="shared" si="1"/>
        <v>-32582</v>
      </c>
      <c r="AJ10" s="20">
        <f t="shared" si="2"/>
        <v>14</v>
      </c>
    </row>
    <row r="11" spans="1:37" x14ac:dyDescent="0.2">
      <c r="A11" s="17" t="s">
        <v>4611</v>
      </c>
      <c r="B11" s="17">
        <v>35837</v>
      </c>
      <c r="Q11" s="20">
        <v>1814</v>
      </c>
      <c r="R11" s="20">
        <v>20206</v>
      </c>
      <c r="S11" s="20">
        <v>1368</v>
      </c>
      <c r="T11" s="20">
        <v>8809</v>
      </c>
      <c r="U11" s="20">
        <v>451</v>
      </c>
      <c r="V11" s="20">
        <v>8</v>
      </c>
      <c r="W11" s="20">
        <f t="shared" si="0"/>
        <v>32656</v>
      </c>
      <c r="X11" s="36">
        <v>-22012</v>
      </c>
      <c r="Y11" s="36"/>
      <c r="Z11" s="36"/>
      <c r="AA11" s="36"/>
      <c r="AB11" s="36"/>
      <c r="AC11" s="36"/>
      <c r="AD11" s="36"/>
      <c r="AE11" s="36">
        <v>-8</v>
      </c>
      <c r="AF11" s="36">
        <v>-1211</v>
      </c>
      <c r="AG11" s="36">
        <v>-2771</v>
      </c>
      <c r="AH11" s="36">
        <v>-6638</v>
      </c>
      <c r="AI11" s="20">
        <f t="shared" si="1"/>
        <v>-32640</v>
      </c>
      <c r="AJ11" s="20">
        <f t="shared" si="2"/>
        <v>16</v>
      </c>
    </row>
    <row r="12" spans="1:37" x14ac:dyDescent="0.2">
      <c r="A12" s="17" t="s">
        <v>4612</v>
      </c>
      <c r="B12" s="17">
        <v>35844</v>
      </c>
      <c r="Q12" s="20">
        <v>4808</v>
      </c>
      <c r="R12" s="20">
        <v>17222</v>
      </c>
      <c r="S12" s="20">
        <v>1366</v>
      </c>
      <c r="T12" s="20">
        <v>8829</v>
      </c>
      <c r="U12" s="20">
        <v>452</v>
      </c>
      <c r="V12" s="20">
        <v>4</v>
      </c>
      <c r="W12" s="20">
        <f t="shared" si="0"/>
        <v>32681</v>
      </c>
      <c r="X12" s="36">
        <v>-22026</v>
      </c>
      <c r="Y12" s="36"/>
      <c r="Z12" s="36"/>
      <c r="AA12" s="36"/>
      <c r="AB12" s="36"/>
      <c r="AC12" s="36"/>
      <c r="AD12" s="36"/>
      <c r="AE12" s="36">
        <v>-4</v>
      </c>
      <c r="AF12" s="36">
        <v>-1103</v>
      </c>
      <c r="AG12" s="36">
        <v>-2716</v>
      </c>
      <c r="AH12" s="36">
        <v>-6817</v>
      </c>
      <c r="AI12" s="20">
        <f t="shared" si="1"/>
        <v>-32666</v>
      </c>
      <c r="AJ12" s="20">
        <f t="shared" si="2"/>
        <v>15</v>
      </c>
    </row>
    <row r="13" spans="1:37" x14ac:dyDescent="0.2">
      <c r="A13" s="17" t="s">
        <v>4613</v>
      </c>
      <c r="B13" s="17">
        <v>35851</v>
      </c>
      <c r="Q13" s="20">
        <v>3090</v>
      </c>
      <c r="R13" s="20">
        <v>19020</v>
      </c>
      <c r="S13" s="20">
        <v>1366</v>
      </c>
      <c r="T13" s="20">
        <v>8650</v>
      </c>
      <c r="U13" s="20">
        <v>452</v>
      </c>
      <c r="V13" s="20">
        <v>7</v>
      </c>
      <c r="W13" s="20">
        <f t="shared" si="0"/>
        <v>32585</v>
      </c>
      <c r="X13" s="36">
        <v>-22103</v>
      </c>
      <c r="Y13" s="36"/>
      <c r="Z13" s="36"/>
      <c r="AA13" s="36"/>
      <c r="AB13" s="36"/>
      <c r="AC13" s="36"/>
      <c r="AD13" s="36"/>
      <c r="AE13" s="36">
        <v>-7</v>
      </c>
      <c r="AF13" s="36">
        <v>-1153</v>
      </c>
      <c r="AG13" s="36">
        <v>-2856</v>
      </c>
      <c r="AH13" s="36">
        <v>-6452</v>
      </c>
      <c r="AI13" s="20">
        <f t="shared" si="1"/>
        <v>-32571</v>
      </c>
      <c r="AJ13" s="20">
        <f t="shared" si="2"/>
        <v>14</v>
      </c>
    </row>
    <row r="14" spans="1:37" x14ac:dyDescent="0.2">
      <c r="A14" s="17" t="s">
        <v>4614</v>
      </c>
      <c r="B14" s="17">
        <v>35858</v>
      </c>
      <c r="Q14" s="20">
        <v>3223</v>
      </c>
      <c r="R14" s="20">
        <v>18957</v>
      </c>
      <c r="S14" s="20">
        <v>1368</v>
      </c>
      <c r="T14" s="20">
        <v>8555</v>
      </c>
      <c r="U14" s="20">
        <v>449</v>
      </c>
      <c r="V14" s="20">
        <v>11</v>
      </c>
      <c r="W14" s="20">
        <f t="shared" si="0"/>
        <v>32563</v>
      </c>
      <c r="X14" s="36">
        <v>-22169</v>
      </c>
      <c r="Y14" s="36"/>
      <c r="Z14" s="36"/>
      <c r="AA14" s="36"/>
      <c r="AB14" s="36"/>
      <c r="AC14" s="36"/>
      <c r="AD14" s="36"/>
      <c r="AE14" s="36">
        <v>-11</v>
      </c>
      <c r="AF14" s="36">
        <v>-1283</v>
      </c>
      <c r="AG14" s="36">
        <v>-2716</v>
      </c>
      <c r="AH14" s="36">
        <v>-6371</v>
      </c>
      <c r="AI14" s="20">
        <f t="shared" si="1"/>
        <v>-32550</v>
      </c>
      <c r="AJ14" s="20">
        <f t="shared" si="2"/>
        <v>13</v>
      </c>
    </row>
    <row r="15" spans="1:37" x14ac:dyDescent="0.2">
      <c r="A15" s="17" t="s">
        <v>4615</v>
      </c>
      <c r="B15" s="17">
        <v>35865</v>
      </c>
      <c r="Q15" s="20">
        <v>6471</v>
      </c>
      <c r="R15" s="20">
        <v>15719</v>
      </c>
      <c r="S15" s="20">
        <v>1363</v>
      </c>
      <c r="T15" s="20">
        <v>7477</v>
      </c>
      <c r="U15" s="20">
        <v>449</v>
      </c>
      <c r="V15" s="20">
        <v>8</v>
      </c>
      <c r="W15" s="20">
        <f t="shared" si="0"/>
        <v>31487</v>
      </c>
      <c r="X15" s="36">
        <v>-22182</v>
      </c>
      <c r="Y15" s="36"/>
      <c r="Z15" s="36"/>
      <c r="AA15" s="36"/>
      <c r="AB15" s="36"/>
      <c r="AC15" s="36"/>
      <c r="AD15" s="36"/>
      <c r="AE15" s="36">
        <v>-8</v>
      </c>
      <c r="AF15" s="36">
        <v>-1143</v>
      </c>
      <c r="AG15" s="36">
        <v>-2716</v>
      </c>
      <c r="AH15" s="36">
        <v>-5423</v>
      </c>
      <c r="AI15" s="20">
        <f t="shared" si="1"/>
        <v>-31472</v>
      </c>
      <c r="AJ15" s="20">
        <f t="shared" si="2"/>
        <v>15</v>
      </c>
    </row>
    <row r="16" spans="1:37" x14ac:dyDescent="0.2">
      <c r="A16" s="17" t="s">
        <v>4616</v>
      </c>
      <c r="B16" s="17">
        <v>35872</v>
      </c>
      <c r="Q16" s="20">
        <v>9301</v>
      </c>
      <c r="R16" s="20">
        <v>12819</v>
      </c>
      <c r="S16" s="20">
        <v>1376</v>
      </c>
      <c r="T16" s="20">
        <v>5982</v>
      </c>
      <c r="U16" s="20">
        <v>450</v>
      </c>
      <c r="V16" s="20">
        <v>12</v>
      </c>
      <c r="W16" s="20">
        <f t="shared" si="0"/>
        <v>29940</v>
      </c>
      <c r="X16" s="36">
        <v>-22108</v>
      </c>
      <c r="Y16" s="36"/>
      <c r="Z16" s="36"/>
      <c r="AA16" s="36"/>
      <c r="AB16" s="36"/>
      <c r="AC16" s="36"/>
      <c r="AD16" s="36"/>
      <c r="AE16" s="36">
        <v>-12</v>
      </c>
      <c r="AF16" s="36">
        <v>-1141</v>
      </c>
      <c r="AG16" s="36">
        <v>-2765</v>
      </c>
      <c r="AH16" s="36">
        <v>-3900</v>
      </c>
      <c r="AI16" s="20">
        <f t="shared" si="1"/>
        <v>-29926</v>
      </c>
      <c r="AJ16" s="20">
        <f t="shared" si="2"/>
        <v>14</v>
      </c>
    </row>
    <row r="17" spans="1:36" x14ac:dyDescent="0.2">
      <c r="A17" s="17" t="s">
        <v>4617</v>
      </c>
      <c r="B17" s="17">
        <v>35879</v>
      </c>
      <c r="Q17" s="20">
        <v>8566</v>
      </c>
      <c r="R17" s="20">
        <v>13654</v>
      </c>
      <c r="S17" s="20">
        <v>1376</v>
      </c>
      <c r="T17" s="20">
        <v>5016</v>
      </c>
      <c r="U17" s="20">
        <v>450</v>
      </c>
      <c r="V17" s="20">
        <v>4</v>
      </c>
      <c r="W17" s="20">
        <f t="shared" si="0"/>
        <v>29066</v>
      </c>
      <c r="X17" s="36">
        <v>-22217</v>
      </c>
      <c r="Y17" s="36"/>
      <c r="Z17" s="36"/>
      <c r="AA17" s="36"/>
      <c r="AB17" s="36"/>
      <c r="AC17" s="36"/>
      <c r="AD17" s="36"/>
      <c r="AE17" s="36">
        <v>-3</v>
      </c>
      <c r="AF17" s="36">
        <v>-861</v>
      </c>
      <c r="AG17" s="36">
        <v>-2823</v>
      </c>
      <c r="AH17" s="36">
        <v>-3147</v>
      </c>
      <c r="AI17" s="20">
        <f t="shared" si="1"/>
        <v>-29051</v>
      </c>
      <c r="AJ17" s="20">
        <f t="shared" si="2"/>
        <v>15</v>
      </c>
    </row>
    <row r="18" spans="1:36" x14ac:dyDescent="0.2">
      <c r="A18" s="17" t="s">
        <v>4618</v>
      </c>
      <c r="B18" s="17">
        <v>35886</v>
      </c>
      <c r="Q18" s="20">
        <v>14699</v>
      </c>
      <c r="R18" s="20">
        <v>7771</v>
      </c>
      <c r="S18" s="20">
        <v>1377</v>
      </c>
      <c r="T18" s="20">
        <v>3667</v>
      </c>
      <c r="U18" s="20">
        <v>944</v>
      </c>
      <c r="V18" s="20">
        <v>11</v>
      </c>
      <c r="W18" s="20">
        <f t="shared" si="0"/>
        <v>28469</v>
      </c>
      <c r="X18" s="36">
        <v>-22459</v>
      </c>
      <c r="Y18" s="36"/>
      <c r="Z18" s="36"/>
      <c r="AA18" s="36"/>
      <c r="AB18" s="36"/>
      <c r="AC18" s="36"/>
      <c r="AD18" s="36"/>
      <c r="AE18" s="36">
        <v>-11</v>
      </c>
      <c r="AF18" s="36">
        <v>-778</v>
      </c>
      <c r="AG18" s="36">
        <v>-2037</v>
      </c>
      <c r="AH18" s="36">
        <v>-3170</v>
      </c>
      <c r="AI18" s="20">
        <f t="shared" si="1"/>
        <v>-28455</v>
      </c>
      <c r="AJ18" s="20">
        <f t="shared" si="2"/>
        <v>14</v>
      </c>
    </row>
    <row r="19" spans="1:36" x14ac:dyDescent="0.2">
      <c r="A19" s="17" t="s">
        <v>4619</v>
      </c>
      <c r="B19" s="17">
        <v>35893</v>
      </c>
      <c r="Q19" s="20">
        <v>16922</v>
      </c>
      <c r="R19" s="20">
        <v>6248</v>
      </c>
      <c r="S19" s="20">
        <v>1364</v>
      </c>
      <c r="T19" s="20">
        <v>4227</v>
      </c>
      <c r="U19" s="20">
        <v>1044</v>
      </c>
      <c r="V19" s="20">
        <v>5</v>
      </c>
      <c r="W19" s="20">
        <f t="shared" si="0"/>
        <v>29810</v>
      </c>
      <c r="X19" s="36">
        <v>-23165</v>
      </c>
      <c r="Y19" s="36"/>
      <c r="Z19" s="36"/>
      <c r="AA19" s="36"/>
      <c r="AB19" s="36"/>
      <c r="AC19" s="36"/>
      <c r="AD19" s="36"/>
      <c r="AE19" s="36">
        <v>-5</v>
      </c>
      <c r="AF19" s="36">
        <v>-1264</v>
      </c>
      <c r="AG19" s="36">
        <v>-2006</v>
      </c>
      <c r="AH19" s="36">
        <v>-3355</v>
      </c>
      <c r="AI19" s="20">
        <f t="shared" si="1"/>
        <v>-29795</v>
      </c>
      <c r="AJ19" s="20">
        <f t="shared" si="2"/>
        <v>15</v>
      </c>
    </row>
    <row r="20" spans="1:36" x14ac:dyDescent="0.2">
      <c r="A20" s="17" t="s">
        <v>4620</v>
      </c>
      <c r="B20" s="17">
        <v>35900</v>
      </c>
      <c r="Q20" s="20">
        <v>17292</v>
      </c>
      <c r="R20" s="20">
        <v>5878</v>
      </c>
      <c r="S20" s="20">
        <v>1364</v>
      </c>
      <c r="T20" s="20">
        <v>4447</v>
      </c>
      <c r="U20" s="20">
        <v>739</v>
      </c>
      <c r="V20" s="20">
        <v>6</v>
      </c>
      <c r="W20" s="20">
        <f t="shared" si="0"/>
        <v>29726</v>
      </c>
      <c r="X20" s="36">
        <v>-23164</v>
      </c>
      <c r="Y20" s="36"/>
      <c r="Z20" s="36"/>
      <c r="AA20" s="36"/>
      <c r="AB20" s="36"/>
      <c r="AC20" s="36"/>
      <c r="AD20" s="36"/>
      <c r="AE20" s="36">
        <v>-6</v>
      </c>
      <c r="AF20" s="36">
        <v>-1270</v>
      </c>
      <c r="AG20" s="36">
        <v>-1893</v>
      </c>
      <c r="AH20" s="36">
        <v>-3379</v>
      </c>
      <c r="AI20" s="20">
        <f t="shared" si="1"/>
        <v>-29712</v>
      </c>
      <c r="AJ20" s="20">
        <f t="shared" si="2"/>
        <v>14</v>
      </c>
    </row>
    <row r="21" spans="1:36" x14ac:dyDescent="0.2">
      <c r="A21" s="17" t="s">
        <v>4621</v>
      </c>
      <c r="B21" s="17">
        <v>35907</v>
      </c>
      <c r="Q21" s="20">
        <v>13213</v>
      </c>
      <c r="R21" s="20">
        <v>9217</v>
      </c>
      <c r="S21" s="20">
        <v>1367</v>
      </c>
      <c r="T21" s="20">
        <v>4384</v>
      </c>
      <c r="U21" s="20">
        <v>522</v>
      </c>
      <c r="V21" s="20">
        <v>11</v>
      </c>
      <c r="W21" s="20">
        <f t="shared" si="0"/>
        <v>28714</v>
      </c>
      <c r="X21" s="36">
        <v>-22419</v>
      </c>
      <c r="Y21" s="36"/>
      <c r="Z21" s="36"/>
      <c r="AA21" s="36"/>
      <c r="AB21" s="36"/>
      <c r="AC21" s="36"/>
      <c r="AD21" s="36"/>
      <c r="AE21" s="36">
        <v>-11</v>
      </c>
      <c r="AF21" s="36">
        <v>-949</v>
      </c>
      <c r="AG21" s="36">
        <v>-1958</v>
      </c>
      <c r="AH21" s="36">
        <v>-3361</v>
      </c>
      <c r="AI21" s="20">
        <f t="shared" si="1"/>
        <v>-28698</v>
      </c>
      <c r="AJ21" s="20">
        <f t="shared" si="2"/>
        <v>16</v>
      </c>
    </row>
    <row r="22" spans="1:36" x14ac:dyDescent="0.2">
      <c r="A22" s="17" t="s">
        <v>4622</v>
      </c>
      <c r="B22" s="17">
        <v>35914</v>
      </c>
      <c r="Q22" s="20">
        <v>14819</v>
      </c>
      <c r="R22" s="20">
        <v>7841</v>
      </c>
      <c r="S22" s="20">
        <v>1366</v>
      </c>
      <c r="T22" s="20">
        <v>4520</v>
      </c>
      <c r="U22" s="20">
        <v>701</v>
      </c>
      <c r="V22" s="20">
        <v>13</v>
      </c>
      <c r="W22" s="20">
        <f t="shared" si="0"/>
        <v>29260</v>
      </c>
      <c r="X22" s="36">
        <v>-22647</v>
      </c>
      <c r="Y22" s="36"/>
      <c r="Z22" s="36"/>
      <c r="AA22" s="36"/>
      <c r="AB22" s="36"/>
      <c r="AC22" s="36"/>
      <c r="AD22" s="36"/>
      <c r="AE22" s="36">
        <v>-13</v>
      </c>
      <c r="AF22" s="36">
        <v>-1243</v>
      </c>
      <c r="AG22" s="36">
        <v>-2103</v>
      </c>
      <c r="AH22" s="36">
        <v>-3239</v>
      </c>
      <c r="AI22" s="20">
        <f t="shared" si="1"/>
        <v>-29245</v>
      </c>
      <c r="AJ22" s="20">
        <f t="shared" si="2"/>
        <v>15</v>
      </c>
    </row>
    <row r="23" spans="1:36" x14ac:dyDescent="0.2">
      <c r="A23" s="17" t="s">
        <v>4623</v>
      </c>
      <c r="B23" s="17">
        <v>35921</v>
      </c>
      <c r="Q23" s="20">
        <v>13271</v>
      </c>
      <c r="R23" s="20">
        <v>9739</v>
      </c>
      <c r="S23" s="20">
        <v>1365</v>
      </c>
      <c r="T23" s="20">
        <v>4563</v>
      </c>
      <c r="U23" s="20">
        <v>718</v>
      </c>
      <c r="V23" s="20">
        <v>10</v>
      </c>
      <c r="W23" s="20">
        <f t="shared" si="0"/>
        <v>29666</v>
      </c>
      <c r="X23" s="36">
        <v>-23000</v>
      </c>
      <c r="Y23" s="36"/>
      <c r="Z23" s="36"/>
      <c r="AA23" s="36"/>
      <c r="AB23" s="36"/>
      <c r="AC23" s="36"/>
      <c r="AD23" s="36"/>
      <c r="AE23" s="36">
        <v>-10</v>
      </c>
      <c r="AF23" s="36">
        <v>-1241</v>
      </c>
      <c r="AG23" s="36">
        <v>-2054</v>
      </c>
      <c r="AH23" s="36">
        <v>-3346</v>
      </c>
      <c r="AI23" s="20">
        <f t="shared" si="1"/>
        <v>-29651</v>
      </c>
      <c r="AJ23" s="20">
        <f t="shared" si="2"/>
        <v>15</v>
      </c>
    </row>
    <row r="24" spans="1:36" x14ac:dyDescent="0.2">
      <c r="A24" s="17" t="s">
        <v>4624</v>
      </c>
      <c r="B24" s="17">
        <v>35928</v>
      </c>
      <c r="Q24" s="20">
        <v>14646</v>
      </c>
      <c r="R24" s="20">
        <v>7874</v>
      </c>
      <c r="S24" s="20">
        <v>1369</v>
      </c>
      <c r="T24" s="20">
        <v>3011</v>
      </c>
      <c r="U24" s="20">
        <v>1754</v>
      </c>
      <c r="V24" s="20">
        <v>6</v>
      </c>
      <c r="W24" s="20">
        <f t="shared" si="0"/>
        <v>28660</v>
      </c>
      <c r="X24" s="36">
        <v>-22514</v>
      </c>
      <c r="Y24" s="36"/>
      <c r="Z24" s="36"/>
      <c r="AA24" s="36"/>
      <c r="AB24" s="36"/>
      <c r="AC24" s="36"/>
      <c r="AD24" s="36"/>
      <c r="AE24" s="36">
        <v>-6</v>
      </c>
      <c r="AF24" s="36">
        <v>-906</v>
      </c>
      <c r="AG24" s="36">
        <v>-1963</v>
      </c>
      <c r="AH24" s="36">
        <v>-3257</v>
      </c>
      <c r="AI24" s="20">
        <f t="shared" si="1"/>
        <v>-28646</v>
      </c>
      <c r="AJ24" s="20">
        <f t="shared" si="2"/>
        <v>14</v>
      </c>
    </row>
    <row r="25" spans="1:36" x14ac:dyDescent="0.2">
      <c r="A25" s="17" t="s">
        <v>4625</v>
      </c>
      <c r="B25" s="17">
        <v>35935</v>
      </c>
      <c r="Q25" s="20">
        <v>15584</v>
      </c>
      <c r="R25" s="20">
        <v>7136</v>
      </c>
      <c r="S25" s="20">
        <v>1364</v>
      </c>
      <c r="T25" s="20">
        <v>3941</v>
      </c>
      <c r="U25" s="20">
        <v>927</v>
      </c>
      <c r="V25" s="20">
        <v>5</v>
      </c>
      <c r="W25" s="20">
        <f t="shared" si="0"/>
        <v>28957</v>
      </c>
      <c r="X25" s="36">
        <v>-22715</v>
      </c>
      <c r="Y25" s="36"/>
      <c r="Z25" s="36"/>
      <c r="AA25" s="36"/>
      <c r="AB25" s="36"/>
      <c r="AC25" s="36"/>
      <c r="AD25" s="36"/>
      <c r="AE25" s="36">
        <v>-5</v>
      </c>
      <c r="AF25" s="36">
        <v>-939</v>
      </c>
      <c r="AG25" s="36">
        <v>-2090</v>
      </c>
      <c r="AH25" s="36">
        <v>-3194</v>
      </c>
      <c r="AI25" s="20">
        <f t="shared" si="1"/>
        <v>-28943</v>
      </c>
      <c r="AJ25" s="20">
        <f t="shared" si="2"/>
        <v>14</v>
      </c>
    </row>
    <row r="26" spans="1:36" x14ac:dyDescent="0.2">
      <c r="A26" s="17" t="s">
        <v>4626</v>
      </c>
      <c r="B26" s="17">
        <v>35942</v>
      </c>
      <c r="Q26" s="20">
        <v>13708</v>
      </c>
      <c r="R26" s="20">
        <v>9452</v>
      </c>
      <c r="S26" s="20">
        <v>1356</v>
      </c>
      <c r="T26" s="20">
        <v>4001</v>
      </c>
      <c r="U26" s="20">
        <v>649</v>
      </c>
      <c r="V26" s="20">
        <v>8</v>
      </c>
      <c r="W26" s="20">
        <f t="shared" si="0"/>
        <v>29174</v>
      </c>
      <c r="X26" s="36">
        <v>-23152</v>
      </c>
      <c r="Y26" s="36"/>
      <c r="Z26" s="36"/>
      <c r="AA26" s="36"/>
      <c r="AB26" s="36"/>
      <c r="AC26" s="36"/>
      <c r="AD26" s="36"/>
      <c r="AE26" s="36">
        <v>-8</v>
      </c>
      <c r="AF26" s="36">
        <v>-618</v>
      </c>
      <c r="AG26" s="36">
        <v>-1996</v>
      </c>
      <c r="AH26" s="36">
        <v>-3385</v>
      </c>
      <c r="AI26" s="20">
        <f t="shared" si="1"/>
        <v>-29159</v>
      </c>
      <c r="AJ26" s="20">
        <f t="shared" si="2"/>
        <v>15</v>
      </c>
    </row>
    <row r="27" spans="1:36" x14ac:dyDescent="0.2">
      <c r="A27" s="17" t="s">
        <v>4627</v>
      </c>
      <c r="B27" s="17">
        <v>35949</v>
      </c>
      <c r="Q27" s="20">
        <v>13090</v>
      </c>
      <c r="R27" s="20">
        <v>9710</v>
      </c>
      <c r="S27" s="20">
        <v>1360</v>
      </c>
      <c r="T27" s="20">
        <v>3649</v>
      </c>
      <c r="U27" s="20">
        <v>992</v>
      </c>
      <c r="V27" s="20">
        <v>6</v>
      </c>
      <c r="W27" s="20">
        <f t="shared" si="0"/>
        <v>28807</v>
      </c>
      <c r="X27" s="36">
        <v>-22794</v>
      </c>
      <c r="Y27" s="36"/>
      <c r="Z27" s="36"/>
      <c r="AA27" s="36"/>
      <c r="AB27" s="36"/>
      <c r="AC27" s="36"/>
      <c r="AD27" s="36"/>
      <c r="AE27" s="36">
        <v>-6</v>
      </c>
      <c r="AF27" s="36">
        <v>-1260</v>
      </c>
      <c r="AG27" s="36">
        <v>-1140</v>
      </c>
      <c r="AH27" s="36">
        <v>-3592</v>
      </c>
      <c r="AI27" s="20">
        <f t="shared" si="1"/>
        <v>-28792</v>
      </c>
      <c r="AJ27" s="20">
        <f t="shared" si="2"/>
        <v>15</v>
      </c>
    </row>
    <row r="28" spans="1:36" x14ac:dyDescent="0.2">
      <c r="A28" s="17" t="s">
        <v>4628</v>
      </c>
      <c r="B28" s="17">
        <v>35956</v>
      </c>
      <c r="Q28" s="20">
        <v>18917</v>
      </c>
      <c r="R28" s="20">
        <v>3843</v>
      </c>
      <c r="S28" s="20">
        <v>1361</v>
      </c>
      <c r="T28" s="20">
        <v>4176</v>
      </c>
      <c r="U28" s="20">
        <v>462</v>
      </c>
      <c r="V28" s="20">
        <v>6</v>
      </c>
      <c r="W28" s="20">
        <f t="shared" si="0"/>
        <v>28765</v>
      </c>
      <c r="X28" s="36">
        <v>-22754</v>
      </c>
      <c r="Y28" s="36"/>
      <c r="Z28" s="36"/>
      <c r="AA28" s="36"/>
      <c r="AB28" s="36"/>
      <c r="AC28" s="36"/>
      <c r="AD28" s="36"/>
      <c r="AE28" s="36">
        <v>-6</v>
      </c>
      <c r="AF28" s="36">
        <v>-1264</v>
      </c>
      <c r="AG28" s="36">
        <v>-1197</v>
      </c>
      <c r="AH28" s="36">
        <v>-3529</v>
      </c>
      <c r="AI28" s="20">
        <f t="shared" si="1"/>
        <v>-28750</v>
      </c>
      <c r="AJ28" s="20">
        <f t="shared" si="2"/>
        <v>15</v>
      </c>
    </row>
    <row r="29" spans="1:36" x14ac:dyDescent="0.2">
      <c r="A29" s="17" t="s">
        <v>4629</v>
      </c>
      <c r="B29" s="17">
        <v>35963</v>
      </c>
      <c r="Q29" s="20">
        <v>21898</v>
      </c>
      <c r="R29" s="20">
        <v>892</v>
      </c>
      <c r="S29" s="20">
        <v>1367</v>
      </c>
      <c r="T29" s="20">
        <v>3149</v>
      </c>
      <c r="U29" s="20">
        <v>1164</v>
      </c>
      <c r="V29" s="20">
        <v>12</v>
      </c>
      <c r="W29" s="20">
        <f t="shared" si="0"/>
        <v>28482</v>
      </c>
      <c r="X29" s="36">
        <v>-22778</v>
      </c>
      <c r="Y29" s="36"/>
      <c r="Z29" s="36"/>
      <c r="AA29" s="36"/>
      <c r="AB29" s="36"/>
      <c r="AC29" s="36"/>
      <c r="AD29" s="36"/>
      <c r="AE29" s="36">
        <v>-12</v>
      </c>
      <c r="AF29" s="36">
        <v>-1093</v>
      </c>
      <c r="AG29" s="36">
        <v>-1154</v>
      </c>
      <c r="AH29" s="36">
        <v>-3432</v>
      </c>
      <c r="AI29" s="20">
        <f t="shared" si="1"/>
        <v>-28469</v>
      </c>
      <c r="AJ29" s="20">
        <f t="shared" si="2"/>
        <v>13</v>
      </c>
    </row>
    <row r="30" spans="1:36" x14ac:dyDescent="0.2">
      <c r="A30" s="17" t="s">
        <v>4630</v>
      </c>
      <c r="B30" s="17">
        <v>35970</v>
      </c>
      <c r="Q30" s="20">
        <v>20297</v>
      </c>
      <c r="R30" s="20">
        <v>2493</v>
      </c>
      <c r="S30" s="20">
        <v>1369</v>
      </c>
      <c r="T30" s="20">
        <v>3134</v>
      </c>
      <c r="U30" s="20">
        <v>1223</v>
      </c>
      <c r="V30" s="20">
        <v>11</v>
      </c>
      <c r="W30" s="20">
        <f t="shared" si="0"/>
        <v>28527</v>
      </c>
      <c r="X30" s="36">
        <v>-22780</v>
      </c>
      <c r="Y30" s="36"/>
      <c r="Z30" s="36"/>
      <c r="AA30" s="36"/>
      <c r="AB30" s="36"/>
      <c r="AC30" s="36"/>
      <c r="AD30" s="36"/>
      <c r="AE30" s="36">
        <v>-10</v>
      </c>
      <c r="AF30" s="36">
        <v>-908</v>
      </c>
      <c r="AG30" s="36">
        <v>-1184</v>
      </c>
      <c r="AH30" s="36">
        <v>-3630</v>
      </c>
      <c r="AI30" s="20">
        <f t="shared" si="1"/>
        <v>-28512</v>
      </c>
      <c r="AJ30" s="20">
        <f t="shared" si="2"/>
        <v>15</v>
      </c>
    </row>
    <row r="31" spans="1:36" x14ac:dyDescent="0.2">
      <c r="A31" s="17" t="s">
        <v>4631</v>
      </c>
      <c r="B31" s="17">
        <v>35977</v>
      </c>
      <c r="Q31" s="20">
        <v>20012</v>
      </c>
      <c r="R31" s="20">
        <v>2918</v>
      </c>
      <c r="S31" s="20">
        <v>1360</v>
      </c>
      <c r="T31" s="20">
        <v>3336</v>
      </c>
      <c r="U31" s="20">
        <v>827</v>
      </c>
      <c r="V31" s="20">
        <v>12</v>
      </c>
      <c r="W31" s="20">
        <f t="shared" si="0"/>
        <v>28465</v>
      </c>
      <c r="X31" s="36">
        <v>-22918</v>
      </c>
      <c r="Y31" s="36"/>
      <c r="Z31" s="36"/>
      <c r="AA31" s="36"/>
      <c r="AB31" s="36"/>
      <c r="AC31" s="36"/>
      <c r="AD31" s="36"/>
      <c r="AE31" s="36">
        <v>-12</v>
      </c>
      <c r="AF31" s="36">
        <v>-844</v>
      </c>
      <c r="AG31" s="36">
        <v>-1171</v>
      </c>
      <c r="AH31" s="36">
        <v>-3506</v>
      </c>
      <c r="AI31" s="20">
        <f t="shared" si="1"/>
        <v>-28451</v>
      </c>
      <c r="AJ31" s="20">
        <f t="shared" si="2"/>
        <v>14</v>
      </c>
    </row>
    <row r="32" spans="1:36" x14ac:dyDescent="0.2">
      <c r="A32" s="17" t="s">
        <v>4632</v>
      </c>
      <c r="B32" s="17">
        <v>35984</v>
      </c>
      <c r="Q32" s="20">
        <v>20685</v>
      </c>
      <c r="R32" s="20">
        <v>2275</v>
      </c>
      <c r="S32" s="20">
        <v>1361</v>
      </c>
      <c r="T32" s="20">
        <v>3806</v>
      </c>
      <c r="U32" s="20">
        <v>520</v>
      </c>
      <c r="V32" s="20">
        <v>13</v>
      </c>
      <c r="W32" s="20">
        <f t="shared" si="0"/>
        <v>28660</v>
      </c>
      <c r="X32" s="36">
        <v>-22947</v>
      </c>
      <c r="Y32" s="36"/>
      <c r="Z32" s="36"/>
      <c r="AA32" s="36"/>
      <c r="AB32" s="36"/>
      <c r="AC32" s="36"/>
      <c r="AD32" s="36"/>
      <c r="AE32" s="36">
        <v>-13</v>
      </c>
      <c r="AF32" s="36">
        <v>-1313</v>
      </c>
      <c r="AG32" s="36">
        <v>-1163</v>
      </c>
      <c r="AH32" s="36">
        <v>-3209</v>
      </c>
      <c r="AI32" s="20">
        <f t="shared" si="1"/>
        <v>-28645</v>
      </c>
      <c r="AJ32" s="20">
        <f t="shared" si="2"/>
        <v>15</v>
      </c>
    </row>
    <row r="33" spans="1:36" x14ac:dyDescent="0.2">
      <c r="A33" s="17" t="s">
        <v>4633</v>
      </c>
      <c r="B33" s="17">
        <v>35991</v>
      </c>
      <c r="Q33" s="20">
        <v>21252</v>
      </c>
      <c r="R33" s="20">
        <v>1748</v>
      </c>
      <c r="S33" s="20">
        <v>1359</v>
      </c>
      <c r="T33" s="20">
        <v>4126</v>
      </c>
      <c r="U33" s="20">
        <v>635</v>
      </c>
      <c r="V33" s="20">
        <v>10</v>
      </c>
      <c r="W33" s="20">
        <f t="shared" si="0"/>
        <v>29130</v>
      </c>
      <c r="X33" s="36">
        <v>-22990</v>
      </c>
      <c r="Y33" s="36"/>
      <c r="Z33" s="36"/>
      <c r="AA33" s="36"/>
      <c r="AB33" s="36"/>
      <c r="AC33" s="36"/>
      <c r="AD33" s="36"/>
      <c r="AE33" s="36">
        <v>-10</v>
      </c>
      <c r="AF33" s="36">
        <v>-1315</v>
      </c>
      <c r="AG33" s="36">
        <v>-1135</v>
      </c>
      <c r="AH33" s="36">
        <v>-3665</v>
      </c>
      <c r="AI33" s="20">
        <f t="shared" si="1"/>
        <v>-29115</v>
      </c>
      <c r="AJ33" s="20">
        <f t="shared" si="2"/>
        <v>15</v>
      </c>
    </row>
    <row r="34" spans="1:36" x14ac:dyDescent="0.2">
      <c r="A34" s="17" t="s">
        <v>4634</v>
      </c>
      <c r="B34" s="17">
        <v>35998</v>
      </c>
      <c r="Q34" s="20">
        <v>19286</v>
      </c>
      <c r="R34" s="20">
        <v>3904</v>
      </c>
      <c r="S34" s="20">
        <v>1359</v>
      </c>
      <c r="T34" s="20">
        <v>3542</v>
      </c>
      <c r="U34" s="20">
        <v>774</v>
      </c>
      <c r="V34" s="20">
        <v>13</v>
      </c>
      <c r="W34" s="20">
        <f t="shared" si="0"/>
        <v>28878</v>
      </c>
      <c r="X34" s="36">
        <v>-23177</v>
      </c>
      <c r="Y34" s="36"/>
      <c r="Z34" s="36"/>
      <c r="AA34" s="36"/>
      <c r="AB34" s="36"/>
      <c r="AC34" s="36"/>
      <c r="AD34" s="36"/>
      <c r="AE34" s="36">
        <v>-13</v>
      </c>
      <c r="AF34" s="36">
        <v>-1123</v>
      </c>
      <c r="AG34" s="36">
        <v>-1172</v>
      </c>
      <c r="AH34" s="36">
        <v>-3378</v>
      </c>
      <c r="AI34" s="20">
        <f t="shared" si="1"/>
        <v>-28863</v>
      </c>
      <c r="AJ34" s="20">
        <f t="shared" si="2"/>
        <v>15</v>
      </c>
    </row>
    <row r="35" spans="1:36" x14ac:dyDescent="0.2">
      <c r="A35" s="17" t="s">
        <v>4635</v>
      </c>
      <c r="B35" s="17">
        <v>36005</v>
      </c>
      <c r="Q35" s="20">
        <v>19010</v>
      </c>
      <c r="R35" s="20">
        <v>4300</v>
      </c>
      <c r="S35" s="20">
        <v>1363</v>
      </c>
      <c r="T35" s="20">
        <v>3582</v>
      </c>
      <c r="U35" s="20">
        <v>1245</v>
      </c>
      <c r="V35" s="20">
        <v>8</v>
      </c>
      <c r="W35" s="20">
        <f t="shared" si="0"/>
        <v>29508</v>
      </c>
      <c r="X35" s="36">
        <v>-23302</v>
      </c>
      <c r="Y35" s="36"/>
      <c r="Z35" s="36"/>
      <c r="AA35" s="36"/>
      <c r="AB35" s="36"/>
      <c r="AC35" s="36"/>
      <c r="AD35" s="36"/>
      <c r="AE35" s="36">
        <v>-8</v>
      </c>
      <c r="AF35" s="36">
        <v>-1307</v>
      </c>
      <c r="AG35" s="36">
        <v>-1144</v>
      </c>
      <c r="AH35" s="36">
        <v>-3734</v>
      </c>
      <c r="AI35" s="20">
        <f t="shared" si="1"/>
        <v>-29495</v>
      </c>
      <c r="AJ35" s="20">
        <f t="shared" si="2"/>
        <v>13</v>
      </c>
    </row>
    <row r="36" spans="1:36" x14ac:dyDescent="0.2">
      <c r="A36" s="17" t="s">
        <v>4636</v>
      </c>
      <c r="B36" s="17">
        <v>36012</v>
      </c>
      <c r="Q36" s="20">
        <v>11246</v>
      </c>
      <c r="R36" s="20">
        <v>12084</v>
      </c>
      <c r="S36" s="20">
        <v>1382</v>
      </c>
      <c r="T36" s="20">
        <v>4643</v>
      </c>
      <c r="U36" s="20">
        <v>443</v>
      </c>
      <c r="V36" s="20">
        <v>11</v>
      </c>
      <c r="W36" s="20">
        <f t="shared" si="0"/>
        <v>29809</v>
      </c>
      <c r="X36" s="36">
        <v>-23320</v>
      </c>
      <c r="Y36" s="36"/>
      <c r="Z36" s="36"/>
      <c r="AA36" s="36"/>
      <c r="AB36" s="36"/>
      <c r="AC36" s="36"/>
      <c r="AD36" s="36"/>
      <c r="AE36" s="36">
        <v>-10</v>
      </c>
      <c r="AF36" s="36">
        <v>-1298</v>
      </c>
      <c r="AG36" s="36">
        <v>-1083</v>
      </c>
      <c r="AH36" s="36">
        <v>-4083</v>
      </c>
      <c r="AI36" s="20">
        <f t="shared" si="1"/>
        <v>-29794</v>
      </c>
      <c r="AJ36" s="20">
        <f t="shared" si="2"/>
        <v>15</v>
      </c>
    </row>
    <row r="37" spans="1:36" x14ac:dyDescent="0.2">
      <c r="A37" s="17" t="s">
        <v>4637</v>
      </c>
      <c r="B37" s="17">
        <v>36019</v>
      </c>
      <c r="Q37" s="20">
        <v>12379</v>
      </c>
      <c r="R37" s="20">
        <v>10921</v>
      </c>
      <c r="S37" s="20">
        <v>1357</v>
      </c>
      <c r="T37" s="20">
        <v>3477</v>
      </c>
      <c r="U37" s="20">
        <v>1137</v>
      </c>
      <c r="V37" s="20">
        <v>12</v>
      </c>
      <c r="W37" s="20">
        <f t="shared" si="0"/>
        <v>29283</v>
      </c>
      <c r="X37" s="36">
        <v>-23288</v>
      </c>
      <c r="Y37" s="36"/>
      <c r="Z37" s="36"/>
      <c r="AA37" s="36"/>
      <c r="AB37" s="36"/>
      <c r="AC37" s="36"/>
      <c r="AD37" s="36"/>
      <c r="AE37" s="36">
        <v>-12</v>
      </c>
      <c r="AF37" s="36">
        <v>-1182</v>
      </c>
      <c r="AG37" s="36">
        <v>-1244</v>
      </c>
      <c r="AH37" s="36">
        <v>-3542</v>
      </c>
      <c r="AI37" s="20">
        <f t="shared" si="1"/>
        <v>-29268</v>
      </c>
      <c r="AJ37" s="20">
        <f t="shared" si="2"/>
        <v>15</v>
      </c>
    </row>
    <row r="38" spans="1:36" x14ac:dyDescent="0.2">
      <c r="A38" s="17" t="s">
        <v>4638</v>
      </c>
      <c r="B38" s="17">
        <v>36026</v>
      </c>
      <c r="Q38" s="20">
        <v>13686</v>
      </c>
      <c r="R38" s="20">
        <v>9624</v>
      </c>
      <c r="S38" s="20">
        <v>1358</v>
      </c>
      <c r="T38" s="20">
        <v>3668</v>
      </c>
      <c r="U38" s="20">
        <v>915</v>
      </c>
      <c r="V38" s="20">
        <v>12</v>
      </c>
      <c r="W38" s="20">
        <f t="shared" si="0"/>
        <v>29263</v>
      </c>
      <c r="X38" s="36">
        <v>-23298</v>
      </c>
      <c r="Y38" s="36"/>
      <c r="Z38" s="36"/>
      <c r="AA38" s="36"/>
      <c r="AB38" s="36"/>
      <c r="AC38" s="36"/>
      <c r="AD38" s="36"/>
      <c r="AE38" s="36">
        <v>-12</v>
      </c>
      <c r="AF38" s="36">
        <v>-1079</v>
      </c>
      <c r="AG38" s="36">
        <v>-1182</v>
      </c>
      <c r="AH38" s="36">
        <v>-3677</v>
      </c>
      <c r="AI38" s="20">
        <f t="shared" si="1"/>
        <v>-29248</v>
      </c>
      <c r="AJ38" s="20">
        <f t="shared" si="2"/>
        <v>15</v>
      </c>
    </row>
    <row r="39" spans="1:36" x14ac:dyDescent="0.2">
      <c r="A39" s="17" t="s">
        <v>4639</v>
      </c>
      <c r="B39" s="17">
        <v>36033</v>
      </c>
      <c r="Q39" s="20">
        <v>13956</v>
      </c>
      <c r="R39" s="20">
        <v>9584</v>
      </c>
      <c r="S39" s="20">
        <v>1371</v>
      </c>
      <c r="T39" s="20">
        <v>3676</v>
      </c>
      <c r="U39" s="20">
        <v>623</v>
      </c>
      <c r="V39" s="20">
        <v>8</v>
      </c>
      <c r="W39" s="20">
        <f t="shared" si="0"/>
        <v>29218</v>
      </c>
      <c r="X39" s="36">
        <v>-23533</v>
      </c>
      <c r="Y39" s="36"/>
      <c r="Z39" s="36"/>
      <c r="AA39" s="36"/>
      <c r="AB39" s="36"/>
      <c r="AC39" s="36"/>
      <c r="AD39" s="36"/>
      <c r="AE39" s="36">
        <v>-7</v>
      </c>
      <c r="AF39" s="36">
        <v>-826</v>
      </c>
      <c r="AG39" s="36">
        <v>-1179</v>
      </c>
      <c r="AH39" s="36">
        <v>-3658</v>
      </c>
      <c r="AI39" s="20">
        <f t="shared" si="1"/>
        <v>-29203</v>
      </c>
      <c r="AJ39" s="20">
        <f t="shared" si="2"/>
        <v>15</v>
      </c>
    </row>
    <row r="40" spans="1:36" x14ac:dyDescent="0.2">
      <c r="A40" s="17" t="s">
        <v>4640</v>
      </c>
      <c r="B40" s="17">
        <v>36040</v>
      </c>
      <c r="Q40" s="20">
        <v>13458</v>
      </c>
      <c r="R40" s="20">
        <v>10302</v>
      </c>
      <c r="S40" s="20">
        <v>1378</v>
      </c>
      <c r="T40" s="20">
        <v>4297</v>
      </c>
      <c r="U40" s="20">
        <v>440</v>
      </c>
      <c r="V40" s="20">
        <v>10</v>
      </c>
      <c r="W40" s="20">
        <f t="shared" si="0"/>
        <v>29885</v>
      </c>
      <c r="X40" s="36">
        <v>-23750</v>
      </c>
      <c r="Y40" s="36"/>
      <c r="Z40" s="36"/>
      <c r="AA40" s="36"/>
      <c r="AB40" s="36"/>
      <c r="AC40" s="36"/>
      <c r="AD40" s="36"/>
      <c r="AE40" s="36">
        <v>-10</v>
      </c>
      <c r="AF40" s="36">
        <v>-1258</v>
      </c>
      <c r="AG40" s="36">
        <v>-1227</v>
      </c>
      <c r="AH40" s="36">
        <v>-3626</v>
      </c>
      <c r="AI40" s="20">
        <f t="shared" si="1"/>
        <v>-29871</v>
      </c>
      <c r="AJ40" s="20">
        <f t="shared" si="2"/>
        <v>14</v>
      </c>
    </row>
    <row r="41" spans="1:36" x14ac:dyDescent="0.2">
      <c r="A41" s="17" t="s">
        <v>4641</v>
      </c>
      <c r="B41" s="17">
        <v>36047</v>
      </c>
      <c r="Q41" s="20">
        <v>15779</v>
      </c>
      <c r="R41" s="20">
        <v>7391</v>
      </c>
      <c r="S41" s="20">
        <v>1362</v>
      </c>
      <c r="T41" s="20">
        <v>4217</v>
      </c>
      <c r="U41" s="20">
        <v>440</v>
      </c>
      <c r="V41" s="20">
        <v>9</v>
      </c>
      <c r="W41" s="20">
        <f t="shared" si="0"/>
        <v>29198</v>
      </c>
      <c r="X41" s="36">
        <v>-23161</v>
      </c>
      <c r="Y41" s="36"/>
      <c r="Z41" s="36"/>
      <c r="AA41" s="36"/>
      <c r="AB41" s="36"/>
      <c r="AC41" s="36"/>
      <c r="AD41" s="36"/>
      <c r="AE41" s="36">
        <v>-9</v>
      </c>
      <c r="AF41" s="36">
        <v>-1141</v>
      </c>
      <c r="AG41" s="36">
        <v>-1076</v>
      </c>
      <c r="AH41" s="36">
        <v>-3798</v>
      </c>
      <c r="AI41" s="20">
        <f t="shared" si="1"/>
        <v>-29185</v>
      </c>
      <c r="AJ41" s="20">
        <f t="shared" si="2"/>
        <v>13</v>
      </c>
    </row>
    <row r="42" spans="1:36" x14ac:dyDescent="0.2">
      <c r="A42" s="17" t="s">
        <v>4642</v>
      </c>
      <c r="B42" s="17">
        <v>36054</v>
      </c>
      <c r="Q42" s="20">
        <v>18514</v>
      </c>
      <c r="R42" s="20">
        <v>4546</v>
      </c>
      <c r="S42" s="20">
        <v>1363</v>
      </c>
      <c r="T42" s="20">
        <v>3609</v>
      </c>
      <c r="U42" s="20">
        <v>1494</v>
      </c>
      <c r="V42" s="20">
        <v>12</v>
      </c>
      <c r="W42" s="20">
        <f t="shared" si="0"/>
        <v>29538</v>
      </c>
      <c r="X42" s="36">
        <v>-23048</v>
      </c>
      <c r="Y42" s="36"/>
      <c r="Z42" s="36"/>
      <c r="AA42" s="36"/>
      <c r="AB42" s="36"/>
      <c r="AC42" s="36"/>
      <c r="AD42" s="36"/>
      <c r="AE42" s="36">
        <v>-12</v>
      </c>
      <c r="AF42" s="36">
        <v>-1234</v>
      </c>
      <c r="AG42" s="36">
        <v>-1171</v>
      </c>
      <c r="AH42" s="36">
        <v>-4059</v>
      </c>
      <c r="AI42" s="20">
        <f t="shared" si="1"/>
        <v>-29524</v>
      </c>
      <c r="AJ42" s="20">
        <f t="shared" si="2"/>
        <v>14</v>
      </c>
    </row>
    <row r="43" spans="1:36" x14ac:dyDescent="0.2">
      <c r="A43" s="17" t="s">
        <v>4643</v>
      </c>
      <c r="B43" s="17">
        <v>36061</v>
      </c>
      <c r="Q43" s="20">
        <v>16342</v>
      </c>
      <c r="R43" s="20">
        <v>6788</v>
      </c>
      <c r="S43" s="20">
        <v>1364</v>
      </c>
      <c r="T43" s="20">
        <v>3517</v>
      </c>
      <c r="U43" s="20">
        <v>1274</v>
      </c>
      <c r="V43" s="20">
        <v>12</v>
      </c>
      <c r="W43" s="20">
        <f t="shared" si="0"/>
        <v>29297</v>
      </c>
      <c r="X43" s="36">
        <v>-23118</v>
      </c>
      <c r="Y43" s="36"/>
      <c r="Z43" s="36"/>
      <c r="AA43" s="36"/>
      <c r="AB43" s="36"/>
      <c r="AC43" s="36"/>
      <c r="AD43" s="36"/>
      <c r="AE43" s="36">
        <v>-12</v>
      </c>
      <c r="AF43" s="36">
        <v>-1003</v>
      </c>
      <c r="AG43" s="36">
        <v>-1169</v>
      </c>
      <c r="AH43" s="36">
        <v>-3980</v>
      </c>
      <c r="AI43" s="20">
        <f t="shared" si="1"/>
        <v>-29282</v>
      </c>
      <c r="AJ43" s="20">
        <f t="shared" si="2"/>
        <v>15</v>
      </c>
    </row>
    <row r="44" spans="1:36" x14ac:dyDescent="0.2">
      <c r="A44" s="17" t="s">
        <v>4644</v>
      </c>
      <c r="B44" s="17">
        <v>36068</v>
      </c>
      <c r="Q44" s="20">
        <v>15247</v>
      </c>
      <c r="R44" s="20">
        <v>7943</v>
      </c>
      <c r="S44" s="20">
        <v>1368</v>
      </c>
      <c r="T44" s="20">
        <v>3586</v>
      </c>
      <c r="U44" s="20">
        <v>455</v>
      </c>
      <c r="V44" s="20">
        <v>11</v>
      </c>
      <c r="W44" s="20">
        <f t="shared" si="0"/>
        <v>28610</v>
      </c>
      <c r="X44" s="36">
        <v>-23179</v>
      </c>
      <c r="Y44" s="36"/>
      <c r="Z44" s="36"/>
      <c r="AA44" s="36"/>
      <c r="AB44" s="36"/>
      <c r="AC44" s="36"/>
      <c r="AD44" s="36"/>
      <c r="AE44" s="36">
        <v>-11</v>
      </c>
      <c r="AF44" s="36">
        <v>-214</v>
      </c>
      <c r="AG44" s="36">
        <v>-1127</v>
      </c>
      <c r="AH44" s="36">
        <v>-4064</v>
      </c>
      <c r="AI44" s="20">
        <f t="shared" si="1"/>
        <v>-28595</v>
      </c>
      <c r="AJ44" s="20">
        <f t="shared" si="2"/>
        <v>15</v>
      </c>
    </row>
    <row r="45" spans="1:36" x14ac:dyDescent="0.2">
      <c r="A45" s="17" t="s">
        <v>4645</v>
      </c>
      <c r="B45" s="17">
        <v>36075</v>
      </c>
      <c r="Q45" s="20">
        <v>10443</v>
      </c>
      <c r="R45" s="20">
        <v>12647</v>
      </c>
      <c r="S45" s="20">
        <v>1360</v>
      </c>
      <c r="T45" s="20">
        <v>6850</v>
      </c>
      <c r="U45" s="20">
        <v>440</v>
      </c>
      <c r="V45" s="20">
        <v>10</v>
      </c>
      <c r="W45" s="20">
        <f t="shared" si="0"/>
        <v>31750</v>
      </c>
      <c r="X45" s="36">
        <v>-23080</v>
      </c>
      <c r="Y45" s="36"/>
      <c r="Z45" s="36"/>
      <c r="AA45" s="36"/>
      <c r="AB45" s="36"/>
      <c r="AC45" s="36"/>
      <c r="AD45" s="36"/>
      <c r="AE45" s="36">
        <v>-10</v>
      </c>
      <c r="AF45" s="36">
        <v>-1267</v>
      </c>
      <c r="AG45" s="36">
        <v>-1274</v>
      </c>
      <c r="AH45" s="36">
        <v>-6104</v>
      </c>
      <c r="AI45" s="20">
        <f t="shared" si="1"/>
        <v>-31735</v>
      </c>
      <c r="AJ45" s="20">
        <f t="shared" si="2"/>
        <v>15</v>
      </c>
    </row>
    <row r="46" spans="1:36" x14ac:dyDescent="0.2">
      <c r="A46" s="17" t="s">
        <v>4646</v>
      </c>
      <c r="B46" s="17">
        <v>36082</v>
      </c>
      <c r="Q46" s="20">
        <v>12180</v>
      </c>
      <c r="R46" s="20">
        <v>10850</v>
      </c>
      <c r="S46" s="20">
        <v>1359</v>
      </c>
      <c r="T46" s="20">
        <v>3863</v>
      </c>
      <c r="U46" s="20">
        <v>679</v>
      </c>
      <c r="V46" s="20">
        <v>12</v>
      </c>
      <c r="W46" s="20">
        <f t="shared" si="0"/>
        <v>28943</v>
      </c>
      <c r="X46" s="36">
        <v>-23018</v>
      </c>
      <c r="Y46" s="36"/>
      <c r="Z46" s="36"/>
      <c r="AA46" s="36"/>
      <c r="AB46" s="36"/>
      <c r="AC46" s="36"/>
      <c r="AD46" s="36"/>
      <c r="AE46" s="36">
        <v>-12</v>
      </c>
      <c r="AF46" s="36">
        <v>-729</v>
      </c>
      <c r="AG46" s="36">
        <v>-1210</v>
      </c>
      <c r="AH46" s="36">
        <v>-3961</v>
      </c>
      <c r="AI46" s="20">
        <f t="shared" si="1"/>
        <v>-28930</v>
      </c>
      <c r="AJ46" s="20">
        <f t="shared" si="2"/>
        <v>13</v>
      </c>
    </row>
    <row r="47" spans="1:36" x14ac:dyDescent="0.2">
      <c r="A47" s="17" t="s">
        <v>4647</v>
      </c>
      <c r="B47" s="17">
        <v>36089</v>
      </c>
      <c r="Q47" s="20">
        <v>8784</v>
      </c>
      <c r="R47" s="20">
        <v>14266</v>
      </c>
      <c r="S47" s="20">
        <v>1359</v>
      </c>
      <c r="T47" s="20">
        <v>4333</v>
      </c>
      <c r="U47" s="20">
        <v>459</v>
      </c>
      <c r="V47" s="20">
        <v>12</v>
      </c>
      <c r="W47" s="20">
        <f t="shared" si="0"/>
        <v>29213</v>
      </c>
      <c r="X47" s="36">
        <v>-23038</v>
      </c>
      <c r="Y47" s="36"/>
      <c r="Z47" s="36"/>
      <c r="AA47" s="36"/>
      <c r="AB47" s="36"/>
      <c r="AC47" s="36"/>
      <c r="AD47" s="36"/>
      <c r="AE47" s="36">
        <v>-12</v>
      </c>
      <c r="AF47" s="36">
        <v>-1018</v>
      </c>
      <c r="AG47" s="36">
        <v>-1147</v>
      </c>
      <c r="AH47" s="36">
        <v>-3983</v>
      </c>
      <c r="AI47" s="20">
        <f t="shared" si="1"/>
        <v>-29198</v>
      </c>
      <c r="AJ47" s="20">
        <f t="shared" si="2"/>
        <v>15</v>
      </c>
    </row>
    <row r="48" spans="1:36" x14ac:dyDescent="0.2">
      <c r="A48" s="17" t="s">
        <v>4648</v>
      </c>
      <c r="B48" s="17">
        <v>36096</v>
      </c>
      <c r="Q48" s="20">
        <v>10360</v>
      </c>
      <c r="R48" s="20">
        <v>12770</v>
      </c>
      <c r="S48" s="20">
        <v>1374</v>
      </c>
      <c r="T48" s="20">
        <v>4220</v>
      </c>
      <c r="U48" s="20">
        <v>898</v>
      </c>
      <c r="V48" s="20">
        <v>9</v>
      </c>
      <c r="W48" s="20">
        <f t="shared" si="0"/>
        <v>29631</v>
      </c>
      <c r="X48" s="36">
        <v>-23121</v>
      </c>
      <c r="Y48" s="36"/>
      <c r="Z48" s="36"/>
      <c r="AA48" s="36"/>
      <c r="AB48" s="36"/>
      <c r="AC48" s="36"/>
      <c r="AD48" s="36"/>
      <c r="AE48" s="36">
        <v>-9</v>
      </c>
      <c r="AF48" s="36">
        <v>-1278</v>
      </c>
      <c r="AG48" s="36">
        <v>-1143</v>
      </c>
      <c r="AH48" s="36">
        <v>-4065</v>
      </c>
      <c r="AI48" s="20">
        <f t="shared" si="1"/>
        <v>-29616</v>
      </c>
      <c r="AJ48" s="20">
        <f t="shared" si="2"/>
        <v>15</v>
      </c>
    </row>
    <row r="49" spans="1:36" x14ac:dyDescent="0.2">
      <c r="A49" s="17" t="s">
        <v>4649</v>
      </c>
      <c r="B49" s="17">
        <v>36103</v>
      </c>
      <c r="Q49" s="20">
        <v>6951</v>
      </c>
      <c r="R49" s="20">
        <v>16259</v>
      </c>
      <c r="S49" s="20">
        <v>1375</v>
      </c>
      <c r="T49" s="20">
        <v>7177</v>
      </c>
      <c r="U49" s="20">
        <v>441</v>
      </c>
      <c r="V49" s="20">
        <v>12</v>
      </c>
      <c r="W49" s="20">
        <f t="shared" si="0"/>
        <v>32215</v>
      </c>
      <c r="X49" s="36">
        <v>-23198</v>
      </c>
      <c r="Y49" s="36"/>
      <c r="Z49" s="36"/>
      <c r="AA49" s="36"/>
      <c r="AB49" s="36"/>
      <c r="AC49" s="36"/>
      <c r="AD49" s="36"/>
      <c r="AE49" s="36">
        <v>-12</v>
      </c>
      <c r="AF49" s="36">
        <v>-1253</v>
      </c>
      <c r="AG49" s="36">
        <v>-1131</v>
      </c>
      <c r="AH49" s="36">
        <v>-6606</v>
      </c>
      <c r="AI49" s="20">
        <f t="shared" si="1"/>
        <v>-32200</v>
      </c>
      <c r="AJ49" s="20">
        <f t="shared" si="2"/>
        <v>15</v>
      </c>
    </row>
    <row r="50" spans="1:36" x14ac:dyDescent="0.2">
      <c r="A50" s="17" t="s">
        <v>4650</v>
      </c>
      <c r="B50" s="17">
        <v>36110</v>
      </c>
      <c r="Q50" s="20">
        <v>9458</v>
      </c>
      <c r="R50" s="20">
        <v>13702</v>
      </c>
      <c r="S50" s="20">
        <v>1360</v>
      </c>
      <c r="T50" s="20">
        <v>4652</v>
      </c>
      <c r="U50" s="20">
        <v>441</v>
      </c>
      <c r="V50" s="20">
        <v>11</v>
      </c>
      <c r="W50" s="20">
        <f t="shared" si="0"/>
        <v>29624</v>
      </c>
      <c r="X50" s="36">
        <v>-23149</v>
      </c>
      <c r="Y50" s="36"/>
      <c r="Z50" s="36"/>
      <c r="AA50" s="36"/>
      <c r="AB50" s="36"/>
      <c r="AC50" s="36"/>
      <c r="AD50" s="36"/>
      <c r="AE50" s="36">
        <v>-11</v>
      </c>
      <c r="AF50" s="36">
        <v>-1206</v>
      </c>
      <c r="AG50" s="36">
        <v>-1156</v>
      </c>
      <c r="AH50" s="36">
        <v>-4087</v>
      </c>
      <c r="AI50" s="20">
        <f t="shared" si="1"/>
        <v>-29609</v>
      </c>
      <c r="AJ50" s="20">
        <f t="shared" si="2"/>
        <v>15</v>
      </c>
    </row>
    <row r="51" spans="1:36" x14ac:dyDescent="0.2">
      <c r="A51" s="17" t="s">
        <v>4651</v>
      </c>
      <c r="B51" s="17">
        <v>36117</v>
      </c>
      <c r="Q51" s="20">
        <v>11702</v>
      </c>
      <c r="R51" s="20">
        <v>11498</v>
      </c>
      <c r="S51" s="20">
        <v>1373</v>
      </c>
      <c r="T51" s="20">
        <v>4547</v>
      </c>
      <c r="U51" s="20">
        <v>439</v>
      </c>
      <c r="V51" s="20">
        <v>8</v>
      </c>
      <c r="W51" s="20">
        <f t="shared" si="0"/>
        <v>29567</v>
      </c>
      <c r="X51" s="36">
        <v>-23192</v>
      </c>
      <c r="Y51" s="36"/>
      <c r="Z51" s="36"/>
      <c r="AA51" s="36"/>
      <c r="AB51" s="36"/>
      <c r="AC51" s="36"/>
      <c r="AD51" s="36"/>
      <c r="AE51" s="36">
        <v>-8</v>
      </c>
      <c r="AF51" s="36">
        <v>-1218</v>
      </c>
      <c r="AG51" s="36">
        <v>-1172</v>
      </c>
      <c r="AH51" s="36">
        <v>-3962</v>
      </c>
      <c r="AI51" s="20">
        <f t="shared" si="1"/>
        <v>-29552</v>
      </c>
      <c r="AJ51" s="20">
        <f t="shared" si="2"/>
        <v>15</v>
      </c>
    </row>
    <row r="52" spans="1:36" x14ac:dyDescent="0.2">
      <c r="A52" s="17" t="s">
        <v>4652</v>
      </c>
      <c r="B52" s="17">
        <v>36124</v>
      </c>
      <c r="Q52" s="20">
        <v>14175</v>
      </c>
      <c r="R52" s="20">
        <v>9225</v>
      </c>
      <c r="S52" s="20">
        <v>1368</v>
      </c>
      <c r="T52" s="20">
        <v>4484</v>
      </c>
      <c r="U52" s="20">
        <v>439</v>
      </c>
      <c r="V52" s="20">
        <v>10</v>
      </c>
      <c r="W52" s="20">
        <f t="shared" si="0"/>
        <v>29701</v>
      </c>
      <c r="X52" s="36">
        <v>-23390</v>
      </c>
      <c r="Y52" s="36"/>
      <c r="Z52" s="36"/>
      <c r="AA52" s="36"/>
      <c r="AB52" s="36"/>
      <c r="AC52" s="36"/>
      <c r="AD52" s="36"/>
      <c r="AE52" s="36">
        <v>-10</v>
      </c>
      <c r="AF52" s="36">
        <v>-1109</v>
      </c>
      <c r="AG52" s="36">
        <v>-1151</v>
      </c>
      <c r="AH52" s="36">
        <v>-4027</v>
      </c>
      <c r="AI52" s="20">
        <f t="shared" si="1"/>
        <v>-29687</v>
      </c>
      <c r="AJ52" s="20">
        <f t="shared" si="2"/>
        <v>14</v>
      </c>
    </row>
    <row r="53" spans="1:36" x14ac:dyDescent="0.2">
      <c r="A53" s="17" t="s">
        <v>4653</v>
      </c>
      <c r="B53" s="17">
        <v>36131</v>
      </c>
      <c r="Q53" s="20">
        <v>11385</v>
      </c>
      <c r="R53" s="20">
        <v>12385</v>
      </c>
      <c r="S53" s="20">
        <v>1371</v>
      </c>
      <c r="T53" s="20">
        <v>4313</v>
      </c>
      <c r="U53" s="20">
        <v>448</v>
      </c>
      <c r="V53" s="20">
        <v>6</v>
      </c>
      <c r="W53" s="20">
        <f t="shared" si="0"/>
        <v>29908</v>
      </c>
      <c r="X53" s="36">
        <v>-23764</v>
      </c>
      <c r="Y53" s="36"/>
      <c r="Z53" s="36"/>
      <c r="AA53" s="36"/>
      <c r="AB53" s="36"/>
      <c r="AC53" s="36"/>
      <c r="AD53" s="36"/>
      <c r="AE53" s="36">
        <v>-6</v>
      </c>
      <c r="AF53" s="36">
        <v>-289</v>
      </c>
      <c r="AG53" s="36">
        <v>-1325</v>
      </c>
      <c r="AH53" s="36">
        <v>-4510</v>
      </c>
      <c r="AI53" s="20">
        <f t="shared" si="1"/>
        <v>-29894</v>
      </c>
      <c r="AJ53" s="20">
        <f t="shared" si="2"/>
        <v>14</v>
      </c>
    </row>
    <row r="54" spans="1:36" x14ac:dyDescent="0.2">
      <c r="A54" s="17" t="s">
        <v>4654</v>
      </c>
      <c r="B54" s="17">
        <v>36138</v>
      </c>
      <c r="Q54" s="20">
        <v>16046</v>
      </c>
      <c r="R54" s="20">
        <v>7984</v>
      </c>
      <c r="S54" s="20">
        <v>1361</v>
      </c>
      <c r="T54" s="20">
        <v>3111</v>
      </c>
      <c r="U54" s="20">
        <v>1267</v>
      </c>
      <c r="V54" s="20">
        <v>11</v>
      </c>
      <c r="W54" s="20">
        <f t="shared" si="0"/>
        <v>29780</v>
      </c>
      <c r="X54" s="36">
        <v>-24019</v>
      </c>
      <c r="Y54" s="36"/>
      <c r="Z54" s="36"/>
      <c r="AA54" s="36"/>
      <c r="AB54" s="36"/>
      <c r="AC54" s="36"/>
      <c r="AD54" s="36"/>
      <c r="AE54" s="36">
        <v>-11</v>
      </c>
      <c r="AF54" s="36">
        <v>-257</v>
      </c>
      <c r="AG54" s="36">
        <v>-1240</v>
      </c>
      <c r="AH54" s="36">
        <v>-4238</v>
      </c>
      <c r="AI54" s="20">
        <f t="shared" si="1"/>
        <v>-29765</v>
      </c>
      <c r="AJ54" s="20">
        <f t="shared" si="2"/>
        <v>15</v>
      </c>
    </row>
    <row r="55" spans="1:36" x14ac:dyDescent="0.2">
      <c r="A55" s="17" t="s">
        <v>4655</v>
      </c>
      <c r="B55" s="17">
        <v>36145</v>
      </c>
      <c r="Q55" s="20">
        <v>15826</v>
      </c>
      <c r="R55" s="20">
        <v>8754</v>
      </c>
      <c r="S55" s="20">
        <v>1352</v>
      </c>
      <c r="T55" s="20">
        <v>3302</v>
      </c>
      <c r="U55" s="20">
        <v>2141</v>
      </c>
      <c r="V55" s="20">
        <v>8</v>
      </c>
      <c r="W55" s="20">
        <f t="shared" si="0"/>
        <v>31383</v>
      </c>
      <c r="X55" s="36">
        <v>-24573</v>
      </c>
      <c r="Y55" s="36"/>
      <c r="Z55" s="36"/>
      <c r="AA55" s="36"/>
      <c r="AB55" s="36"/>
      <c r="AC55" s="36"/>
      <c r="AD55" s="36"/>
      <c r="AE55" s="36">
        <v>-7</v>
      </c>
      <c r="AF55" s="36">
        <v>-237</v>
      </c>
      <c r="AG55" s="36">
        <v>-1388</v>
      </c>
      <c r="AH55" s="36">
        <v>-5163</v>
      </c>
      <c r="AI55" s="20">
        <f t="shared" si="1"/>
        <v>-31368</v>
      </c>
      <c r="AJ55" s="20">
        <f t="shared" si="2"/>
        <v>15</v>
      </c>
    </row>
    <row r="56" spans="1:36" x14ac:dyDescent="0.2">
      <c r="A56" s="17" t="s">
        <v>4656</v>
      </c>
      <c r="B56" s="17">
        <v>36152</v>
      </c>
      <c r="Q56" s="20">
        <v>16220</v>
      </c>
      <c r="R56" s="20">
        <v>9780</v>
      </c>
      <c r="S56" s="20">
        <v>1352</v>
      </c>
      <c r="T56" s="20">
        <v>4250</v>
      </c>
      <c r="U56" s="20">
        <v>1937</v>
      </c>
      <c r="V56" s="20">
        <v>9</v>
      </c>
      <c r="W56" s="20">
        <f t="shared" si="0"/>
        <v>33548</v>
      </c>
      <c r="X56" s="36">
        <v>-25991</v>
      </c>
      <c r="Y56" s="36"/>
      <c r="Z56" s="36"/>
      <c r="AA56" s="36"/>
      <c r="AB56" s="36"/>
      <c r="AC56" s="36"/>
      <c r="AD56" s="36"/>
      <c r="AE56" s="36">
        <v>-9</v>
      </c>
      <c r="AF56" s="36">
        <v>-216</v>
      </c>
      <c r="AG56" s="36">
        <v>-1302</v>
      </c>
      <c r="AH56" s="36">
        <v>-6016</v>
      </c>
      <c r="AI56" s="20">
        <f t="shared" si="1"/>
        <v>-33534</v>
      </c>
      <c r="AJ56" s="20">
        <f t="shared" si="2"/>
        <v>14</v>
      </c>
    </row>
    <row r="57" spans="1:36" x14ac:dyDescent="0.2">
      <c r="A57" s="17" t="s">
        <v>4657</v>
      </c>
      <c r="B57" s="17">
        <v>36159</v>
      </c>
      <c r="Q57" s="20">
        <v>15698</v>
      </c>
      <c r="R57" s="20">
        <v>10032</v>
      </c>
      <c r="S57" s="20">
        <v>1352</v>
      </c>
      <c r="T57" s="20">
        <v>4992</v>
      </c>
      <c r="U57" s="20">
        <v>1913</v>
      </c>
      <c r="V57" s="20">
        <v>8</v>
      </c>
      <c r="W57" s="20">
        <f t="shared" si="0"/>
        <v>33995</v>
      </c>
      <c r="X57" s="36">
        <v>-25722</v>
      </c>
      <c r="Y57" s="36"/>
      <c r="Z57" s="36"/>
      <c r="AA57" s="36"/>
      <c r="AB57" s="36"/>
      <c r="AC57" s="36"/>
      <c r="AD57" s="36"/>
      <c r="AE57" s="36">
        <v>-8</v>
      </c>
      <c r="AF57" s="36">
        <v>-229</v>
      </c>
      <c r="AG57" s="36">
        <v>-1363</v>
      </c>
      <c r="AH57" s="36">
        <v>-6659</v>
      </c>
      <c r="AI57" s="20">
        <f t="shared" si="1"/>
        <v>-33981</v>
      </c>
      <c r="AJ57" s="20">
        <f t="shared" si="2"/>
        <v>14</v>
      </c>
    </row>
    <row r="58" spans="1:36" x14ac:dyDescent="0.2">
      <c r="A58" s="17" t="s">
        <v>4658</v>
      </c>
      <c r="B58" s="17">
        <v>36166</v>
      </c>
      <c r="Q58" s="20">
        <v>12652</v>
      </c>
      <c r="R58" s="20">
        <v>11438</v>
      </c>
      <c r="S58" s="20">
        <v>1356</v>
      </c>
      <c r="T58" s="20">
        <v>17543</v>
      </c>
      <c r="U58" s="20">
        <v>1881</v>
      </c>
      <c r="V58" s="20">
        <v>4</v>
      </c>
      <c r="W58" s="20">
        <f t="shared" si="0"/>
        <v>44874</v>
      </c>
      <c r="X58" s="36">
        <v>-24087</v>
      </c>
      <c r="Y58" s="36"/>
      <c r="Z58" s="36"/>
      <c r="AA58" s="36"/>
      <c r="AB58" s="36"/>
      <c r="AC58" s="36"/>
      <c r="AD58" s="36"/>
      <c r="AE58" s="36">
        <v>-3</v>
      </c>
      <c r="AF58" s="36">
        <v>-225</v>
      </c>
      <c r="AG58" s="36">
        <v>-3460</v>
      </c>
      <c r="AH58" s="36">
        <v>-17084</v>
      </c>
      <c r="AI58" s="20">
        <f t="shared" si="1"/>
        <v>-44859</v>
      </c>
      <c r="AJ58" s="20">
        <f t="shared" si="2"/>
        <v>15</v>
      </c>
    </row>
    <row r="59" spans="1:36" x14ac:dyDescent="0.2">
      <c r="A59" s="17" t="s">
        <v>4659</v>
      </c>
      <c r="B59" s="17">
        <v>36173</v>
      </c>
      <c r="Q59" s="20">
        <v>13983</v>
      </c>
      <c r="R59" s="20">
        <v>9367</v>
      </c>
      <c r="S59" s="20">
        <v>1357</v>
      </c>
      <c r="T59" s="20">
        <v>29789</v>
      </c>
      <c r="U59" s="20">
        <v>2147</v>
      </c>
      <c r="V59" s="20">
        <v>6</v>
      </c>
      <c r="W59" s="20">
        <f t="shared" si="0"/>
        <v>56649</v>
      </c>
      <c r="X59" s="36">
        <v>-23344</v>
      </c>
      <c r="Y59" s="36"/>
      <c r="Z59" s="36"/>
      <c r="AA59" s="36"/>
      <c r="AB59" s="36"/>
      <c r="AC59" s="36"/>
      <c r="AD59" s="36"/>
      <c r="AE59" s="36">
        <v>-6</v>
      </c>
      <c r="AF59" s="36">
        <v>-217</v>
      </c>
      <c r="AG59" s="36">
        <v>-1827</v>
      </c>
      <c r="AH59" s="36">
        <v>-31240</v>
      </c>
      <c r="AI59" s="20">
        <f t="shared" si="1"/>
        <v>-56634</v>
      </c>
      <c r="AJ59" s="20">
        <f t="shared" si="2"/>
        <v>15</v>
      </c>
    </row>
    <row r="60" spans="1:36" x14ac:dyDescent="0.2">
      <c r="A60" s="17" t="s">
        <v>4660</v>
      </c>
      <c r="B60" s="17">
        <v>36180</v>
      </c>
      <c r="Q60" s="20">
        <v>13648</v>
      </c>
      <c r="R60" s="20">
        <v>9362</v>
      </c>
      <c r="S60" s="20">
        <v>1357</v>
      </c>
      <c r="T60" s="20">
        <v>41412</v>
      </c>
      <c r="U60" s="20">
        <v>2570</v>
      </c>
      <c r="V60" s="20">
        <v>12</v>
      </c>
      <c r="W60" s="20">
        <f t="shared" si="0"/>
        <v>68361</v>
      </c>
      <c r="X60" s="36">
        <v>-22999</v>
      </c>
      <c r="Y60" s="36"/>
      <c r="Z60" s="36"/>
      <c r="AA60" s="36"/>
      <c r="AB60" s="36"/>
      <c r="AC60" s="36"/>
      <c r="AD60" s="36"/>
      <c r="AE60" s="36">
        <v>-11</v>
      </c>
      <c r="AF60" s="36">
        <v>-213</v>
      </c>
      <c r="AG60" s="36">
        <v>-1618</v>
      </c>
      <c r="AH60" s="36">
        <v>-43504</v>
      </c>
      <c r="AI60" s="20">
        <f t="shared" si="1"/>
        <v>-68345</v>
      </c>
      <c r="AJ60" s="20">
        <f t="shared" si="2"/>
        <v>16</v>
      </c>
    </row>
    <row r="61" spans="1:36" x14ac:dyDescent="0.2">
      <c r="A61" s="17" t="s">
        <v>4661</v>
      </c>
      <c r="B61" s="17">
        <v>36187</v>
      </c>
      <c r="Q61" s="20">
        <v>11938</v>
      </c>
      <c r="R61" s="20">
        <v>11042</v>
      </c>
      <c r="S61" s="20">
        <v>1357</v>
      </c>
      <c r="T61" s="20">
        <v>46941</v>
      </c>
      <c r="U61" s="20">
        <v>2877</v>
      </c>
      <c r="V61" s="20">
        <v>12</v>
      </c>
      <c r="W61" s="20">
        <f t="shared" si="0"/>
        <v>74167</v>
      </c>
      <c r="X61" s="36">
        <v>-22969</v>
      </c>
      <c r="Y61" s="36"/>
      <c r="Z61" s="36"/>
      <c r="AA61" s="36"/>
      <c r="AB61" s="36"/>
      <c r="AC61" s="36"/>
      <c r="AD61" s="36"/>
      <c r="AE61" s="36">
        <v>-11</v>
      </c>
      <c r="AF61" s="36">
        <v>-160</v>
      </c>
      <c r="AG61" s="36">
        <v>-1300</v>
      </c>
      <c r="AH61" s="36">
        <v>-49712</v>
      </c>
      <c r="AI61" s="20">
        <f t="shared" si="1"/>
        <v>-74152</v>
      </c>
      <c r="AJ61" s="20">
        <f t="shared" si="2"/>
        <v>15</v>
      </c>
    </row>
    <row r="62" spans="1:36" x14ac:dyDescent="0.2">
      <c r="A62" s="17" t="s">
        <v>4662</v>
      </c>
      <c r="B62" s="17">
        <v>36194</v>
      </c>
      <c r="Q62" s="20">
        <v>1099</v>
      </c>
      <c r="R62" s="20">
        <v>21951</v>
      </c>
      <c r="S62" s="20">
        <v>1353</v>
      </c>
      <c r="T62" s="20">
        <v>61456</v>
      </c>
      <c r="U62" s="20">
        <v>2857</v>
      </c>
      <c r="V62" s="20">
        <v>3</v>
      </c>
      <c r="W62" s="20">
        <f t="shared" si="0"/>
        <v>88719</v>
      </c>
      <c r="X62" s="36">
        <v>-23047</v>
      </c>
      <c r="Y62" s="36"/>
      <c r="Z62" s="36"/>
      <c r="AA62" s="36"/>
      <c r="AB62" s="36"/>
      <c r="AC62" s="36"/>
      <c r="AD62" s="36"/>
      <c r="AE62" s="36">
        <v>-3</v>
      </c>
      <c r="AF62" s="36">
        <v>-165</v>
      </c>
      <c r="AG62" s="36">
        <v>-1529</v>
      </c>
      <c r="AH62" s="36">
        <v>-63961</v>
      </c>
      <c r="AI62" s="20">
        <f t="shared" si="1"/>
        <v>-88705</v>
      </c>
      <c r="AJ62" s="20">
        <f t="shared" si="2"/>
        <v>14</v>
      </c>
    </row>
    <row r="63" spans="1:36" x14ac:dyDescent="0.2">
      <c r="A63" s="17" t="s">
        <v>4663</v>
      </c>
      <c r="B63" s="17">
        <v>36201</v>
      </c>
      <c r="Q63" s="20">
        <v>2405</v>
      </c>
      <c r="R63" s="20">
        <v>20625</v>
      </c>
      <c r="S63" s="20">
        <v>1366</v>
      </c>
      <c r="T63" s="20">
        <v>70184</v>
      </c>
      <c r="U63" s="20">
        <v>2866</v>
      </c>
      <c r="V63" s="20">
        <v>7</v>
      </c>
      <c r="W63" s="20">
        <f t="shared" si="0"/>
        <v>97453</v>
      </c>
      <c r="X63" s="36">
        <v>-23023</v>
      </c>
      <c r="Y63" s="36"/>
      <c r="Z63" s="36"/>
      <c r="AA63" s="36"/>
      <c r="AB63" s="36"/>
      <c r="AC63" s="36"/>
      <c r="AD63" s="36"/>
      <c r="AE63" s="36">
        <v>-7</v>
      </c>
      <c r="AF63" s="36">
        <v>-153</v>
      </c>
      <c r="AG63" s="36">
        <v>-1298</v>
      </c>
      <c r="AH63" s="36">
        <v>-72958</v>
      </c>
      <c r="AI63" s="20">
        <f t="shared" si="1"/>
        <v>-97439</v>
      </c>
      <c r="AJ63" s="20">
        <f t="shared" si="2"/>
        <v>14</v>
      </c>
    </row>
    <row r="64" spans="1:36" x14ac:dyDescent="0.2">
      <c r="A64" s="17" t="s">
        <v>4664</v>
      </c>
      <c r="B64" s="17">
        <v>36208</v>
      </c>
      <c r="Q64" s="20">
        <v>5570</v>
      </c>
      <c r="R64" s="20">
        <v>17540</v>
      </c>
      <c r="S64" s="20">
        <v>1366</v>
      </c>
      <c r="T64" s="20">
        <v>74648</v>
      </c>
      <c r="U64" s="20">
        <v>2820</v>
      </c>
      <c r="V64" s="20">
        <v>12</v>
      </c>
      <c r="W64" s="20">
        <f t="shared" si="0"/>
        <v>101956</v>
      </c>
      <c r="X64" s="36">
        <v>-23098</v>
      </c>
      <c r="Y64" s="36"/>
      <c r="Z64" s="36"/>
      <c r="AA64" s="36"/>
      <c r="AB64" s="36"/>
      <c r="AC64" s="36"/>
      <c r="AD64" s="36"/>
      <c r="AE64" s="36">
        <v>-12</v>
      </c>
      <c r="AF64" s="36">
        <v>-153</v>
      </c>
      <c r="AG64" s="36">
        <v>-1339</v>
      </c>
      <c r="AH64" s="36">
        <v>-77339</v>
      </c>
      <c r="AI64" s="20">
        <f t="shared" si="1"/>
        <v>-101941</v>
      </c>
      <c r="AJ64" s="20">
        <f t="shared" si="2"/>
        <v>15</v>
      </c>
    </row>
    <row r="65" spans="1:36" x14ac:dyDescent="0.2">
      <c r="A65" s="17" t="s">
        <v>4665</v>
      </c>
      <c r="B65" s="17">
        <v>36215</v>
      </c>
      <c r="Q65" s="20">
        <v>4686</v>
      </c>
      <c r="R65" s="20">
        <v>18444</v>
      </c>
      <c r="S65" s="20">
        <v>1368</v>
      </c>
      <c r="T65" s="20">
        <v>33163</v>
      </c>
      <c r="U65" s="20">
        <v>2816</v>
      </c>
      <c r="V65" s="20">
        <v>10</v>
      </c>
      <c r="W65" s="20">
        <f t="shared" si="0"/>
        <v>60487</v>
      </c>
      <c r="X65" s="36">
        <v>-23120</v>
      </c>
      <c r="Y65" s="36"/>
      <c r="Z65" s="36"/>
      <c r="AA65" s="36"/>
      <c r="AB65" s="36"/>
      <c r="AC65" s="36"/>
      <c r="AD65" s="36"/>
      <c r="AE65" s="36">
        <v>-10</v>
      </c>
      <c r="AF65" s="36">
        <v>-161</v>
      </c>
      <c r="AG65" s="36">
        <v>-1296</v>
      </c>
      <c r="AH65" s="36">
        <v>-35886</v>
      </c>
      <c r="AI65" s="20">
        <f t="shared" si="1"/>
        <v>-60473</v>
      </c>
      <c r="AJ65" s="20">
        <f t="shared" si="2"/>
        <v>14</v>
      </c>
    </row>
    <row r="66" spans="1:36" x14ac:dyDescent="0.2">
      <c r="A66" s="17" t="s">
        <v>4666</v>
      </c>
      <c r="B66" s="17">
        <v>36222</v>
      </c>
      <c r="Q66" s="20">
        <v>4768</v>
      </c>
      <c r="R66" s="20">
        <v>18402</v>
      </c>
      <c r="S66" s="20">
        <v>1358</v>
      </c>
      <c r="T66" s="20">
        <v>18024</v>
      </c>
      <c r="U66" s="20">
        <v>2770</v>
      </c>
      <c r="V66" s="20">
        <v>4</v>
      </c>
      <c r="W66" s="20">
        <f t="shared" si="0"/>
        <v>45326</v>
      </c>
      <c r="X66" s="36">
        <v>-23166</v>
      </c>
      <c r="Y66" s="36"/>
      <c r="Z66" s="36"/>
      <c r="AA66" s="36"/>
      <c r="AB66" s="36"/>
      <c r="AC66" s="36"/>
      <c r="AD66" s="36"/>
      <c r="AE66" s="36">
        <v>-4</v>
      </c>
      <c r="AF66" s="36">
        <v>-153</v>
      </c>
      <c r="AG66" s="36">
        <v>-1479</v>
      </c>
      <c r="AH66" s="36">
        <v>-20509</v>
      </c>
      <c r="AI66" s="20">
        <f t="shared" si="1"/>
        <v>-45311</v>
      </c>
      <c r="AJ66" s="20">
        <f t="shared" si="2"/>
        <v>15</v>
      </c>
    </row>
    <row r="67" spans="1:36" x14ac:dyDescent="0.2">
      <c r="A67" s="17" t="s">
        <v>4667</v>
      </c>
      <c r="B67" s="17">
        <v>36229</v>
      </c>
      <c r="Q67" s="20">
        <v>7860</v>
      </c>
      <c r="R67" s="20">
        <v>15290</v>
      </c>
      <c r="S67" s="20">
        <v>1361</v>
      </c>
      <c r="T67" s="20">
        <v>27521</v>
      </c>
      <c r="U67" s="20">
        <v>2765</v>
      </c>
      <c r="V67" s="20">
        <v>13</v>
      </c>
      <c r="W67" s="20">
        <f t="shared" si="0"/>
        <v>54810</v>
      </c>
      <c r="X67" s="36">
        <v>-23137</v>
      </c>
      <c r="Y67" s="36"/>
      <c r="Z67" s="36"/>
      <c r="AA67" s="36"/>
      <c r="AB67" s="36"/>
      <c r="AC67" s="36"/>
      <c r="AD67" s="36"/>
      <c r="AE67" s="36">
        <v>-13</v>
      </c>
      <c r="AF67" s="36">
        <v>-169</v>
      </c>
      <c r="AG67" s="36">
        <v>-1261</v>
      </c>
      <c r="AH67" s="36">
        <v>-30216</v>
      </c>
      <c r="AI67" s="20">
        <f t="shared" si="1"/>
        <v>-54796</v>
      </c>
      <c r="AJ67" s="20">
        <f t="shared" si="2"/>
        <v>14</v>
      </c>
    </row>
    <row r="68" spans="1:36" x14ac:dyDescent="0.2">
      <c r="A68" s="17" t="s">
        <v>4668</v>
      </c>
      <c r="B68" s="17">
        <v>36236</v>
      </c>
      <c r="Q68" s="20">
        <v>14782</v>
      </c>
      <c r="R68" s="20">
        <v>8428</v>
      </c>
      <c r="S68" s="20">
        <v>1362</v>
      </c>
      <c r="T68" s="20">
        <v>27806</v>
      </c>
      <c r="U68" s="20">
        <v>2764</v>
      </c>
      <c r="V68" s="20">
        <v>11</v>
      </c>
      <c r="W68" s="20">
        <f t="shared" si="0"/>
        <v>55153</v>
      </c>
      <c r="X68" s="36">
        <v>-23199</v>
      </c>
      <c r="Y68" s="36"/>
      <c r="Z68" s="36"/>
      <c r="AA68" s="36"/>
      <c r="AB68" s="36"/>
      <c r="AC68" s="36"/>
      <c r="AD68" s="36"/>
      <c r="AE68" s="36">
        <v>-11</v>
      </c>
      <c r="AF68" s="36">
        <v>-151</v>
      </c>
      <c r="AG68" s="36">
        <v>-1551</v>
      </c>
      <c r="AH68" s="36">
        <v>-30226</v>
      </c>
      <c r="AI68" s="20">
        <f t="shared" si="1"/>
        <v>-55138</v>
      </c>
      <c r="AJ68" s="20">
        <f t="shared" si="2"/>
        <v>15</v>
      </c>
    </row>
    <row r="69" spans="1:36" x14ac:dyDescent="0.2">
      <c r="A69" s="17" t="s">
        <v>4669</v>
      </c>
      <c r="B69" s="17">
        <v>36243</v>
      </c>
      <c r="Q69" s="20">
        <v>12711</v>
      </c>
      <c r="R69" s="20">
        <v>10629</v>
      </c>
      <c r="S69" s="20">
        <v>1370</v>
      </c>
      <c r="T69" s="20">
        <v>31215</v>
      </c>
      <c r="U69" s="20">
        <v>2734</v>
      </c>
      <c r="V69" s="20">
        <v>4</v>
      </c>
      <c r="W69" s="20">
        <f t="shared" si="0"/>
        <v>58663</v>
      </c>
      <c r="X69" s="36">
        <v>-23337</v>
      </c>
      <c r="Y69" s="36"/>
      <c r="Z69" s="36"/>
      <c r="AA69" s="36"/>
      <c r="AB69" s="36"/>
      <c r="AC69" s="36"/>
      <c r="AD69" s="36"/>
      <c r="AE69" s="36">
        <v>-3</v>
      </c>
      <c r="AF69" s="36">
        <v>-151</v>
      </c>
      <c r="AG69" s="36">
        <v>-1302</v>
      </c>
      <c r="AH69" s="36">
        <v>-33854</v>
      </c>
      <c r="AI69" s="20">
        <f t="shared" si="1"/>
        <v>-58647</v>
      </c>
      <c r="AJ69" s="20">
        <f t="shared" si="2"/>
        <v>16</v>
      </c>
    </row>
    <row r="70" spans="1:36" x14ac:dyDescent="0.2">
      <c r="A70" s="17" t="s">
        <v>4670</v>
      </c>
      <c r="B70" s="17">
        <v>36250</v>
      </c>
      <c r="Q70" s="20">
        <v>15526</v>
      </c>
      <c r="R70" s="20">
        <v>8694</v>
      </c>
      <c r="S70" s="20">
        <v>1255</v>
      </c>
      <c r="T70" s="20">
        <v>44042</v>
      </c>
      <c r="U70" s="20">
        <v>2726</v>
      </c>
      <c r="V70" s="20">
        <v>12</v>
      </c>
      <c r="W70" s="20">
        <f t="shared" si="0"/>
        <v>72255</v>
      </c>
      <c r="X70" s="36">
        <v>-24208</v>
      </c>
      <c r="Y70" s="36"/>
      <c r="Z70" s="36"/>
      <c r="AA70" s="36"/>
      <c r="AB70" s="36"/>
      <c r="AC70" s="36"/>
      <c r="AD70" s="36"/>
      <c r="AE70" s="36">
        <v>-12</v>
      </c>
      <c r="AF70" s="36">
        <v>-202</v>
      </c>
      <c r="AG70" s="36">
        <v>-1351</v>
      </c>
      <c r="AH70" s="36">
        <v>-46467</v>
      </c>
      <c r="AI70" s="20">
        <f t="shared" si="1"/>
        <v>-72240</v>
      </c>
      <c r="AJ70" s="20">
        <f t="shared" si="2"/>
        <v>15</v>
      </c>
    </row>
    <row r="71" spans="1:36" x14ac:dyDescent="0.2">
      <c r="A71" s="17" t="s">
        <v>4671</v>
      </c>
      <c r="B71" s="17">
        <v>36257</v>
      </c>
      <c r="Q71" s="20">
        <v>18341</v>
      </c>
      <c r="R71" s="20">
        <v>5919</v>
      </c>
      <c r="S71" s="20">
        <v>1250</v>
      </c>
      <c r="T71" s="20">
        <v>51380</v>
      </c>
      <c r="U71" s="20">
        <v>2759</v>
      </c>
      <c r="V71" s="20">
        <v>8</v>
      </c>
      <c r="W71" s="20">
        <f t="shared" ref="W71:W134" si="3">SUM(Q71:V71)</f>
        <v>79657</v>
      </c>
      <c r="X71" s="36">
        <v>-24252</v>
      </c>
      <c r="Y71" s="36"/>
      <c r="Z71" s="36"/>
      <c r="AA71" s="36"/>
      <c r="AB71" s="36"/>
      <c r="AC71" s="36"/>
      <c r="AD71" s="36"/>
      <c r="AE71" s="36">
        <v>-8</v>
      </c>
      <c r="AF71" s="36">
        <v>-221</v>
      </c>
      <c r="AG71" s="36">
        <v>-1275</v>
      </c>
      <c r="AH71" s="36">
        <v>-53887</v>
      </c>
      <c r="AI71" s="20">
        <f t="shared" ref="AI71:AI134" si="4">SUM(X71,AE71:AH71)</f>
        <v>-79643</v>
      </c>
      <c r="AJ71" s="20">
        <f t="shared" ref="AJ71:AJ134" si="5">W71+AI71</f>
        <v>14</v>
      </c>
    </row>
    <row r="72" spans="1:36" x14ac:dyDescent="0.2">
      <c r="A72" s="17" t="s">
        <v>4672</v>
      </c>
      <c r="B72" s="17">
        <v>36264</v>
      </c>
      <c r="Q72" s="20">
        <v>18857</v>
      </c>
      <c r="R72" s="20">
        <v>4653</v>
      </c>
      <c r="S72" s="20">
        <v>1250</v>
      </c>
      <c r="T72" s="20">
        <v>61191</v>
      </c>
      <c r="U72" s="20">
        <v>2725</v>
      </c>
      <c r="V72" s="20">
        <v>5</v>
      </c>
      <c r="W72" s="20">
        <f t="shared" si="3"/>
        <v>88681</v>
      </c>
      <c r="X72" s="36">
        <v>-23505</v>
      </c>
      <c r="Y72" s="36"/>
      <c r="Z72" s="36"/>
      <c r="AA72" s="36"/>
      <c r="AB72" s="36"/>
      <c r="AC72" s="36"/>
      <c r="AD72" s="36"/>
      <c r="AE72" s="36">
        <v>-5</v>
      </c>
      <c r="AF72" s="36">
        <v>-201</v>
      </c>
      <c r="AG72" s="36">
        <v>-1319</v>
      </c>
      <c r="AH72" s="36">
        <v>-63637</v>
      </c>
      <c r="AI72" s="20">
        <f t="shared" si="4"/>
        <v>-88667</v>
      </c>
      <c r="AJ72" s="20">
        <f t="shared" si="5"/>
        <v>14</v>
      </c>
    </row>
    <row r="73" spans="1:36" x14ac:dyDescent="0.2">
      <c r="A73" s="17" t="s">
        <v>4673</v>
      </c>
      <c r="B73" s="17">
        <v>36271</v>
      </c>
      <c r="Q73" s="20">
        <v>14425</v>
      </c>
      <c r="R73" s="20">
        <v>9025</v>
      </c>
      <c r="S73" s="20">
        <v>1251</v>
      </c>
      <c r="T73" s="20">
        <v>44575</v>
      </c>
      <c r="U73" s="20">
        <v>2708</v>
      </c>
      <c r="V73" s="20">
        <v>13</v>
      </c>
      <c r="W73" s="20">
        <f t="shared" si="3"/>
        <v>71997</v>
      </c>
      <c r="X73" s="36">
        <v>-23437</v>
      </c>
      <c r="Y73" s="36"/>
      <c r="Z73" s="36"/>
      <c r="AA73" s="36"/>
      <c r="AB73" s="36"/>
      <c r="AC73" s="36"/>
      <c r="AD73" s="36"/>
      <c r="AE73" s="36">
        <v>-13</v>
      </c>
      <c r="AF73" s="36">
        <v>-212</v>
      </c>
      <c r="AG73" s="36">
        <v>-1304</v>
      </c>
      <c r="AH73" s="36">
        <v>-47016</v>
      </c>
      <c r="AI73" s="20">
        <f t="shared" si="4"/>
        <v>-71982</v>
      </c>
      <c r="AJ73" s="20">
        <f t="shared" si="5"/>
        <v>15</v>
      </c>
    </row>
    <row r="74" spans="1:36" x14ac:dyDescent="0.2">
      <c r="A74" s="17" t="s">
        <v>4674</v>
      </c>
      <c r="B74" s="17">
        <v>36278</v>
      </c>
      <c r="Q74" s="20">
        <v>16182</v>
      </c>
      <c r="R74" s="20">
        <v>7568</v>
      </c>
      <c r="S74" s="20">
        <v>1251</v>
      </c>
      <c r="T74" s="20">
        <v>42777</v>
      </c>
      <c r="U74" s="20">
        <v>2688</v>
      </c>
      <c r="V74" s="20">
        <v>4</v>
      </c>
      <c r="W74" s="20">
        <f t="shared" si="3"/>
        <v>70470</v>
      </c>
      <c r="X74" s="36">
        <v>-23746</v>
      </c>
      <c r="Y74" s="36"/>
      <c r="Z74" s="36"/>
      <c r="AA74" s="36"/>
      <c r="AB74" s="36"/>
      <c r="AC74" s="36"/>
      <c r="AD74" s="36"/>
      <c r="AE74" s="36">
        <v>-4</v>
      </c>
      <c r="AF74" s="36">
        <v>-192</v>
      </c>
      <c r="AG74" s="36">
        <v>-1286</v>
      </c>
      <c r="AH74" s="36">
        <v>-45227</v>
      </c>
      <c r="AI74" s="20">
        <f t="shared" si="4"/>
        <v>-70455</v>
      </c>
      <c r="AJ74" s="20">
        <f t="shared" si="5"/>
        <v>15</v>
      </c>
    </row>
    <row r="75" spans="1:36" x14ac:dyDescent="0.2">
      <c r="A75" s="17" t="s">
        <v>4675</v>
      </c>
      <c r="B75" s="17">
        <v>36285</v>
      </c>
      <c r="Q75" s="20">
        <v>13388</v>
      </c>
      <c r="R75" s="20">
        <v>10792</v>
      </c>
      <c r="S75" s="20">
        <v>1251</v>
      </c>
      <c r="T75" s="20">
        <v>50976</v>
      </c>
      <c r="U75" s="20">
        <v>2670</v>
      </c>
      <c r="V75" s="20">
        <v>5</v>
      </c>
      <c r="W75" s="20">
        <f t="shared" si="3"/>
        <v>79082</v>
      </c>
      <c r="X75" s="36">
        <v>-24175</v>
      </c>
      <c r="Y75" s="36"/>
      <c r="Z75" s="36"/>
      <c r="AA75" s="36"/>
      <c r="AB75" s="36"/>
      <c r="AC75" s="36"/>
      <c r="AD75" s="36"/>
      <c r="AE75" s="36">
        <v>-5</v>
      </c>
      <c r="AF75" s="36">
        <v>-197</v>
      </c>
      <c r="AG75" s="36">
        <v>-1281</v>
      </c>
      <c r="AH75" s="36">
        <v>-53410</v>
      </c>
      <c r="AI75" s="20">
        <f t="shared" si="4"/>
        <v>-79068</v>
      </c>
      <c r="AJ75" s="20">
        <f t="shared" si="5"/>
        <v>14</v>
      </c>
    </row>
    <row r="76" spans="1:36" x14ac:dyDescent="0.2">
      <c r="A76" s="17" t="s">
        <v>4676</v>
      </c>
      <c r="B76" s="17">
        <v>36292</v>
      </c>
      <c r="Q76" s="20">
        <v>14339</v>
      </c>
      <c r="R76" s="20">
        <v>9331</v>
      </c>
      <c r="S76" s="20">
        <v>1260</v>
      </c>
      <c r="T76" s="20">
        <v>63229</v>
      </c>
      <c r="U76" s="20">
        <v>2681</v>
      </c>
      <c r="V76" s="20">
        <v>12</v>
      </c>
      <c r="W76" s="20">
        <f t="shared" si="3"/>
        <v>90852</v>
      </c>
      <c r="X76" s="36">
        <v>-23658</v>
      </c>
      <c r="Y76" s="36"/>
      <c r="Z76" s="36"/>
      <c r="AA76" s="36"/>
      <c r="AB76" s="36"/>
      <c r="AC76" s="36"/>
      <c r="AD76" s="36"/>
      <c r="AE76" s="36">
        <v>-12</v>
      </c>
      <c r="AF76" s="36">
        <v>-182</v>
      </c>
      <c r="AG76" s="36">
        <v>-1289</v>
      </c>
      <c r="AH76" s="36">
        <v>-65697</v>
      </c>
      <c r="AI76" s="20">
        <f t="shared" si="4"/>
        <v>-90838</v>
      </c>
      <c r="AJ76" s="20">
        <f t="shared" si="5"/>
        <v>14</v>
      </c>
    </row>
    <row r="77" spans="1:36" x14ac:dyDescent="0.2">
      <c r="A77" s="17" t="s">
        <v>4677</v>
      </c>
      <c r="B77" s="17">
        <v>36299</v>
      </c>
      <c r="Q77" s="20">
        <v>16153</v>
      </c>
      <c r="R77" s="20">
        <v>7517</v>
      </c>
      <c r="S77" s="20">
        <v>1221</v>
      </c>
      <c r="T77" s="20">
        <v>75266</v>
      </c>
      <c r="U77" s="20">
        <v>2678</v>
      </c>
      <c r="V77" s="20">
        <v>3</v>
      </c>
      <c r="W77" s="20">
        <f t="shared" si="3"/>
        <v>102838</v>
      </c>
      <c r="X77" s="36">
        <v>-23667</v>
      </c>
      <c r="Y77" s="36"/>
      <c r="Z77" s="36"/>
      <c r="AA77" s="36"/>
      <c r="AB77" s="36"/>
      <c r="AC77" s="36"/>
      <c r="AD77" s="36"/>
      <c r="AE77" s="36">
        <v>-3</v>
      </c>
      <c r="AF77" s="36">
        <v>-180</v>
      </c>
      <c r="AG77" s="36">
        <v>-1414</v>
      </c>
      <c r="AH77" s="36">
        <v>-77560</v>
      </c>
      <c r="AI77" s="20">
        <f t="shared" si="4"/>
        <v>-102824</v>
      </c>
      <c r="AJ77" s="20">
        <f t="shared" si="5"/>
        <v>14</v>
      </c>
    </row>
    <row r="78" spans="1:36" x14ac:dyDescent="0.2">
      <c r="A78" s="17" t="s">
        <v>4678</v>
      </c>
      <c r="B78" s="17">
        <v>36306</v>
      </c>
      <c r="Q78" s="20">
        <v>16172</v>
      </c>
      <c r="R78" s="20">
        <v>7888</v>
      </c>
      <c r="S78" s="20">
        <v>1223</v>
      </c>
      <c r="T78" s="20">
        <v>83940</v>
      </c>
      <c r="U78" s="20">
        <v>2983</v>
      </c>
      <c r="V78" s="20">
        <v>6</v>
      </c>
      <c r="W78" s="20">
        <f t="shared" si="3"/>
        <v>112212</v>
      </c>
      <c r="X78" s="36">
        <v>-24054</v>
      </c>
      <c r="Y78" s="36"/>
      <c r="Z78" s="36"/>
      <c r="AA78" s="36"/>
      <c r="AB78" s="36"/>
      <c r="AC78" s="36"/>
      <c r="AD78" s="36"/>
      <c r="AE78" s="36">
        <v>-6</v>
      </c>
      <c r="AF78" s="36">
        <v>-182</v>
      </c>
      <c r="AG78" s="36">
        <v>-1646</v>
      </c>
      <c r="AH78" s="36">
        <v>-86309</v>
      </c>
      <c r="AI78" s="20">
        <f t="shared" si="4"/>
        <v>-112197</v>
      </c>
      <c r="AJ78" s="20">
        <f t="shared" si="5"/>
        <v>15</v>
      </c>
    </row>
    <row r="79" spans="1:36" x14ac:dyDescent="0.2">
      <c r="A79" s="17" t="s">
        <v>4679</v>
      </c>
      <c r="B79" s="17">
        <v>36313</v>
      </c>
      <c r="Q79" s="20">
        <v>12583</v>
      </c>
      <c r="R79" s="20">
        <v>12077</v>
      </c>
      <c r="S79" s="20">
        <v>1227</v>
      </c>
      <c r="T79" s="20">
        <v>20572</v>
      </c>
      <c r="U79" s="20">
        <v>2676</v>
      </c>
      <c r="V79" s="20">
        <v>4</v>
      </c>
      <c r="W79" s="20">
        <f t="shared" si="3"/>
        <v>49139</v>
      </c>
      <c r="X79" s="36">
        <v>-24656</v>
      </c>
      <c r="Y79" s="36"/>
      <c r="Z79" s="36"/>
      <c r="AA79" s="36"/>
      <c r="AB79" s="36"/>
      <c r="AC79" s="36"/>
      <c r="AD79" s="36"/>
      <c r="AE79" s="36">
        <v>-4</v>
      </c>
      <c r="AF79" s="36">
        <v>-158</v>
      </c>
      <c r="AG79" s="36">
        <v>-1923</v>
      </c>
      <c r="AH79" s="36">
        <v>-22385</v>
      </c>
      <c r="AI79" s="20">
        <f t="shared" si="4"/>
        <v>-49126</v>
      </c>
      <c r="AJ79" s="20">
        <f t="shared" si="5"/>
        <v>13</v>
      </c>
    </row>
    <row r="80" spans="1:36" x14ac:dyDescent="0.2">
      <c r="A80" s="17" t="s">
        <v>4680</v>
      </c>
      <c r="B80" s="17">
        <v>36320</v>
      </c>
      <c r="Q80" s="20">
        <v>17758</v>
      </c>
      <c r="R80" s="20">
        <v>6352</v>
      </c>
      <c r="S80" s="20">
        <v>1214</v>
      </c>
      <c r="T80" s="20">
        <v>32864</v>
      </c>
      <c r="U80" s="20">
        <v>2663</v>
      </c>
      <c r="V80" s="20">
        <v>3</v>
      </c>
      <c r="W80" s="20">
        <f t="shared" si="3"/>
        <v>60854</v>
      </c>
      <c r="X80" s="36">
        <v>-24107</v>
      </c>
      <c r="Y80" s="36"/>
      <c r="Z80" s="36"/>
      <c r="AA80" s="36"/>
      <c r="AB80" s="36"/>
      <c r="AC80" s="36"/>
      <c r="AD80" s="36"/>
      <c r="AE80" s="36">
        <v>-3</v>
      </c>
      <c r="AF80" s="36">
        <v>-160</v>
      </c>
      <c r="AG80" s="36">
        <v>-1585</v>
      </c>
      <c r="AH80" s="36">
        <v>-34984</v>
      </c>
      <c r="AI80" s="20">
        <f t="shared" si="4"/>
        <v>-60839</v>
      </c>
      <c r="AJ80" s="20">
        <f t="shared" si="5"/>
        <v>15</v>
      </c>
    </row>
    <row r="81" spans="1:36" x14ac:dyDescent="0.2">
      <c r="A81" s="17" t="s">
        <v>4681</v>
      </c>
      <c r="B81" s="17">
        <v>36327</v>
      </c>
      <c r="Q81" s="20">
        <v>19465</v>
      </c>
      <c r="R81" s="20">
        <v>4505</v>
      </c>
      <c r="S81" s="20">
        <v>1214</v>
      </c>
      <c r="T81" s="20">
        <v>46182</v>
      </c>
      <c r="U81" s="20">
        <v>2647</v>
      </c>
      <c r="V81" s="20">
        <v>11</v>
      </c>
      <c r="W81" s="20">
        <f t="shared" si="3"/>
        <v>74024</v>
      </c>
      <c r="X81" s="36">
        <v>-23959</v>
      </c>
      <c r="Y81" s="36"/>
      <c r="Z81" s="36"/>
      <c r="AA81" s="36"/>
      <c r="AB81" s="36"/>
      <c r="AC81" s="36"/>
      <c r="AD81" s="36"/>
      <c r="AE81" s="36">
        <v>-11</v>
      </c>
      <c r="AF81" s="36">
        <v>-155</v>
      </c>
      <c r="AG81" s="36">
        <v>-1711</v>
      </c>
      <c r="AH81" s="36">
        <v>-48172</v>
      </c>
      <c r="AI81" s="20">
        <f t="shared" si="4"/>
        <v>-74008</v>
      </c>
      <c r="AJ81" s="20">
        <f t="shared" si="5"/>
        <v>16</v>
      </c>
    </row>
    <row r="82" spans="1:36" x14ac:dyDescent="0.2">
      <c r="A82" s="17" t="s">
        <v>4682</v>
      </c>
      <c r="B82" s="17">
        <v>36334</v>
      </c>
      <c r="Q82" s="20">
        <v>15570</v>
      </c>
      <c r="R82" s="20">
        <v>8550</v>
      </c>
      <c r="S82" s="20">
        <v>1214</v>
      </c>
      <c r="T82" s="20">
        <v>65654</v>
      </c>
      <c r="U82" s="20">
        <v>2810</v>
      </c>
      <c r="V82" s="20">
        <v>12</v>
      </c>
      <c r="W82" s="20">
        <f t="shared" si="3"/>
        <v>93810</v>
      </c>
      <c r="X82" s="36">
        <v>-24108</v>
      </c>
      <c r="Y82" s="36"/>
      <c r="Z82" s="36"/>
      <c r="AA82" s="36"/>
      <c r="AB82" s="36"/>
      <c r="AC82" s="36"/>
      <c r="AD82" s="36"/>
      <c r="AE82" s="36">
        <v>-12</v>
      </c>
      <c r="AF82" s="36">
        <v>-149</v>
      </c>
      <c r="AG82" s="36">
        <v>-1610</v>
      </c>
      <c r="AH82" s="36">
        <v>-67917</v>
      </c>
      <c r="AI82" s="20">
        <f t="shared" si="4"/>
        <v>-93796</v>
      </c>
      <c r="AJ82" s="20">
        <f t="shared" si="5"/>
        <v>14</v>
      </c>
    </row>
    <row r="83" spans="1:36" x14ac:dyDescent="0.2">
      <c r="A83" s="17" t="s">
        <v>4683</v>
      </c>
      <c r="B83" s="17">
        <v>36341</v>
      </c>
      <c r="Q83" s="20">
        <v>14923</v>
      </c>
      <c r="R83" s="20">
        <v>9337</v>
      </c>
      <c r="S83" s="20">
        <v>1231</v>
      </c>
      <c r="T83" s="20">
        <v>79634</v>
      </c>
      <c r="U83" s="20">
        <v>2652</v>
      </c>
      <c r="V83" s="20">
        <v>6</v>
      </c>
      <c r="W83" s="20">
        <f t="shared" si="3"/>
        <v>107783</v>
      </c>
      <c r="X83" s="36">
        <v>-24254</v>
      </c>
      <c r="Y83" s="36"/>
      <c r="Z83" s="36"/>
      <c r="AA83" s="36"/>
      <c r="AB83" s="36"/>
      <c r="AC83" s="36"/>
      <c r="AD83" s="36"/>
      <c r="AE83" s="36">
        <v>-6</v>
      </c>
      <c r="AF83" s="36">
        <v>-157</v>
      </c>
      <c r="AG83" s="36">
        <v>-1439</v>
      </c>
      <c r="AH83" s="36">
        <v>-81914</v>
      </c>
      <c r="AI83" s="20">
        <f t="shared" si="4"/>
        <v>-107770</v>
      </c>
      <c r="AJ83" s="20">
        <f t="shared" si="5"/>
        <v>13</v>
      </c>
    </row>
    <row r="84" spans="1:36" x14ac:dyDescent="0.2">
      <c r="A84" s="17" t="s">
        <v>4684</v>
      </c>
      <c r="B84" s="17">
        <v>36348</v>
      </c>
      <c r="Q84" s="20">
        <v>16715</v>
      </c>
      <c r="R84" s="20">
        <v>7605</v>
      </c>
      <c r="S84" s="20">
        <v>1213</v>
      </c>
      <c r="T84" s="20">
        <v>93972</v>
      </c>
      <c r="U84" s="20">
        <v>2792</v>
      </c>
      <c r="V84" s="20">
        <v>7</v>
      </c>
      <c r="W84" s="20">
        <f t="shared" si="3"/>
        <v>122304</v>
      </c>
      <c r="X84" s="36">
        <v>-24313</v>
      </c>
      <c r="Y84" s="36"/>
      <c r="Z84" s="36"/>
      <c r="AA84" s="36"/>
      <c r="AB84" s="36"/>
      <c r="AC84" s="36"/>
      <c r="AD84" s="36"/>
      <c r="AE84" s="36">
        <v>-7</v>
      </c>
      <c r="AF84" s="36">
        <v>-134</v>
      </c>
      <c r="AG84" s="36">
        <v>-1288</v>
      </c>
      <c r="AH84" s="36">
        <v>-96547</v>
      </c>
      <c r="AI84" s="20">
        <f t="shared" si="4"/>
        <v>-122289</v>
      </c>
      <c r="AJ84" s="20">
        <f t="shared" si="5"/>
        <v>15</v>
      </c>
    </row>
    <row r="85" spans="1:36" x14ac:dyDescent="0.2">
      <c r="A85" s="17" t="s">
        <v>4685</v>
      </c>
      <c r="B85" s="17">
        <v>36355</v>
      </c>
      <c r="Q85" s="20">
        <v>18106</v>
      </c>
      <c r="R85" s="20">
        <v>6264</v>
      </c>
      <c r="S85" s="20">
        <v>1213</v>
      </c>
      <c r="T85" s="20">
        <v>16382</v>
      </c>
      <c r="U85" s="20">
        <v>2898</v>
      </c>
      <c r="V85" s="20">
        <v>6</v>
      </c>
      <c r="W85" s="20">
        <f t="shared" si="3"/>
        <v>44869</v>
      </c>
      <c r="X85" s="36">
        <v>-24364</v>
      </c>
      <c r="Y85" s="36"/>
      <c r="Z85" s="36"/>
      <c r="AA85" s="36"/>
      <c r="AB85" s="36"/>
      <c r="AC85" s="36"/>
      <c r="AD85" s="36"/>
      <c r="AE85" s="36">
        <v>-6</v>
      </c>
      <c r="AF85" s="36">
        <v>-137</v>
      </c>
      <c r="AG85" s="36">
        <v>-1303</v>
      </c>
      <c r="AH85" s="36">
        <v>-19045</v>
      </c>
      <c r="AI85" s="20">
        <f t="shared" si="4"/>
        <v>-44855</v>
      </c>
      <c r="AJ85" s="20">
        <f t="shared" si="5"/>
        <v>14</v>
      </c>
    </row>
    <row r="86" spans="1:36" x14ac:dyDescent="0.2">
      <c r="A86" s="17" t="s">
        <v>4686</v>
      </c>
      <c r="B86" s="17">
        <v>36362</v>
      </c>
      <c r="Q86" s="20">
        <v>16046</v>
      </c>
      <c r="R86" s="20">
        <v>8384</v>
      </c>
      <c r="S86" s="20">
        <v>1514</v>
      </c>
      <c r="T86" s="20">
        <v>21110</v>
      </c>
      <c r="U86" s="20">
        <v>2686</v>
      </c>
      <c r="V86" s="20">
        <v>11</v>
      </c>
      <c r="W86" s="20">
        <f t="shared" si="3"/>
        <v>49751</v>
      </c>
      <c r="X86" s="36">
        <v>-24419</v>
      </c>
      <c r="Y86" s="36"/>
      <c r="Z86" s="36"/>
      <c r="AA86" s="36"/>
      <c r="AB86" s="36"/>
      <c r="AC86" s="36"/>
      <c r="AD86" s="36"/>
      <c r="AE86" s="36">
        <v>-11</v>
      </c>
      <c r="AF86" s="36">
        <v>-105</v>
      </c>
      <c r="AG86" s="36">
        <v>-1323</v>
      </c>
      <c r="AH86" s="36">
        <v>-23878</v>
      </c>
      <c r="AI86" s="20">
        <f t="shared" si="4"/>
        <v>-49736</v>
      </c>
      <c r="AJ86" s="20">
        <f t="shared" si="5"/>
        <v>15</v>
      </c>
    </row>
    <row r="87" spans="1:36" x14ac:dyDescent="0.2">
      <c r="A87" s="17" t="s">
        <v>4687</v>
      </c>
      <c r="B87" s="17">
        <v>36369</v>
      </c>
      <c r="Q87" s="20">
        <v>15493</v>
      </c>
      <c r="R87" s="20">
        <v>9187</v>
      </c>
      <c r="S87" s="20">
        <v>1749</v>
      </c>
      <c r="T87" s="20">
        <v>37230</v>
      </c>
      <c r="U87" s="20">
        <v>3168</v>
      </c>
      <c r="V87" s="20">
        <v>13</v>
      </c>
      <c r="W87" s="20">
        <f t="shared" si="3"/>
        <v>66840</v>
      </c>
      <c r="X87" s="36">
        <v>-24667</v>
      </c>
      <c r="Y87" s="36"/>
      <c r="Z87" s="36"/>
      <c r="AA87" s="36"/>
      <c r="AB87" s="36"/>
      <c r="AC87" s="36"/>
      <c r="AD87" s="36"/>
      <c r="AE87" s="36">
        <v>-13</v>
      </c>
      <c r="AF87" s="36">
        <v>-141</v>
      </c>
      <c r="AG87" s="36">
        <v>-1493</v>
      </c>
      <c r="AH87" s="36">
        <v>-40512</v>
      </c>
      <c r="AI87" s="20">
        <f t="shared" si="4"/>
        <v>-66826</v>
      </c>
      <c r="AJ87" s="20">
        <f t="shared" si="5"/>
        <v>14</v>
      </c>
    </row>
    <row r="88" spans="1:36" x14ac:dyDescent="0.2">
      <c r="A88" s="17" t="s">
        <v>4688</v>
      </c>
      <c r="B88" s="17">
        <v>36376</v>
      </c>
      <c r="Q88" s="20">
        <v>11478</v>
      </c>
      <c r="R88" s="20">
        <v>13312</v>
      </c>
      <c r="S88" s="20">
        <v>1525</v>
      </c>
      <c r="T88" s="20">
        <v>51807</v>
      </c>
      <c r="U88" s="20">
        <v>2721</v>
      </c>
      <c r="V88" s="20">
        <v>12</v>
      </c>
      <c r="W88" s="20">
        <f t="shared" si="3"/>
        <v>80855</v>
      </c>
      <c r="X88" s="36">
        <v>-24778</v>
      </c>
      <c r="Y88" s="36"/>
      <c r="Z88" s="36"/>
      <c r="AA88" s="36"/>
      <c r="AB88" s="36"/>
      <c r="AC88" s="36"/>
      <c r="AD88" s="36"/>
      <c r="AE88" s="36">
        <v>-12</v>
      </c>
      <c r="AF88" s="36">
        <v>-131</v>
      </c>
      <c r="AG88" s="36">
        <v>-1220</v>
      </c>
      <c r="AH88" s="36">
        <v>-54698</v>
      </c>
      <c r="AI88" s="20">
        <f t="shared" si="4"/>
        <v>-80839</v>
      </c>
      <c r="AJ88" s="20">
        <f t="shared" si="5"/>
        <v>16</v>
      </c>
    </row>
    <row r="89" spans="1:36" x14ac:dyDescent="0.2">
      <c r="A89" s="17" t="s">
        <v>4689</v>
      </c>
      <c r="B89" s="17">
        <v>36383</v>
      </c>
      <c r="Q89" s="20">
        <v>18247</v>
      </c>
      <c r="R89" s="20">
        <v>6563</v>
      </c>
      <c r="S89" s="20">
        <v>1222</v>
      </c>
      <c r="T89" s="20">
        <v>58956</v>
      </c>
      <c r="U89" s="20">
        <v>2686</v>
      </c>
      <c r="V89" s="20">
        <v>10</v>
      </c>
      <c r="W89" s="20">
        <f t="shared" si="3"/>
        <v>87684</v>
      </c>
      <c r="X89" s="36">
        <v>-24800</v>
      </c>
      <c r="Y89" s="36"/>
      <c r="Z89" s="36"/>
      <c r="AA89" s="36"/>
      <c r="AB89" s="36"/>
      <c r="AC89" s="36"/>
      <c r="AD89" s="36"/>
      <c r="AE89" s="36">
        <v>-10</v>
      </c>
      <c r="AF89" s="36">
        <v>-135</v>
      </c>
      <c r="AG89" s="36">
        <v>-1277</v>
      </c>
      <c r="AH89" s="36">
        <v>-61447</v>
      </c>
      <c r="AI89" s="20">
        <f t="shared" si="4"/>
        <v>-87669</v>
      </c>
      <c r="AJ89" s="20">
        <f t="shared" si="5"/>
        <v>15</v>
      </c>
    </row>
    <row r="90" spans="1:36" x14ac:dyDescent="0.2">
      <c r="A90" s="17" t="s">
        <v>4690</v>
      </c>
      <c r="B90" s="17">
        <v>36390</v>
      </c>
      <c r="Q90" s="20">
        <v>20287</v>
      </c>
      <c r="R90" s="20">
        <v>4483</v>
      </c>
      <c r="S90" s="20">
        <v>1214</v>
      </c>
      <c r="T90" s="20">
        <v>69015</v>
      </c>
      <c r="U90" s="20">
        <v>2663</v>
      </c>
      <c r="V90" s="20">
        <v>5</v>
      </c>
      <c r="W90" s="20">
        <f t="shared" si="3"/>
        <v>97667</v>
      </c>
      <c r="X90" s="36">
        <v>-24764</v>
      </c>
      <c r="Y90" s="36"/>
      <c r="Z90" s="36"/>
      <c r="AA90" s="36"/>
      <c r="AB90" s="36"/>
      <c r="AC90" s="36"/>
      <c r="AD90" s="36"/>
      <c r="AE90" s="36">
        <v>-6</v>
      </c>
      <c r="AF90" s="36">
        <v>-127</v>
      </c>
      <c r="AG90" s="36">
        <v>-1370</v>
      </c>
      <c r="AH90" s="36">
        <v>-71386</v>
      </c>
      <c r="AI90" s="20">
        <f t="shared" si="4"/>
        <v>-97653</v>
      </c>
      <c r="AJ90" s="20">
        <f t="shared" si="5"/>
        <v>14</v>
      </c>
    </row>
    <row r="91" spans="1:36" x14ac:dyDescent="0.2">
      <c r="A91" s="17" t="s">
        <v>4691</v>
      </c>
      <c r="B91" s="17">
        <v>36397</v>
      </c>
      <c r="Q91" s="20">
        <v>18979</v>
      </c>
      <c r="R91" s="20">
        <v>5791</v>
      </c>
      <c r="S91" s="20">
        <v>1213</v>
      </c>
      <c r="T91" s="20">
        <v>23487</v>
      </c>
      <c r="U91" s="20">
        <v>2775</v>
      </c>
      <c r="V91" s="20">
        <v>11</v>
      </c>
      <c r="W91" s="20">
        <f t="shared" si="3"/>
        <v>52256</v>
      </c>
      <c r="X91" s="36">
        <v>-24759</v>
      </c>
      <c r="Y91" s="36"/>
      <c r="Z91" s="36"/>
      <c r="AA91" s="36"/>
      <c r="AB91" s="36"/>
      <c r="AC91" s="36"/>
      <c r="AD91" s="36"/>
      <c r="AE91" s="36">
        <v>-11</v>
      </c>
      <c r="AF91" s="36">
        <v>-126</v>
      </c>
      <c r="AG91" s="36">
        <v>-1464</v>
      </c>
      <c r="AH91" s="36">
        <v>-25883</v>
      </c>
      <c r="AI91" s="20">
        <f t="shared" si="4"/>
        <v>-52243</v>
      </c>
      <c r="AJ91" s="20">
        <f t="shared" si="5"/>
        <v>13</v>
      </c>
    </row>
    <row r="92" spans="1:36" x14ac:dyDescent="0.2">
      <c r="A92" s="17" t="s">
        <v>4692</v>
      </c>
      <c r="B92" s="17">
        <v>36404</v>
      </c>
      <c r="Q92" s="20">
        <v>18393</v>
      </c>
      <c r="R92" s="20">
        <v>6707</v>
      </c>
      <c r="S92" s="20">
        <v>1213</v>
      </c>
      <c r="T92" s="20">
        <v>34243</v>
      </c>
      <c r="U92" s="20">
        <v>2666</v>
      </c>
      <c r="V92" s="20">
        <v>3</v>
      </c>
      <c r="W92" s="20">
        <f t="shared" si="3"/>
        <v>63225</v>
      </c>
      <c r="X92" s="36">
        <v>-25097</v>
      </c>
      <c r="Y92" s="36"/>
      <c r="Z92" s="36"/>
      <c r="AA92" s="36"/>
      <c r="AB92" s="36"/>
      <c r="AC92" s="36"/>
      <c r="AD92" s="36"/>
      <c r="AE92" s="36">
        <v>-3</v>
      </c>
      <c r="AF92" s="36">
        <v>-169</v>
      </c>
      <c r="AG92" s="36">
        <v>-1349</v>
      </c>
      <c r="AH92" s="36">
        <v>-36593</v>
      </c>
      <c r="AI92" s="20">
        <f t="shared" si="4"/>
        <v>-63211</v>
      </c>
      <c r="AJ92" s="20">
        <f t="shared" si="5"/>
        <v>14</v>
      </c>
    </row>
    <row r="93" spans="1:36" x14ac:dyDescent="0.2">
      <c r="A93" s="17" t="s">
        <v>4693</v>
      </c>
      <c r="B93" s="17">
        <v>36411</v>
      </c>
      <c r="Q93" s="20">
        <v>19704</v>
      </c>
      <c r="R93" s="20">
        <v>4896</v>
      </c>
      <c r="S93" s="20">
        <v>1215</v>
      </c>
      <c r="T93" s="20">
        <v>39925</v>
      </c>
      <c r="U93" s="20">
        <v>2670</v>
      </c>
      <c r="V93" s="20">
        <v>10</v>
      </c>
      <c r="W93" s="20">
        <f t="shared" si="3"/>
        <v>68420</v>
      </c>
      <c r="X93" s="36">
        <v>-24590</v>
      </c>
      <c r="Y93" s="36"/>
      <c r="Z93" s="36"/>
      <c r="AA93" s="36"/>
      <c r="AB93" s="36"/>
      <c r="AC93" s="36"/>
      <c r="AD93" s="36"/>
      <c r="AE93" s="36">
        <v>-10</v>
      </c>
      <c r="AF93" s="36">
        <v>-161</v>
      </c>
      <c r="AG93" s="36">
        <v>-1430</v>
      </c>
      <c r="AH93" s="36">
        <v>-42213</v>
      </c>
      <c r="AI93" s="20">
        <f t="shared" si="4"/>
        <v>-68404</v>
      </c>
      <c r="AJ93" s="20">
        <f t="shared" si="5"/>
        <v>16</v>
      </c>
    </row>
    <row r="94" spans="1:36" x14ac:dyDescent="0.2">
      <c r="A94" s="17" t="s">
        <v>4694</v>
      </c>
      <c r="B94" s="17">
        <v>36418</v>
      </c>
      <c r="Q94" s="20">
        <v>21705</v>
      </c>
      <c r="R94" s="20">
        <v>2815</v>
      </c>
      <c r="S94" s="20">
        <v>1219</v>
      </c>
      <c r="T94" s="20">
        <v>49035</v>
      </c>
      <c r="U94" s="20">
        <v>2623</v>
      </c>
      <c r="V94" s="20">
        <v>9</v>
      </c>
      <c r="W94" s="20">
        <f t="shared" si="3"/>
        <v>77406</v>
      </c>
      <c r="X94" s="36">
        <v>-24511</v>
      </c>
      <c r="Y94" s="36"/>
      <c r="Z94" s="36"/>
      <c r="AA94" s="36"/>
      <c r="AB94" s="36"/>
      <c r="AC94" s="36"/>
      <c r="AD94" s="36"/>
      <c r="AE94" s="36">
        <v>-9</v>
      </c>
      <c r="AF94" s="36">
        <v>-141</v>
      </c>
      <c r="AG94" s="36">
        <v>-1339</v>
      </c>
      <c r="AH94" s="36">
        <v>-51391</v>
      </c>
      <c r="AI94" s="20">
        <f t="shared" si="4"/>
        <v>-77391</v>
      </c>
      <c r="AJ94" s="20">
        <f t="shared" si="5"/>
        <v>15</v>
      </c>
    </row>
    <row r="95" spans="1:36" x14ac:dyDescent="0.2">
      <c r="A95" s="17" t="s">
        <v>4695</v>
      </c>
      <c r="B95" s="17">
        <v>36425</v>
      </c>
      <c r="Q95" s="20">
        <v>21130</v>
      </c>
      <c r="R95" s="20">
        <v>3450</v>
      </c>
      <c r="S95" s="20">
        <v>1214</v>
      </c>
      <c r="T95" s="20">
        <v>63264</v>
      </c>
      <c r="U95" s="20">
        <v>2624</v>
      </c>
      <c r="V95" s="20">
        <v>6</v>
      </c>
      <c r="W95" s="20">
        <f t="shared" si="3"/>
        <v>91688</v>
      </c>
      <c r="X95" s="36">
        <v>-24574</v>
      </c>
      <c r="Y95" s="36"/>
      <c r="Z95" s="36"/>
      <c r="AA95" s="36"/>
      <c r="AB95" s="36"/>
      <c r="AC95" s="36"/>
      <c r="AD95" s="36"/>
      <c r="AE95" s="36">
        <v>-6</v>
      </c>
      <c r="AF95" s="36">
        <v>-136</v>
      </c>
      <c r="AG95" s="36">
        <v>-1532</v>
      </c>
      <c r="AH95" s="36">
        <v>-65425</v>
      </c>
      <c r="AI95" s="20">
        <f t="shared" si="4"/>
        <v>-91673</v>
      </c>
      <c r="AJ95" s="20">
        <f t="shared" si="5"/>
        <v>15</v>
      </c>
    </row>
    <row r="96" spans="1:36" x14ac:dyDescent="0.2">
      <c r="A96" s="17" t="s">
        <v>4696</v>
      </c>
      <c r="B96" s="17">
        <v>36432</v>
      </c>
      <c r="Q96" s="20">
        <v>19545</v>
      </c>
      <c r="R96" s="20">
        <v>5135</v>
      </c>
      <c r="S96" s="20">
        <v>1219</v>
      </c>
      <c r="T96" s="20">
        <v>26460</v>
      </c>
      <c r="U96" s="20">
        <v>2620</v>
      </c>
      <c r="V96" s="20">
        <v>9</v>
      </c>
      <c r="W96" s="20">
        <f t="shared" si="3"/>
        <v>54988</v>
      </c>
      <c r="X96" s="36">
        <v>-24671</v>
      </c>
      <c r="Y96" s="36"/>
      <c r="Z96" s="36"/>
      <c r="AA96" s="36"/>
      <c r="AB96" s="36"/>
      <c r="AC96" s="36"/>
      <c r="AD96" s="36"/>
      <c r="AE96" s="36">
        <v>-9</v>
      </c>
      <c r="AF96" s="36">
        <v>-136</v>
      </c>
      <c r="AG96" s="36">
        <v>-1306</v>
      </c>
      <c r="AH96" s="36">
        <v>-28852</v>
      </c>
      <c r="AI96" s="20">
        <f t="shared" si="4"/>
        <v>-54974</v>
      </c>
      <c r="AJ96" s="20">
        <f t="shared" si="5"/>
        <v>14</v>
      </c>
    </row>
    <row r="97" spans="1:36" x14ac:dyDescent="0.2">
      <c r="A97" s="17" t="s">
        <v>4697</v>
      </c>
      <c r="B97" s="17">
        <v>36439</v>
      </c>
      <c r="Q97" s="20">
        <v>12689</v>
      </c>
      <c r="R97" s="20">
        <v>11981</v>
      </c>
      <c r="S97" s="20">
        <v>1242</v>
      </c>
      <c r="T97" s="20">
        <v>38223</v>
      </c>
      <c r="U97" s="20">
        <v>2647</v>
      </c>
      <c r="V97" s="20">
        <v>6</v>
      </c>
      <c r="W97" s="20">
        <f t="shared" si="3"/>
        <v>66788</v>
      </c>
      <c r="X97" s="36">
        <v>-24664</v>
      </c>
      <c r="Y97" s="36"/>
      <c r="Z97" s="36"/>
      <c r="AA97" s="36"/>
      <c r="AB97" s="36"/>
      <c r="AC97" s="36"/>
      <c r="AD97" s="36"/>
      <c r="AE97" s="36">
        <v>-6</v>
      </c>
      <c r="AF97" s="36">
        <v>-144</v>
      </c>
      <c r="AG97" s="36">
        <v>-1426</v>
      </c>
      <c r="AH97" s="36">
        <v>-40533</v>
      </c>
      <c r="AI97" s="20">
        <f t="shared" si="4"/>
        <v>-66773</v>
      </c>
      <c r="AJ97" s="20">
        <f t="shared" si="5"/>
        <v>15</v>
      </c>
    </row>
    <row r="98" spans="1:36" x14ac:dyDescent="0.2">
      <c r="A98" s="17" t="s">
        <v>4698</v>
      </c>
      <c r="B98" s="17">
        <v>36446</v>
      </c>
      <c r="Q98" s="20">
        <v>16060</v>
      </c>
      <c r="R98" s="20">
        <v>8600</v>
      </c>
      <c r="S98" s="20">
        <v>1278</v>
      </c>
      <c r="T98" s="20">
        <v>53399</v>
      </c>
      <c r="U98" s="20">
        <v>2648</v>
      </c>
      <c r="V98" s="20">
        <v>9</v>
      </c>
      <c r="W98" s="20">
        <f t="shared" si="3"/>
        <v>81994</v>
      </c>
      <c r="X98" s="36">
        <v>-24651</v>
      </c>
      <c r="Y98" s="36"/>
      <c r="Z98" s="36"/>
      <c r="AA98" s="36"/>
      <c r="AB98" s="36"/>
      <c r="AC98" s="36"/>
      <c r="AD98" s="36"/>
      <c r="AE98" s="36">
        <v>-9</v>
      </c>
      <c r="AF98" s="36">
        <v>-152</v>
      </c>
      <c r="AG98" s="36">
        <v>-1334</v>
      </c>
      <c r="AH98" s="36">
        <v>-55834</v>
      </c>
      <c r="AI98" s="20">
        <f t="shared" si="4"/>
        <v>-81980</v>
      </c>
      <c r="AJ98" s="20">
        <f t="shared" si="5"/>
        <v>14</v>
      </c>
    </row>
    <row r="99" spans="1:36" x14ac:dyDescent="0.2">
      <c r="A99" s="17" t="s">
        <v>4699</v>
      </c>
      <c r="B99" s="17">
        <v>36453</v>
      </c>
      <c r="Q99" s="20">
        <v>12305</v>
      </c>
      <c r="R99" s="20">
        <v>12335</v>
      </c>
      <c r="S99" s="20">
        <v>1290</v>
      </c>
      <c r="T99" s="20">
        <v>61077</v>
      </c>
      <c r="U99" s="20">
        <v>2629</v>
      </c>
      <c r="V99" s="20">
        <v>11</v>
      </c>
      <c r="W99" s="20">
        <f t="shared" si="3"/>
        <v>89647</v>
      </c>
      <c r="X99" s="36">
        <v>-24629</v>
      </c>
      <c r="Y99" s="36"/>
      <c r="Z99" s="36"/>
      <c r="AA99" s="36"/>
      <c r="AB99" s="36"/>
      <c r="AC99" s="36"/>
      <c r="AD99" s="36"/>
      <c r="AE99" s="36">
        <v>-11</v>
      </c>
      <c r="AF99" s="36">
        <v>-177</v>
      </c>
      <c r="AG99" s="36">
        <v>-1337</v>
      </c>
      <c r="AH99" s="36">
        <v>-63479</v>
      </c>
      <c r="AI99" s="20">
        <f t="shared" si="4"/>
        <v>-89633</v>
      </c>
      <c r="AJ99" s="20">
        <f t="shared" si="5"/>
        <v>14</v>
      </c>
    </row>
    <row r="100" spans="1:36" x14ac:dyDescent="0.2">
      <c r="A100" s="17" t="s">
        <v>4700</v>
      </c>
      <c r="B100" s="17">
        <v>36460</v>
      </c>
      <c r="Q100" s="20">
        <v>13417</v>
      </c>
      <c r="R100" s="20">
        <v>11423</v>
      </c>
      <c r="S100" s="20">
        <v>1311</v>
      </c>
      <c r="T100" s="20">
        <v>26142</v>
      </c>
      <c r="U100" s="20">
        <v>2711</v>
      </c>
      <c r="V100" s="20">
        <v>11</v>
      </c>
      <c r="W100" s="20">
        <f t="shared" si="3"/>
        <v>55015</v>
      </c>
      <c r="X100" s="36">
        <v>-24829</v>
      </c>
      <c r="Y100" s="36"/>
      <c r="Z100" s="36"/>
      <c r="AA100" s="36"/>
      <c r="AB100" s="36"/>
      <c r="AC100" s="36"/>
      <c r="AD100" s="36"/>
      <c r="AE100" s="36">
        <v>-11</v>
      </c>
      <c r="AF100" s="36">
        <v>-207</v>
      </c>
      <c r="AG100" s="36">
        <v>-1325</v>
      </c>
      <c r="AH100" s="36">
        <v>-28629</v>
      </c>
      <c r="AI100" s="20">
        <f t="shared" si="4"/>
        <v>-55001</v>
      </c>
      <c r="AJ100" s="20">
        <f t="shared" si="5"/>
        <v>14</v>
      </c>
    </row>
    <row r="101" spans="1:36" x14ac:dyDescent="0.2">
      <c r="A101" s="17" t="s">
        <v>4701</v>
      </c>
      <c r="B101" s="17">
        <v>36467</v>
      </c>
      <c r="Q101" s="20">
        <v>9320</v>
      </c>
      <c r="R101" s="20">
        <v>15580</v>
      </c>
      <c r="S101" s="20">
        <v>1308</v>
      </c>
      <c r="T101" s="20">
        <v>35346</v>
      </c>
      <c r="U101" s="20">
        <v>2609</v>
      </c>
      <c r="V101" s="20">
        <v>5</v>
      </c>
      <c r="W101" s="20">
        <f t="shared" si="3"/>
        <v>64168</v>
      </c>
      <c r="X101" s="36">
        <v>-24895</v>
      </c>
      <c r="Y101" s="36"/>
      <c r="Z101" s="36"/>
      <c r="AA101" s="36"/>
      <c r="AB101" s="36"/>
      <c r="AC101" s="36"/>
      <c r="AD101" s="36"/>
      <c r="AE101" s="36">
        <v>-5</v>
      </c>
      <c r="AF101" s="36">
        <v>-180</v>
      </c>
      <c r="AG101" s="36">
        <v>-1283</v>
      </c>
      <c r="AH101" s="36">
        <v>-37789</v>
      </c>
      <c r="AI101" s="20">
        <f t="shared" si="4"/>
        <v>-64152</v>
      </c>
      <c r="AJ101" s="20">
        <f t="shared" si="5"/>
        <v>16</v>
      </c>
    </row>
    <row r="102" spans="1:36" x14ac:dyDescent="0.2">
      <c r="A102" s="17" t="s">
        <v>4702</v>
      </c>
      <c r="B102" s="17">
        <v>36474</v>
      </c>
      <c r="Q102" s="20">
        <v>11380</v>
      </c>
      <c r="R102" s="20">
        <v>13650</v>
      </c>
      <c r="S102" s="20">
        <v>1308</v>
      </c>
      <c r="T102" s="20">
        <v>48071</v>
      </c>
      <c r="U102" s="20">
        <v>2627</v>
      </c>
      <c r="V102" s="20">
        <v>8</v>
      </c>
      <c r="W102" s="20">
        <f t="shared" si="3"/>
        <v>77044</v>
      </c>
      <c r="X102" s="36">
        <v>-25022</v>
      </c>
      <c r="Y102" s="36"/>
      <c r="Z102" s="36"/>
      <c r="AA102" s="36"/>
      <c r="AB102" s="36"/>
      <c r="AC102" s="36"/>
      <c r="AD102" s="36"/>
      <c r="AE102" s="36">
        <v>-8</v>
      </c>
      <c r="AF102" s="36">
        <v>-203</v>
      </c>
      <c r="AG102" s="36">
        <v>-1249</v>
      </c>
      <c r="AH102" s="36">
        <v>-50547</v>
      </c>
      <c r="AI102" s="20">
        <f t="shared" si="4"/>
        <v>-77029</v>
      </c>
      <c r="AJ102" s="20">
        <f t="shared" si="5"/>
        <v>15</v>
      </c>
    </row>
    <row r="103" spans="1:36" x14ac:dyDescent="0.2">
      <c r="A103" s="17" t="s">
        <v>4703</v>
      </c>
      <c r="B103" s="17">
        <v>36481</v>
      </c>
      <c r="Q103" s="20">
        <v>14444</v>
      </c>
      <c r="R103" s="20">
        <v>10806</v>
      </c>
      <c r="S103" s="20">
        <v>1308</v>
      </c>
      <c r="T103" s="20">
        <v>54553</v>
      </c>
      <c r="U103" s="20">
        <v>2618</v>
      </c>
      <c r="V103" s="20">
        <v>3</v>
      </c>
      <c r="W103" s="20">
        <f t="shared" si="3"/>
        <v>83732</v>
      </c>
      <c r="X103" s="36">
        <v>-25247</v>
      </c>
      <c r="Y103" s="36"/>
      <c r="Z103" s="36"/>
      <c r="AA103" s="36"/>
      <c r="AB103" s="36"/>
      <c r="AC103" s="36"/>
      <c r="AD103" s="36"/>
      <c r="AE103" s="36">
        <v>-3</v>
      </c>
      <c r="AF103" s="36">
        <v>-239</v>
      </c>
      <c r="AG103" s="36">
        <v>-1497</v>
      </c>
      <c r="AH103" s="36">
        <v>-56731</v>
      </c>
      <c r="AI103" s="20">
        <f t="shared" si="4"/>
        <v>-83717</v>
      </c>
      <c r="AJ103" s="20">
        <f t="shared" si="5"/>
        <v>15</v>
      </c>
    </row>
    <row r="104" spans="1:36" x14ac:dyDescent="0.2">
      <c r="A104" s="17" t="s">
        <v>4704</v>
      </c>
      <c r="B104" s="17">
        <v>36488</v>
      </c>
      <c r="Q104" s="20">
        <v>13123</v>
      </c>
      <c r="R104" s="20">
        <v>12547</v>
      </c>
      <c r="S104" s="20">
        <v>1280</v>
      </c>
      <c r="T104" s="20">
        <v>16612</v>
      </c>
      <c r="U104" s="20">
        <v>2594</v>
      </c>
      <c r="V104" s="20">
        <v>6</v>
      </c>
      <c r="W104" s="20">
        <f t="shared" si="3"/>
        <v>46162</v>
      </c>
      <c r="X104" s="36">
        <v>-25664</v>
      </c>
      <c r="Y104" s="36"/>
      <c r="Z104" s="36"/>
      <c r="AA104" s="36"/>
      <c r="AB104" s="36"/>
      <c r="AC104" s="36"/>
      <c r="AD104" s="36"/>
      <c r="AE104" s="36">
        <v>-6</v>
      </c>
      <c r="AF104" s="36">
        <v>-241</v>
      </c>
      <c r="AG104" s="36">
        <v>-1576</v>
      </c>
      <c r="AH104" s="36">
        <v>-18661</v>
      </c>
      <c r="AI104" s="20">
        <f t="shared" si="4"/>
        <v>-46148</v>
      </c>
      <c r="AJ104" s="20">
        <f t="shared" si="5"/>
        <v>14</v>
      </c>
    </row>
    <row r="105" spans="1:36" x14ac:dyDescent="0.2">
      <c r="A105" s="17" t="s">
        <v>4705</v>
      </c>
      <c r="B105" s="17">
        <v>36495</v>
      </c>
      <c r="Q105" s="20">
        <v>9882</v>
      </c>
      <c r="R105" s="20">
        <v>16228</v>
      </c>
      <c r="S105" s="20">
        <v>1314</v>
      </c>
      <c r="T105" s="20">
        <v>22336</v>
      </c>
      <c r="U105" s="20">
        <v>2590</v>
      </c>
      <c r="V105" s="20">
        <v>6</v>
      </c>
      <c r="W105" s="20">
        <f t="shared" si="3"/>
        <v>52356</v>
      </c>
      <c r="X105" s="36">
        <v>-26104</v>
      </c>
      <c r="Y105" s="36"/>
      <c r="Z105" s="36"/>
      <c r="AA105" s="36"/>
      <c r="AB105" s="36"/>
      <c r="AC105" s="36"/>
      <c r="AD105" s="36"/>
      <c r="AE105" s="36">
        <v>-6</v>
      </c>
      <c r="AF105" s="36">
        <v>-189</v>
      </c>
      <c r="AG105" s="36">
        <v>-1362</v>
      </c>
      <c r="AH105" s="36">
        <v>-24681</v>
      </c>
      <c r="AI105" s="20">
        <f t="shared" si="4"/>
        <v>-52342</v>
      </c>
      <c r="AJ105" s="20">
        <f t="shared" si="5"/>
        <v>14</v>
      </c>
    </row>
    <row r="106" spans="1:36" x14ac:dyDescent="0.2">
      <c r="A106" s="17" t="s">
        <v>4706</v>
      </c>
      <c r="B106" s="17">
        <v>36502</v>
      </c>
      <c r="Q106" s="20">
        <v>14998</v>
      </c>
      <c r="R106" s="20">
        <v>11512</v>
      </c>
      <c r="S106" s="20">
        <v>1315</v>
      </c>
      <c r="T106" s="20">
        <v>35016</v>
      </c>
      <c r="U106" s="20">
        <v>2582</v>
      </c>
      <c r="V106" s="20">
        <v>4</v>
      </c>
      <c r="W106" s="20">
        <f t="shared" si="3"/>
        <v>65427</v>
      </c>
      <c r="X106" s="36">
        <v>-26506</v>
      </c>
      <c r="Y106" s="36"/>
      <c r="Z106" s="36"/>
      <c r="AA106" s="36"/>
      <c r="AB106" s="36"/>
      <c r="AC106" s="36"/>
      <c r="AD106" s="36"/>
      <c r="AE106" s="36">
        <v>-4</v>
      </c>
      <c r="AF106" s="36">
        <v>-206</v>
      </c>
      <c r="AG106" s="36">
        <v>-1305</v>
      </c>
      <c r="AH106" s="36">
        <v>-37392</v>
      </c>
      <c r="AI106" s="20">
        <f t="shared" si="4"/>
        <v>-65413</v>
      </c>
      <c r="AJ106" s="20">
        <f t="shared" si="5"/>
        <v>14</v>
      </c>
    </row>
    <row r="107" spans="1:36" x14ac:dyDescent="0.2">
      <c r="A107" s="17" t="s">
        <v>4707</v>
      </c>
      <c r="B107" s="17">
        <v>36509</v>
      </c>
      <c r="Q107" s="20">
        <v>17264</v>
      </c>
      <c r="R107" s="20">
        <v>9976</v>
      </c>
      <c r="S107" s="20">
        <v>1444</v>
      </c>
      <c r="T107" s="20">
        <v>46895</v>
      </c>
      <c r="U107" s="20">
        <v>3724</v>
      </c>
      <c r="V107" s="20">
        <v>8</v>
      </c>
      <c r="W107" s="20">
        <f t="shared" si="3"/>
        <v>79311</v>
      </c>
      <c r="X107" s="36">
        <v>-27232</v>
      </c>
      <c r="Y107" s="36"/>
      <c r="Z107" s="36"/>
      <c r="AA107" s="36"/>
      <c r="AB107" s="36"/>
      <c r="AC107" s="36"/>
      <c r="AD107" s="36"/>
      <c r="AE107" s="36">
        <v>-8</v>
      </c>
      <c r="AF107" s="36">
        <v>-195</v>
      </c>
      <c r="AG107" s="36">
        <v>-1357</v>
      </c>
      <c r="AH107" s="36">
        <v>-50506</v>
      </c>
      <c r="AI107" s="20">
        <f t="shared" si="4"/>
        <v>-79298</v>
      </c>
      <c r="AJ107" s="20">
        <f t="shared" si="5"/>
        <v>13</v>
      </c>
    </row>
    <row r="108" spans="1:36" x14ac:dyDescent="0.2">
      <c r="A108" s="17" t="s">
        <v>4708</v>
      </c>
      <c r="B108" s="17">
        <v>36516</v>
      </c>
      <c r="Q108" s="20">
        <v>16436</v>
      </c>
      <c r="R108" s="20">
        <v>12624</v>
      </c>
      <c r="S108" s="20">
        <v>1317</v>
      </c>
      <c r="T108" s="20">
        <v>17982</v>
      </c>
      <c r="U108" s="20">
        <v>2606</v>
      </c>
      <c r="V108" s="20">
        <v>12</v>
      </c>
      <c r="W108" s="20">
        <f t="shared" si="3"/>
        <v>50977</v>
      </c>
      <c r="X108" s="36">
        <v>-29048</v>
      </c>
      <c r="Y108" s="36"/>
      <c r="Z108" s="36"/>
      <c r="AA108" s="36"/>
      <c r="AB108" s="36"/>
      <c r="AC108" s="36"/>
      <c r="AD108" s="36"/>
      <c r="AE108" s="36">
        <v>-12</v>
      </c>
      <c r="AF108" s="36">
        <v>-211</v>
      </c>
      <c r="AG108" s="36">
        <v>-1323</v>
      </c>
      <c r="AH108" s="36">
        <v>-20369</v>
      </c>
      <c r="AI108" s="20">
        <f t="shared" si="4"/>
        <v>-50963</v>
      </c>
      <c r="AJ108" s="20">
        <f t="shared" si="5"/>
        <v>14</v>
      </c>
    </row>
    <row r="109" spans="1:36" x14ac:dyDescent="0.2">
      <c r="A109" s="17" t="s">
        <v>4709</v>
      </c>
      <c r="B109" s="17">
        <v>36523</v>
      </c>
      <c r="Q109" s="20">
        <v>18645</v>
      </c>
      <c r="R109" s="20">
        <v>11645</v>
      </c>
      <c r="S109" s="20">
        <v>1318</v>
      </c>
      <c r="T109" s="20">
        <v>8896</v>
      </c>
      <c r="U109" s="20">
        <v>2561</v>
      </c>
      <c r="V109" s="20">
        <v>9</v>
      </c>
      <c r="W109" s="20">
        <f t="shared" si="3"/>
        <v>43074</v>
      </c>
      <c r="X109" s="36">
        <v>-30281</v>
      </c>
      <c r="Y109" s="36"/>
      <c r="Z109" s="36"/>
      <c r="AA109" s="36"/>
      <c r="AB109" s="36"/>
      <c r="AC109" s="36"/>
      <c r="AD109" s="36"/>
      <c r="AE109" s="36">
        <v>-9</v>
      </c>
      <c r="AF109" s="36">
        <v>-164</v>
      </c>
      <c r="AG109" s="36">
        <v>-1371</v>
      </c>
      <c r="AH109" s="36">
        <v>-11234</v>
      </c>
      <c r="AI109" s="20">
        <f t="shared" si="4"/>
        <v>-43059</v>
      </c>
      <c r="AJ109" s="20">
        <f t="shared" si="5"/>
        <v>15</v>
      </c>
    </row>
    <row r="110" spans="1:36" x14ac:dyDescent="0.2">
      <c r="A110" s="17" t="s">
        <v>4710</v>
      </c>
      <c r="B110" s="17">
        <v>36530</v>
      </c>
      <c r="Q110" s="20">
        <v>18577</v>
      </c>
      <c r="R110" s="20">
        <v>10613</v>
      </c>
      <c r="S110" s="20">
        <v>1317</v>
      </c>
      <c r="T110" s="20">
        <v>11882</v>
      </c>
      <c r="U110" s="20">
        <v>2585</v>
      </c>
      <c r="V110" s="20">
        <v>6</v>
      </c>
      <c r="W110" s="20">
        <f t="shared" si="3"/>
        <v>44980</v>
      </c>
      <c r="X110" s="36">
        <v>-29184</v>
      </c>
      <c r="Y110" s="36"/>
      <c r="Z110" s="36"/>
      <c r="AA110" s="36"/>
      <c r="AB110" s="36"/>
      <c r="AC110" s="36"/>
      <c r="AD110" s="36"/>
      <c r="AE110" s="36">
        <v>-6</v>
      </c>
      <c r="AF110" s="36">
        <v>-186</v>
      </c>
      <c r="AG110" s="36">
        <v>-1329</v>
      </c>
      <c r="AH110" s="36">
        <v>-14261</v>
      </c>
      <c r="AI110" s="20">
        <f t="shared" si="4"/>
        <v>-44966</v>
      </c>
      <c r="AJ110" s="20">
        <f t="shared" si="5"/>
        <v>14</v>
      </c>
    </row>
    <row r="111" spans="1:36" x14ac:dyDescent="0.2">
      <c r="A111" s="17" t="s">
        <v>4711</v>
      </c>
      <c r="B111" s="17">
        <v>36537</v>
      </c>
      <c r="Q111" s="20">
        <v>16776</v>
      </c>
      <c r="R111" s="20">
        <v>9984</v>
      </c>
      <c r="S111" s="20">
        <v>1326</v>
      </c>
      <c r="T111" s="20">
        <v>24727</v>
      </c>
      <c r="U111" s="20">
        <v>2565</v>
      </c>
      <c r="V111" s="20">
        <v>4</v>
      </c>
      <c r="W111" s="20">
        <f t="shared" si="3"/>
        <v>55382</v>
      </c>
      <c r="X111" s="36">
        <v>-26756</v>
      </c>
      <c r="Y111" s="36"/>
      <c r="Z111" s="36"/>
      <c r="AA111" s="36"/>
      <c r="AB111" s="36"/>
      <c r="AC111" s="36"/>
      <c r="AD111" s="36"/>
      <c r="AE111" s="36">
        <v>-4</v>
      </c>
      <c r="AF111" s="36">
        <v>-192</v>
      </c>
      <c r="AG111" s="36">
        <v>-1371</v>
      </c>
      <c r="AH111" s="36">
        <v>-27043</v>
      </c>
      <c r="AI111" s="20">
        <f t="shared" si="4"/>
        <v>-55366</v>
      </c>
      <c r="AJ111" s="20">
        <f t="shared" si="5"/>
        <v>16</v>
      </c>
    </row>
    <row r="112" spans="1:36" x14ac:dyDescent="0.2">
      <c r="A112" s="17" t="s">
        <v>4712</v>
      </c>
      <c r="B112" s="17">
        <v>36544</v>
      </c>
      <c r="Q112" s="20">
        <v>16816</v>
      </c>
      <c r="R112" s="20">
        <v>8714</v>
      </c>
      <c r="S112" s="20">
        <v>1351</v>
      </c>
      <c r="T112" s="20">
        <v>37325</v>
      </c>
      <c r="U112" s="20">
        <v>2533</v>
      </c>
      <c r="V112" s="20">
        <v>5</v>
      </c>
      <c r="W112" s="20">
        <f t="shared" si="3"/>
        <v>66744</v>
      </c>
      <c r="X112" s="36">
        <v>-25525</v>
      </c>
      <c r="Y112" s="36"/>
      <c r="Z112" s="36"/>
      <c r="AA112" s="36"/>
      <c r="AB112" s="36"/>
      <c r="AC112" s="36"/>
      <c r="AD112" s="36"/>
      <c r="AE112" s="36">
        <v>-5</v>
      </c>
      <c r="AF112" s="36">
        <v>-227</v>
      </c>
      <c r="AG112" s="36">
        <v>-1389</v>
      </c>
      <c r="AH112" s="36">
        <v>-39583</v>
      </c>
      <c r="AI112" s="20">
        <f t="shared" si="4"/>
        <v>-66729</v>
      </c>
      <c r="AJ112" s="20">
        <f t="shared" si="5"/>
        <v>15</v>
      </c>
    </row>
    <row r="113" spans="1:36" x14ac:dyDescent="0.2">
      <c r="A113" s="17" t="s">
        <v>4713</v>
      </c>
      <c r="B113" s="17">
        <v>36551</v>
      </c>
      <c r="Q113" s="20">
        <v>14135</v>
      </c>
      <c r="R113" s="20">
        <v>10995</v>
      </c>
      <c r="S113" s="20">
        <v>1363</v>
      </c>
      <c r="T113" s="20">
        <v>18727</v>
      </c>
      <c r="U113" s="20">
        <v>2508</v>
      </c>
      <c r="V113" s="20">
        <v>10</v>
      </c>
      <c r="W113" s="20">
        <f t="shared" si="3"/>
        <v>47738</v>
      </c>
      <c r="X113" s="36">
        <v>-25120</v>
      </c>
      <c r="Y113" s="36"/>
      <c r="Z113" s="36"/>
      <c r="AA113" s="36"/>
      <c r="AB113" s="36"/>
      <c r="AC113" s="36"/>
      <c r="AD113" s="36"/>
      <c r="AE113" s="36">
        <v>-10</v>
      </c>
      <c r="AF113" s="36">
        <v>-237</v>
      </c>
      <c r="AG113" s="36">
        <v>-1339</v>
      </c>
      <c r="AH113" s="36">
        <v>-21017</v>
      </c>
      <c r="AI113" s="20">
        <f t="shared" si="4"/>
        <v>-47723</v>
      </c>
      <c r="AJ113" s="20">
        <f t="shared" si="5"/>
        <v>15</v>
      </c>
    </row>
    <row r="114" spans="1:36" x14ac:dyDescent="0.2">
      <c r="A114" s="17" t="s">
        <v>4714</v>
      </c>
      <c r="B114" s="17">
        <v>36558</v>
      </c>
      <c r="Q114" s="20">
        <v>2955</v>
      </c>
      <c r="R114" s="20">
        <v>22105</v>
      </c>
      <c r="S114" s="20">
        <v>1363</v>
      </c>
      <c r="T114" s="20">
        <v>29812</v>
      </c>
      <c r="U114" s="20">
        <v>2491</v>
      </c>
      <c r="V114" s="20">
        <v>7</v>
      </c>
      <c r="W114" s="20">
        <f t="shared" si="3"/>
        <v>58733</v>
      </c>
      <c r="X114" s="36">
        <v>-25053</v>
      </c>
      <c r="Y114" s="36"/>
      <c r="Z114" s="36"/>
      <c r="AA114" s="36"/>
      <c r="AB114" s="36"/>
      <c r="AC114" s="36"/>
      <c r="AD114" s="36"/>
      <c r="AE114" s="36">
        <v>-7</v>
      </c>
      <c r="AF114" s="36">
        <v>-252</v>
      </c>
      <c r="AG114" s="36">
        <v>-1350</v>
      </c>
      <c r="AH114" s="36">
        <v>-32056</v>
      </c>
      <c r="AI114" s="20">
        <f t="shared" si="4"/>
        <v>-58718</v>
      </c>
      <c r="AJ114" s="20">
        <f t="shared" si="5"/>
        <v>15</v>
      </c>
    </row>
    <row r="115" spans="1:36" x14ac:dyDescent="0.2">
      <c r="A115" s="17" t="s">
        <v>4715</v>
      </c>
      <c r="B115" s="17">
        <v>36565</v>
      </c>
      <c r="Q115" s="20">
        <v>3496</v>
      </c>
      <c r="R115" s="20">
        <v>21484</v>
      </c>
      <c r="S115" s="20">
        <v>1364</v>
      </c>
      <c r="T115" s="20">
        <v>45894</v>
      </c>
      <c r="U115" s="20">
        <v>2524</v>
      </c>
      <c r="V115" s="20">
        <v>10</v>
      </c>
      <c r="W115" s="20">
        <f t="shared" si="3"/>
        <v>74772</v>
      </c>
      <c r="X115" s="36">
        <v>-24970</v>
      </c>
      <c r="Y115" s="36"/>
      <c r="Z115" s="36"/>
      <c r="AA115" s="36"/>
      <c r="AB115" s="36"/>
      <c r="AC115" s="36"/>
      <c r="AD115" s="36"/>
      <c r="AE115" s="36">
        <v>-10</v>
      </c>
      <c r="AF115" s="36">
        <v>-236</v>
      </c>
      <c r="AG115" s="36">
        <v>-1357</v>
      </c>
      <c r="AH115" s="36">
        <v>-48182</v>
      </c>
      <c r="AI115" s="20">
        <f t="shared" si="4"/>
        <v>-74755</v>
      </c>
      <c r="AJ115" s="20">
        <f t="shared" si="5"/>
        <v>17</v>
      </c>
    </row>
    <row r="116" spans="1:36" x14ac:dyDescent="0.2">
      <c r="A116" s="17" t="s">
        <v>4716</v>
      </c>
      <c r="B116" s="17">
        <v>36572</v>
      </c>
      <c r="Q116" s="20">
        <v>5891</v>
      </c>
      <c r="R116" s="20">
        <v>19039</v>
      </c>
      <c r="S116" s="20">
        <v>1364</v>
      </c>
      <c r="T116" s="20">
        <v>51953</v>
      </c>
      <c r="U116" s="20">
        <v>2497</v>
      </c>
      <c r="V116" s="20">
        <v>12</v>
      </c>
      <c r="W116" s="20">
        <f t="shared" si="3"/>
        <v>80756</v>
      </c>
      <c r="X116" s="36">
        <v>-24918</v>
      </c>
      <c r="Y116" s="36"/>
      <c r="Z116" s="36"/>
      <c r="AA116" s="36"/>
      <c r="AB116" s="36"/>
      <c r="AC116" s="36"/>
      <c r="AD116" s="36"/>
      <c r="AE116" s="36">
        <v>-12</v>
      </c>
      <c r="AF116" s="36">
        <v>-217</v>
      </c>
      <c r="AG116" s="36">
        <v>-1360</v>
      </c>
      <c r="AH116" s="36">
        <v>-54235</v>
      </c>
      <c r="AI116" s="20">
        <f t="shared" si="4"/>
        <v>-80742</v>
      </c>
      <c r="AJ116" s="20">
        <f t="shared" si="5"/>
        <v>14</v>
      </c>
    </row>
    <row r="117" spans="1:36" x14ac:dyDescent="0.2">
      <c r="A117" s="17" t="s">
        <v>4717</v>
      </c>
      <c r="B117" s="17">
        <v>36579</v>
      </c>
      <c r="Q117" s="20">
        <v>4673</v>
      </c>
      <c r="R117" s="20">
        <v>20407</v>
      </c>
      <c r="S117" s="20">
        <v>1380</v>
      </c>
      <c r="T117" s="20">
        <v>60195</v>
      </c>
      <c r="U117" s="20">
        <v>2542</v>
      </c>
      <c r="V117" s="20">
        <v>12</v>
      </c>
      <c r="W117" s="20">
        <f t="shared" si="3"/>
        <v>89209</v>
      </c>
      <c r="X117" s="36">
        <v>-25068</v>
      </c>
      <c r="Y117" s="36"/>
      <c r="Z117" s="36"/>
      <c r="AA117" s="36"/>
      <c r="AB117" s="36"/>
      <c r="AC117" s="36"/>
      <c r="AD117" s="36"/>
      <c r="AE117" s="36">
        <v>-12</v>
      </c>
      <c r="AF117" s="36">
        <v>-226</v>
      </c>
      <c r="AG117" s="36">
        <v>-1383</v>
      </c>
      <c r="AH117" s="36">
        <v>-62505</v>
      </c>
      <c r="AI117" s="20">
        <f t="shared" si="4"/>
        <v>-89194</v>
      </c>
      <c r="AJ117" s="20">
        <f t="shared" si="5"/>
        <v>15</v>
      </c>
    </row>
    <row r="118" spans="1:36" x14ac:dyDescent="0.2">
      <c r="A118" s="17" t="s">
        <v>4718</v>
      </c>
      <c r="B118" s="17">
        <v>36586</v>
      </c>
      <c r="Q118" s="20">
        <v>4104</v>
      </c>
      <c r="R118" s="20">
        <v>21126</v>
      </c>
      <c r="S118" s="20">
        <v>1406</v>
      </c>
      <c r="T118" s="20">
        <v>19265</v>
      </c>
      <c r="U118" s="20">
        <v>2486</v>
      </c>
      <c r="V118" s="20">
        <v>7</v>
      </c>
      <c r="W118" s="20">
        <f t="shared" si="3"/>
        <v>48394</v>
      </c>
      <c r="X118" s="36">
        <v>-25223</v>
      </c>
      <c r="Y118" s="36"/>
      <c r="Z118" s="36"/>
      <c r="AA118" s="36"/>
      <c r="AB118" s="36"/>
      <c r="AC118" s="36"/>
      <c r="AD118" s="36"/>
      <c r="AE118" s="36">
        <v>-7</v>
      </c>
      <c r="AF118" s="36">
        <v>-182</v>
      </c>
      <c r="AG118" s="36">
        <v>-1375</v>
      </c>
      <c r="AH118" s="36">
        <v>-21592</v>
      </c>
      <c r="AI118" s="20">
        <f t="shared" si="4"/>
        <v>-48379</v>
      </c>
      <c r="AJ118" s="20">
        <f t="shared" si="5"/>
        <v>15</v>
      </c>
    </row>
    <row r="119" spans="1:36" x14ac:dyDescent="0.2">
      <c r="A119" s="17" t="s">
        <v>4719</v>
      </c>
      <c r="B119" s="17">
        <v>36593</v>
      </c>
      <c r="Q119" s="20">
        <v>11349</v>
      </c>
      <c r="R119" s="20">
        <v>13851</v>
      </c>
      <c r="S119" s="20">
        <v>1363</v>
      </c>
      <c r="T119" s="20">
        <v>31103</v>
      </c>
      <c r="U119" s="20">
        <v>2478</v>
      </c>
      <c r="V119" s="20">
        <v>9</v>
      </c>
      <c r="W119" s="20">
        <f t="shared" si="3"/>
        <v>60153</v>
      </c>
      <c r="X119" s="36">
        <v>-25191</v>
      </c>
      <c r="Y119" s="36"/>
      <c r="Z119" s="36"/>
      <c r="AA119" s="36"/>
      <c r="AB119" s="36"/>
      <c r="AC119" s="36"/>
      <c r="AD119" s="36"/>
      <c r="AE119" s="36">
        <v>-9</v>
      </c>
      <c r="AF119" s="36">
        <v>-165</v>
      </c>
      <c r="AG119" s="36">
        <v>-1315</v>
      </c>
      <c r="AH119" s="36">
        <v>-33459</v>
      </c>
      <c r="AI119" s="20">
        <f t="shared" si="4"/>
        <v>-60139</v>
      </c>
      <c r="AJ119" s="20">
        <f t="shared" si="5"/>
        <v>14</v>
      </c>
    </row>
    <row r="120" spans="1:36" x14ac:dyDescent="0.2">
      <c r="A120" s="17" t="s">
        <v>4720</v>
      </c>
      <c r="B120" s="17">
        <v>36600</v>
      </c>
      <c r="Q120" s="20">
        <v>13155</v>
      </c>
      <c r="R120" s="20">
        <v>11985</v>
      </c>
      <c r="S120" s="20">
        <v>1358</v>
      </c>
      <c r="T120" s="20">
        <v>40997</v>
      </c>
      <c r="U120" s="20">
        <v>2508</v>
      </c>
      <c r="V120" s="20">
        <v>10</v>
      </c>
      <c r="W120" s="20">
        <f t="shared" si="3"/>
        <v>70013</v>
      </c>
      <c r="X120" s="36">
        <v>-25130</v>
      </c>
      <c r="Y120" s="36"/>
      <c r="Z120" s="36"/>
      <c r="AA120" s="36"/>
      <c r="AB120" s="36"/>
      <c r="AC120" s="36"/>
      <c r="AD120" s="36"/>
      <c r="AE120" s="36">
        <v>-10</v>
      </c>
      <c r="AF120" s="36">
        <v>-182</v>
      </c>
      <c r="AG120" s="36">
        <v>-1269</v>
      </c>
      <c r="AH120" s="36">
        <v>-43408</v>
      </c>
      <c r="AI120" s="20">
        <f t="shared" si="4"/>
        <v>-69999</v>
      </c>
      <c r="AJ120" s="20">
        <f t="shared" si="5"/>
        <v>14</v>
      </c>
    </row>
    <row r="121" spans="1:36" x14ac:dyDescent="0.2">
      <c r="A121" s="17" t="s">
        <v>4721</v>
      </c>
      <c r="B121" s="17">
        <v>36607</v>
      </c>
      <c r="Q121" s="20">
        <v>11116</v>
      </c>
      <c r="R121" s="20">
        <v>14024</v>
      </c>
      <c r="S121" s="20">
        <v>1380</v>
      </c>
      <c r="T121" s="20">
        <v>55927</v>
      </c>
      <c r="U121" s="20">
        <v>2508</v>
      </c>
      <c r="V121" s="20">
        <v>5</v>
      </c>
      <c r="W121" s="20">
        <f t="shared" si="3"/>
        <v>84960</v>
      </c>
      <c r="X121" s="36">
        <v>-25135</v>
      </c>
      <c r="Y121" s="36"/>
      <c r="Z121" s="36"/>
      <c r="AA121" s="36"/>
      <c r="AB121" s="36"/>
      <c r="AC121" s="36"/>
      <c r="AD121" s="36"/>
      <c r="AE121" s="36">
        <v>-5</v>
      </c>
      <c r="AF121" s="36">
        <v>-183</v>
      </c>
      <c r="AG121" s="36">
        <v>-1296</v>
      </c>
      <c r="AH121" s="36">
        <v>-58326</v>
      </c>
      <c r="AI121" s="20">
        <f t="shared" si="4"/>
        <v>-84945</v>
      </c>
      <c r="AJ121" s="20">
        <f t="shared" si="5"/>
        <v>15</v>
      </c>
    </row>
    <row r="122" spans="1:36" x14ac:dyDescent="0.2">
      <c r="A122" s="17" t="s">
        <v>4722</v>
      </c>
      <c r="B122" s="17">
        <v>36614</v>
      </c>
      <c r="Q122" s="20">
        <v>14850</v>
      </c>
      <c r="R122" s="20">
        <v>10460</v>
      </c>
      <c r="S122" s="20">
        <v>1380</v>
      </c>
      <c r="T122" s="20">
        <v>18998</v>
      </c>
      <c r="U122" s="20">
        <v>2559</v>
      </c>
      <c r="V122" s="20">
        <v>10</v>
      </c>
      <c r="W122" s="20">
        <f t="shared" si="3"/>
        <v>48257</v>
      </c>
      <c r="X122" s="36">
        <v>-25300</v>
      </c>
      <c r="Y122" s="36"/>
      <c r="Z122" s="36"/>
      <c r="AA122" s="36"/>
      <c r="AB122" s="36"/>
      <c r="AC122" s="36"/>
      <c r="AD122" s="36"/>
      <c r="AE122" s="36">
        <v>-10</v>
      </c>
      <c r="AF122" s="36">
        <v>-287</v>
      </c>
      <c r="AG122" s="36">
        <v>-1327</v>
      </c>
      <c r="AH122" s="36">
        <v>-21319</v>
      </c>
      <c r="AI122" s="20">
        <f t="shared" si="4"/>
        <v>-48243</v>
      </c>
      <c r="AJ122" s="20">
        <f t="shared" si="5"/>
        <v>14</v>
      </c>
    </row>
    <row r="123" spans="1:36" x14ac:dyDescent="0.2">
      <c r="A123" s="17" t="s">
        <v>4723</v>
      </c>
      <c r="B123" s="17">
        <v>36621</v>
      </c>
      <c r="Q123" s="20">
        <v>13519</v>
      </c>
      <c r="R123" s="20">
        <v>11861</v>
      </c>
      <c r="S123" s="20">
        <v>1376</v>
      </c>
      <c r="T123" s="20">
        <v>31556</v>
      </c>
      <c r="U123" s="20">
        <v>2487</v>
      </c>
      <c r="V123" s="20">
        <v>13</v>
      </c>
      <c r="W123" s="20">
        <f t="shared" si="3"/>
        <v>60812</v>
      </c>
      <c r="X123" s="36">
        <v>-25367</v>
      </c>
      <c r="Y123" s="36"/>
      <c r="Z123" s="36"/>
      <c r="AA123" s="36"/>
      <c r="AB123" s="36"/>
      <c r="AC123" s="36"/>
      <c r="AD123" s="36"/>
      <c r="AE123" s="36">
        <v>-13</v>
      </c>
      <c r="AF123" s="36">
        <v>-558</v>
      </c>
      <c r="AG123" s="36">
        <v>-1378</v>
      </c>
      <c r="AH123" s="36">
        <v>-33480</v>
      </c>
      <c r="AI123" s="20">
        <f t="shared" si="4"/>
        <v>-60796</v>
      </c>
      <c r="AJ123" s="20">
        <f t="shared" si="5"/>
        <v>16</v>
      </c>
    </row>
    <row r="124" spans="1:36" x14ac:dyDescent="0.2">
      <c r="A124" s="17" t="s">
        <v>4724</v>
      </c>
      <c r="B124" s="17">
        <v>36628</v>
      </c>
      <c r="Q124" s="20">
        <v>14535</v>
      </c>
      <c r="R124" s="20">
        <v>10865</v>
      </c>
      <c r="S124" s="20">
        <v>1376</v>
      </c>
      <c r="T124" s="20">
        <v>36251</v>
      </c>
      <c r="U124" s="20">
        <v>2477</v>
      </c>
      <c r="V124" s="20">
        <v>9</v>
      </c>
      <c r="W124" s="20">
        <f t="shared" si="3"/>
        <v>65513</v>
      </c>
      <c r="X124" s="36">
        <v>-25391</v>
      </c>
      <c r="Y124" s="36"/>
      <c r="Z124" s="36"/>
      <c r="AA124" s="36"/>
      <c r="AB124" s="36"/>
      <c r="AC124" s="36"/>
      <c r="AD124" s="36"/>
      <c r="AE124" s="36">
        <v>-9</v>
      </c>
      <c r="AF124" s="36">
        <v>-487</v>
      </c>
      <c r="AG124" s="36">
        <v>-1490</v>
      </c>
      <c r="AH124" s="36">
        <v>-38121</v>
      </c>
      <c r="AI124" s="20">
        <f t="shared" si="4"/>
        <v>-65498</v>
      </c>
      <c r="AJ124" s="20">
        <f t="shared" si="5"/>
        <v>15</v>
      </c>
    </row>
    <row r="125" spans="1:36" x14ac:dyDescent="0.2">
      <c r="A125" s="17" t="s">
        <v>4725</v>
      </c>
      <c r="B125" s="17">
        <v>36635</v>
      </c>
      <c r="Q125" s="20">
        <v>15695</v>
      </c>
      <c r="R125" s="20">
        <v>10515</v>
      </c>
      <c r="S125" s="20">
        <v>1376</v>
      </c>
      <c r="T125" s="20">
        <v>49710</v>
      </c>
      <c r="U125" s="20">
        <v>2462</v>
      </c>
      <c r="V125" s="20">
        <v>9</v>
      </c>
      <c r="W125" s="20">
        <f t="shared" si="3"/>
        <v>79767</v>
      </c>
      <c r="X125" s="36">
        <v>-26201</v>
      </c>
      <c r="Y125" s="36"/>
      <c r="Z125" s="36"/>
      <c r="AA125" s="36"/>
      <c r="AB125" s="36"/>
      <c r="AC125" s="36"/>
      <c r="AD125" s="36"/>
      <c r="AE125" s="36">
        <v>-9</v>
      </c>
      <c r="AF125" s="36">
        <v>-461</v>
      </c>
      <c r="AG125" s="36">
        <v>-1409</v>
      </c>
      <c r="AH125" s="36">
        <v>-51672</v>
      </c>
      <c r="AI125" s="20">
        <f t="shared" si="4"/>
        <v>-79752</v>
      </c>
      <c r="AJ125" s="20">
        <f t="shared" si="5"/>
        <v>15</v>
      </c>
    </row>
    <row r="126" spans="1:36" x14ac:dyDescent="0.2">
      <c r="A126" s="17" t="s">
        <v>4726</v>
      </c>
      <c r="B126" s="17">
        <v>36642</v>
      </c>
      <c r="Q126" s="20">
        <v>15520</v>
      </c>
      <c r="R126" s="20">
        <v>11180</v>
      </c>
      <c r="S126" s="20">
        <v>1376</v>
      </c>
      <c r="T126" s="20">
        <v>55692</v>
      </c>
      <c r="U126" s="20">
        <v>2407</v>
      </c>
      <c r="V126" s="20">
        <v>10</v>
      </c>
      <c r="W126" s="20">
        <f t="shared" si="3"/>
        <v>86185</v>
      </c>
      <c r="X126" s="36">
        <v>-26690</v>
      </c>
      <c r="Y126" s="36"/>
      <c r="Z126" s="36"/>
      <c r="AA126" s="36"/>
      <c r="AB126" s="36"/>
      <c r="AC126" s="36"/>
      <c r="AD126" s="36"/>
      <c r="AE126" s="36">
        <v>-10</v>
      </c>
      <c r="AF126" s="36">
        <v>-336</v>
      </c>
      <c r="AG126" s="36">
        <v>-1326</v>
      </c>
      <c r="AH126" s="36">
        <v>-57808</v>
      </c>
      <c r="AI126" s="20">
        <f t="shared" si="4"/>
        <v>-86170</v>
      </c>
      <c r="AJ126" s="20">
        <f t="shared" si="5"/>
        <v>15</v>
      </c>
    </row>
    <row r="127" spans="1:36" x14ac:dyDescent="0.2">
      <c r="A127" s="17" t="s">
        <v>4727</v>
      </c>
      <c r="B127" s="17">
        <v>36649</v>
      </c>
      <c r="Q127" s="20">
        <v>13520</v>
      </c>
      <c r="R127" s="20">
        <v>12780</v>
      </c>
      <c r="S127" s="20">
        <v>1376</v>
      </c>
      <c r="T127" s="20">
        <v>23136</v>
      </c>
      <c r="U127" s="20">
        <v>2372</v>
      </c>
      <c r="V127" s="20">
        <v>3</v>
      </c>
      <c r="W127" s="20">
        <f t="shared" si="3"/>
        <v>53187</v>
      </c>
      <c r="X127" s="36">
        <v>-26297</v>
      </c>
      <c r="Y127" s="36"/>
      <c r="Z127" s="36"/>
      <c r="AA127" s="36"/>
      <c r="AB127" s="36"/>
      <c r="AC127" s="36"/>
      <c r="AD127" s="36"/>
      <c r="AE127" s="36">
        <v>-3</v>
      </c>
      <c r="AF127" s="36">
        <v>-411</v>
      </c>
      <c r="AG127" s="36">
        <v>-1346</v>
      </c>
      <c r="AH127" s="36">
        <v>-25115</v>
      </c>
      <c r="AI127" s="20">
        <f t="shared" si="4"/>
        <v>-53172</v>
      </c>
      <c r="AJ127" s="20">
        <f t="shared" si="5"/>
        <v>15</v>
      </c>
    </row>
    <row r="128" spans="1:36" x14ac:dyDescent="0.2">
      <c r="A128" s="17" t="s">
        <v>4728</v>
      </c>
      <c r="B128" s="17">
        <v>36656</v>
      </c>
      <c r="Q128" s="20">
        <v>13521</v>
      </c>
      <c r="R128" s="20">
        <v>12059</v>
      </c>
      <c r="S128" s="20">
        <v>1376</v>
      </c>
      <c r="T128" s="20">
        <v>28468</v>
      </c>
      <c r="U128" s="20">
        <v>2663</v>
      </c>
      <c r="V128" s="20">
        <v>11</v>
      </c>
      <c r="W128" s="20">
        <f t="shared" si="3"/>
        <v>58098</v>
      </c>
      <c r="X128" s="36">
        <v>-25569</v>
      </c>
      <c r="Y128" s="36"/>
      <c r="Z128" s="36"/>
      <c r="AA128" s="36"/>
      <c r="AB128" s="36"/>
      <c r="AC128" s="36"/>
      <c r="AD128" s="36"/>
      <c r="AE128" s="36">
        <v>-11</v>
      </c>
      <c r="AF128" s="36">
        <v>-319</v>
      </c>
      <c r="AG128" s="36">
        <v>-1388</v>
      </c>
      <c r="AH128" s="36">
        <v>-30797</v>
      </c>
      <c r="AI128" s="20">
        <f t="shared" si="4"/>
        <v>-58084</v>
      </c>
      <c r="AJ128" s="20">
        <f t="shared" si="5"/>
        <v>14</v>
      </c>
    </row>
    <row r="129" spans="1:36" x14ac:dyDescent="0.2">
      <c r="A129" s="17" t="s">
        <v>4729</v>
      </c>
      <c r="B129" s="17">
        <v>36663</v>
      </c>
      <c r="Q129" s="20">
        <v>13521</v>
      </c>
      <c r="R129" s="20">
        <v>12019</v>
      </c>
      <c r="S129" s="20">
        <v>1387</v>
      </c>
      <c r="T129" s="20">
        <v>39831</v>
      </c>
      <c r="U129" s="20">
        <v>2621</v>
      </c>
      <c r="V129" s="20">
        <v>6</v>
      </c>
      <c r="W129" s="20">
        <f t="shared" si="3"/>
        <v>69385</v>
      </c>
      <c r="X129" s="36">
        <v>-25534</v>
      </c>
      <c r="Y129" s="36"/>
      <c r="Z129" s="36"/>
      <c r="AA129" s="36"/>
      <c r="AB129" s="36"/>
      <c r="AC129" s="36"/>
      <c r="AD129" s="36"/>
      <c r="AE129" s="36">
        <v>-6</v>
      </c>
      <c r="AF129" s="36">
        <v>-427</v>
      </c>
      <c r="AG129" s="36">
        <v>-1301</v>
      </c>
      <c r="AH129" s="36">
        <v>-42103</v>
      </c>
      <c r="AI129" s="20">
        <f t="shared" si="4"/>
        <v>-69371</v>
      </c>
      <c r="AJ129" s="20">
        <f t="shared" si="5"/>
        <v>14</v>
      </c>
    </row>
    <row r="130" spans="1:36" x14ac:dyDescent="0.2">
      <c r="A130" s="17" t="s">
        <v>4730</v>
      </c>
      <c r="B130" s="17">
        <v>36670</v>
      </c>
      <c r="Q130" s="20">
        <v>13608</v>
      </c>
      <c r="R130" s="20">
        <v>12262</v>
      </c>
      <c r="S130" s="20">
        <v>1409</v>
      </c>
      <c r="T130" s="20">
        <v>49110</v>
      </c>
      <c r="U130" s="20">
        <v>2571</v>
      </c>
      <c r="V130" s="20">
        <v>9</v>
      </c>
      <c r="W130" s="20">
        <f t="shared" si="3"/>
        <v>78969</v>
      </c>
      <c r="X130" s="36">
        <v>-25861</v>
      </c>
      <c r="Y130" s="36"/>
      <c r="Z130" s="36"/>
      <c r="AA130" s="36"/>
      <c r="AB130" s="36"/>
      <c r="AC130" s="36"/>
      <c r="AD130" s="36"/>
      <c r="AE130" s="36">
        <v>-9</v>
      </c>
      <c r="AF130" s="36">
        <v>-380</v>
      </c>
      <c r="AG130" s="36">
        <v>-1375</v>
      </c>
      <c r="AH130" s="36">
        <v>-51329</v>
      </c>
      <c r="AI130" s="20">
        <f t="shared" si="4"/>
        <v>-78954</v>
      </c>
      <c r="AJ130" s="20">
        <f t="shared" si="5"/>
        <v>15</v>
      </c>
    </row>
    <row r="131" spans="1:36" x14ac:dyDescent="0.2">
      <c r="A131" s="17" t="s">
        <v>4731</v>
      </c>
      <c r="B131" s="17">
        <v>36677</v>
      </c>
      <c r="Q131" s="20">
        <v>13521</v>
      </c>
      <c r="R131" s="20">
        <v>12869</v>
      </c>
      <c r="S131" s="20">
        <v>1409</v>
      </c>
      <c r="T131" s="20">
        <v>25548</v>
      </c>
      <c r="U131" s="20">
        <v>2531</v>
      </c>
      <c r="V131" s="20">
        <v>4</v>
      </c>
      <c r="W131" s="20">
        <f t="shared" si="3"/>
        <v>55882</v>
      </c>
      <c r="X131" s="36">
        <v>-26386</v>
      </c>
      <c r="Y131" s="36"/>
      <c r="Z131" s="36"/>
      <c r="AA131" s="36"/>
      <c r="AB131" s="36"/>
      <c r="AC131" s="36"/>
      <c r="AD131" s="36"/>
      <c r="AE131" s="36">
        <v>-4</v>
      </c>
      <c r="AF131" s="36">
        <v>-388</v>
      </c>
      <c r="AG131" s="36">
        <v>-1406</v>
      </c>
      <c r="AH131" s="36">
        <v>-27683</v>
      </c>
      <c r="AI131" s="20">
        <f t="shared" si="4"/>
        <v>-55867</v>
      </c>
      <c r="AJ131" s="20">
        <f t="shared" si="5"/>
        <v>15</v>
      </c>
    </row>
    <row r="132" spans="1:36" x14ac:dyDescent="0.2">
      <c r="A132" s="17" t="s">
        <v>4732</v>
      </c>
      <c r="B132" s="17">
        <v>36684</v>
      </c>
      <c r="Q132" s="20">
        <v>13521</v>
      </c>
      <c r="R132" s="20">
        <v>12359</v>
      </c>
      <c r="S132" s="20">
        <v>1408</v>
      </c>
      <c r="T132" s="20">
        <v>39078</v>
      </c>
      <c r="U132" s="20">
        <v>2788</v>
      </c>
      <c r="V132" s="20">
        <v>12</v>
      </c>
      <c r="W132" s="20">
        <f t="shared" si="3"/>
        <v>69166</v>
      </c>
      <c r="X132" s="36">
        <v>-25868</v>
      </c>
      <c r="Y132" s="36"/>
      <c r="Z132" s="36"/>
      <c r="AA132" s="36"/>
      <c r="AB132" s="36"/>
      <c r="AC132" s="36"/>
      <c r="AD132" s="36"/>
      <c r="AE132" s="36">
        <v>-12</v>
      </c>
      <c r="AF132" s="36">
        <v>-452</v>
      </c>
      <c r="AG132" s="36">
        <v>-1383</v>
      </c>
      <c r="AH132" s="36">
        <v>-41437</v>
      </c>
      <c r="AI132" s="20">
        <f t="shared" si="4"/>
        <v>-69152</v>
      </c>
      <c r="AJ132" s="20">
        <f t="shared" si="5"/>
        <v>14</v>
      </c>
    </row>
    <row r="133" spans="1:36" x14ac:dyDescent="0.2">
      <c r="A133" s="17" t="s">
        <v>4733</v>
      </c>
      <c r="B133" s="17">
        <v>36691</v>
      </c>
      <c r="Q133" s="20">
        <v>13521</v>
      </c>
      <c r="R133" s="20">
        <v>12329</v>
      </c>
      <c r="S133" s="20">
        <v>1408</v>
      </c>
      <c r="T133" s="20">
        <v>50642</v>
      </c>
      <c r="U133" s="20">
        <v>2711</v>
      </c>
      <c r="V133" s="20">
        <v>5</v>
      </c>
      <c r="W133" s="20">
        <f t="shared" si="3"/>
        <v>80616</v>
      </c>
      <c r="X133" s="36">
        <v>-25845</v>
      </c>
      <c r="Y133" s="36"/>
      <c r="Z133" s="36"/>
      <c r="AA133" s="36"/>
      <c r="AB133" s="36"/>
      <c r="AC133" s="36"/>
      <c r="AD133" s="36"/>
      <c r="AE133" s="36">
        <v>-5</v>
      </c>
      <c r="AF133" s="36">
        <v>-410</v>
      </c>
      <c r="AG133" s="36">
        <v>-1405</v>
      </c>
      <c r="AH133" s="36">
        <v>-52935</v>
      </c>
      <c r="AI133" s="20">
        <f t="shared" si="4"/>
        <v>-80600</v>
      </c>
      <c r="AJ133" s="20">
        <f t="shared" si="5"/>
        <v>16</v>
      </c>
    </row>
    <row r="134" spans="1:36" x14ac:dyDescent="0.2">
      <c r="A134" s="17" t="s">
        <v>4734</v>
      </c>
      <c r="B134" s="17">
        <v>36698</v>
      </c>
      <c r="Q134" s="20">
        <v>13532</v>
      </c>
      <c r="R134" s="20">
        <v>12368</v>
      </c>
      <c r="S134" s="20">
        <v>1408</v>
      </c>
      <c r="T134" s="20">
        <v>60060</v>
      </c>
      <c r="U134" s="20">
        <v>2738</v>
      </c>
      <c r="V134" s="20">
        <v>4</v>
      </c>
      <c r="W134" s="20">
        <f t="shared" si="3"/>
        <v>90110</v>
      </c>
      <c r="X134" s="36">
        <v>-25896</v>
      </c>
      <c r="Y134" s="36"/>
      <c r="Z134" s="36"/>
      <c r="AA134" s="36"/>
      <c r="AB134" s="36"/>
      <c r="AC134" s="36"/>
      <c r="AD134" s="36"/>
      <c r="AE134" s="36">
        <v>-4</v>
      </c>
      <c r="AF134" s="36">
        <v>-404</v>
      </c>
      <c r="AG134" s="36">
        <v>-1492</v>
      </c>
      <c r="AH134" s="36">
        <v>-62299</v>
      </c>
      <c r="AI134" s="20">
        <f t="shared" si="4"/>
        <v>-90095</v>
      </c>
      <c r="AJ134" s="20">
        <f t="shared" si="5"/>
        <v>15</v>
      </c>
    </row>
    <row r="135" spans="1:36" x14ac:dyDescent="0.2">
      <c r="A135" s="17" t="s">
        <v>4735</v>
      </c>
      <c r="B135" s="17">
        <v>36705</v>
      </c>
      <c r="Q135" s="20">
        <v>13649</v>
      </c>
      <c r="R135" s="20">
        <v>12351</v>
      </c>
      <c r="S135" s="20">
        <v>1430</v>
      </c>
      <c r="T135" s="20">
        <v>24447</v>
      </c>
      <c r="U135" s="20">
        <v>2581</v>
      </c>
      <c r="V135" s="20">
        <v>6</v>
      </c>
      <c r="W135" s="20">
        <f t="shared" ref="W135:W198" si="6">SUM(Q135:V135)</f>
        <v>54464</v>
      </c>
      <c r="X135" s="36">
        <v>-25994</v>
      </c>
      <c r="Y135" s="36"/>
      <c r="Z135" s="36"/>
      <c r="AA135" s="36"/>
      <c r="AB135" s="36"/>
      <c r="AC135" s="36"/>
      <c r="AD135" s="36"/>
      <c r="AE135" s="36">
        <v>-6</v>
      </c>
      <c r="AF135" s="36">
        <v>-452</v>
      </c>
      <c r="AG135" s="36">
        <v>-1463</v>
      </c>
      <c r="AH135" s="36">
        <v>-26534</v>
      </c>
      <c r="AI135" s="20">
        <f t="shared" ref="AI135:AI198" si="7">SUM(X135,AE135:AH135)</f>
        <v>-54449</v>
      </c>
      <c r="AJ135" s="20">
        <f t="shared" ref="AJ135:AJ198" si="8">W135+AI135</f>
        <v>15</v>
      </c>
    </row>
    <row r="136" spans="1:36" x14ac:dyDescent="0.2">
      <c r="A136" s="17" t="s">
        <v>4736</v>
      </c>
      <c r="B136" s="17">
        <v>36712</v>
      </c>
      <c r="Q136" s="20">
        <v>13522</v>
      </c>
      <c r="R136" s="20">
        <v>12528</v>
      </c>
      <c r="S136" s="20">
        <v>1430</v>
      </c>
      <c r="T136" s="20">
        <v>34007</v>
      </c>
      <c r="U136" s="20">
        <v>2565</v>
      </c>
      <c r="V136" s="20">
        <v>6</v>
      </c>
      <c r="W136" s="20">
        <f t="shared" si="6"/>
        <v>64058</v>
      </c>
      <c r="X136" s="36">
        <v>-26044</v>
      </c>
      <c r="Y136" s="36"/>
      <c r="Z136" s="36"/>
      <c r="AA136" s="36"/>
      <c r="AB136" s="36"/>
      <c r="AC136" s="36"/>
      <c r="AD136" s="36"/>
      <c r="AE136" s="36">
        <v>-6</v>
      </c>
      <c r="AF136" s="36">
        <v>-452</v>
      </c>
      <c r="AG136" s="36">
        <v>-1432</v>
      </c>
      <c r="AH136" s="36">
        <v>-36109</v>
      </c>
      <c r="AI136" s="20">
        <f t="shared" si="7"/>
        <v>-64043</v>
      </c>
      <c r="AJ136" s="20">
        <f t="shared" si="8"/>
        <v>15</v>
      </c>
    </row>
    <row r="137" spans="1:36" x14ac:dyDescent="0.2">
      <c r="A137" s="17" t="s">
        <v>4737</v>
      </c>
      <c r="B137" s="17">
        <v>36719</v>
      </c>
      <c r="Q137" s="20">
        <v>13566</v>
      </c>
      <c r="R137" s="20">
        <v>12524</v>
      </c>
      <c r="S137" s="20">
        <v>1454</v>
      </c>
      <c r="T137" s="20">
        <v>46646</v>
      </c>
      <c r="U137" s="20">
        <v>2984</v>
      </c>
      <c r="V137" s="20">
        <v>7</v>
      </c>
      <c r="W137" s="20">
        <f t="shared" si="6"/>
        <v>77181</v>
      </c>
      <c r="X137" s="36">
        <v>-26083</v>
      </c>
      <c r="Y137" s="36"/>
      <c r="Z137" s="36"/>
      <c r="AA137" s="36"/>
      <c r="AB137" s="36"/>
      <c r="AC137" s="36"/>
      <c r="AD137" s="36"/>
      <c r="AE137" s="36">
        <v>-7</v>
      </c>
      <c r="AF137" s="36">
        <v>-427</v>
      </c>
      <c r="AG137" s="36">
        <v>-1428</v>
      </c>
      <c r="AH137" s="36">
        <v>-49223</v>
      </c>
      <c r="AI137" s="20">
        <f t="shared" si="7"/>
        <v>-77168</v>
      </c>
      <c r="AJ137" s="20">
        <f t="shared" si="8"/>
        <v>13</v>
      </c>
    </row>
    <row r="138" spans="1:36" x14ac:dyDescent="0.2">
      <c r="A138" s="17" t="s">
        <v>4738</v>
      </c>
      <c r="B138" s="17">
        <v>36726</v>
      </c>
      <c r="Q138" s="20">
        <v>13566</v>
      </c>
      <c r="R138" s="20">
        <v>12524</v>
      </c>
      <c r="S138" s="20">
        <v>1431</v>
      </c>
      <c r="T138" s="20">
        <v>56604</v>
      </c>
      <c r="U138" s="20">
        <v>2670</v>
      </c>
      <c r="V138" s="20">
        <v>6</v>
      </c>
      <c r="W138" s="20">
        <f t="shared" si="6"/>
        <v>86801</v>
      </c>
      <c r="X138" s="36">
        <v>-26084</v>
      </c>
      <c r="Y138" s="36"/>
      <c r="Z138" s="36"/>
      <c r="AA138" s="36"/>
      <c r="AB138" s="36"/>
      <c r="AC138" s="36"/>
      <c r="AD138" s="36"/>
      <c r="AE138" s="36">
        <v>-6</v>
      </c>
      <c r="AF138" s="36">
        <v>-455</v>
      </c>
      <c r="AG138" s="36">
        <v>-1352</v>
      </c>
      <c r="AH138" s="36">
        <v>-58890</v>
      </c>
      <c r="AI138" s="20">
        <f t="shared" si="7"/>
        <v>-86787</v>
      </c>
      <c r="AJ138" s="20">
        <f t="shared" si="8"/>
        <v>14</v>
      </c>
    </row>
    <row r="139" spans="1:36" x14ac:dyDescent="0.2">
      <c r="A139" s="17" t="s">
        <v>4739</v>
      </c>
      <c r="B139" s="17">
        <v>36733</v>
      </c>
      <c r="Q139" s="20">
        <v>13493</v>
      </c>
      <c r="R139" s="20">
        <v>12807</v>
      </c>
      <c r="S139" s="20">
        <v>1431</v>
      </c>
      <c r="T139" s="20">
        <v>17232</v>
      </c>
      <c r="U139" s="20">
        <v>2517</v>
      </c>
      <c r="V139" s="20">
        <v>11</v>
      </c>
      <c r="W139" s="20">
        <f t="shared" si="6"/>
        <v>47491</v>
      </c>
      <c r="X139" s="36">
        <v>-26289</v>
      </c>
      <c r="Y139" s="36"/>
      <c r="Z139" s="36"/>
      <c r="AA139" s="36"/>
      <c r="AB139" s="36"/>
      <c r="AC139" s="36"/>
      <c r="AD139" s="36"/>
      <c r="AE139" s="36">
        <v>-11</v>
      </c>
      <c r="AF139" s="36">
        <v>-464</v>
      </c>
      <c r="AG139" s="36">
        <v>-1421</v>
      </c>
      <c r="AH139" s="36">
        <v>-19291</v>
      </c>
      <c r="AI139" s="20">
        <f t="shared" si="7"/>
        <v>-47476</v>
      </c>
      <c r="AJ139" s="20">
        <f t="shared" si="8"/>
        <v>15</v>
      </c>
    </row>
    <row r="140" spans="1:36" x14ac:dyDescent="0.2">
      <c r="A140" s="17" t="s">
        <v>4740</v>
      </c>
      <c r="B140" s="17">
        <v>36740</v>
      </c>
      <c r="Q140" s="20">
        <v>13493</v>
      </c>
      <c r="R140" s="20">
        <v>13087</v>
      </c>
      <c r="S140" s="20">
        <v>1453</v>
      </c>
      <c r="T140" s="20">
        <v>31706</v>
      </c>
      <c r="U140" s="20">
        <v>2612</v>
      </c>
      <c r="V140" s="20">
        <v>6</v>
      </c>
      <c r="W140" s="20">
        <f t="shared" si="6"/>
        <v>62357</v>
      </c>
      <c r="X140" s="36">
        <v>-26574</v>
      </c>
      <c r="Y140" s="36"/>
      <c r="Z140" s="36"/>
      <c r="AA140" s="36"/>
      <c r="AB140" s="36"/>
      <c r="AC140" s="36"/>
      <c r="AD140" s="36"/>
      <c r="AE140" s="36">
        <v>-6</v>
      </c>
      <c r="AF140" s="36">
        <v>-399</v>
      </c>
      <c r="AG140" s="36">
        <v>-1449</v>
      </c>
      <c r="AH140" s="36">
        <v>-33915</v>
      </c>
      <c r="AI140" s="20">
        <f t="shared" si="7"/>
        <v>-62343</v>
      </c>
      <c r="AJ140" s="20">
        <f t="shared" si="8"/>
        <v>14</v>
      </c>
    </row>
    <row r="141" spans="1:36" x14ac:dyDescent="0.2">
      <c r="A141" s="17" t="s">
        <v>4741</v>
      </c>
      <c r="B141" s="17">
        <v>36747</v>
      </c>
      <c r="Q141" s="20">
        <v>13643</v>
      </c>
      <c r="R141" s="20">
        <v>12747</v>
      </c>
      <c r="S141" s="20">
        <v>1453</v>
      </c>
      <c r="T141" s="20">
        <v>42818</v>
      </c>
      <c r="U141" s="20">
        <v>2516</v>
      </c>
      <c r="V141" s="20">
        <v>12</v>
      </c>
      <c r="W141" s="20">
        <f t="shared" si="6"/>
        <v>73189</v>
      </c>
      <c r="X141" s="36">
        <v>-26378</v>
      </c>
      <c r="Y141" s="36"/>
      <c r="Z141" s="36"/>
      <c r="AA141" s="36"/>
      <c r="AB141" s="36"/>
      <c r="AC141" s="36"/>
      <c r="AD141" s="36"/>
      <c r="AE141" s="36">
        <v>-12</v>
      </c>
      <c r="AF141" s="36">
        <v>-395</v>
      </c>
      <c r="AG141" s="36">
        <v>-1429</v>
      </c>
      <c r="AH141" s="36">
        <v>-44961</v>
      </c>
      <c r="AI141" s="20">
        <f t="shared" si="7"/>
        <v>-73175</v>
      </c>
      <c r="AJ141" s="20">
        <f t="shared" si="8"/>
        <v>14</v>
      </c>
    </row>
    <row r="142" spans="1:36" x14ac:dyDescent="0.2">
      <c r="A142" s="17" t="s">
        <v>4742</v>
      </c>
      <c r="B142" s="17">
        <v>36754</v>
      </c>
      <c r="Q142" s="20">
        <v>13494</v>
      </c>
      <c r="R142" s="20">
        <v>12876</v>
      </c>
      <c r="S142" s="20">
        <v>1464</v>
      </c>
      <c r="T142" s="20">
        <v>50968</v>
      </c>
      <c r="U142" s="20">
        <v>2469</v>
      </c>
      <c r="V142" s="20">
        <v>11</v>
      </c>
      <c r="W142" s="20">
        <f t="shared" si="6"/>
        <v>81282</v>
      </c>
      <c r="X142" s="36">
        <v>-26359</v>
      </c>
      <c r="Y142" s="36"/>
      <c r="Z142" s="36"/>
      <c r="AA142" s="36"/>
      <c r="AB142" s="36"/>
      <c r="AC142" s="36"/>
      <c r="AD142" s="36"/>
      <c r="AE142" s="36">
        <v>-11</v>
      </c>
      <c r="AF142" s="36">
        <v>-401</v>
      </c>
      <c r="AG142" s="36">
        <v>-1425</v>
      </c>
      <c r="AH142" s="36">
        <v>-53071</v>
      </c>
      <c r="AI142" s="20">
        <f t="shared" si="7"/>
        <v>-81267</v>
      </c>
      <c r="AJ142" s="20">
        <f t="shared" si="8"/>
        <v>15</v>
      </c>
    </row>
    <row r="143" spans="1:36" x14ac:dyDescent="0.2">
      <c r="A143" s="17" t="s">
        <v>4743</v>
      </c>
      <c r="B143" s="17">
        <v>36761</v>
      </c>
      <c r="Q143" s="20">
        <v>13494</v>
      </c>
      <c r="R143" s="20">
        <v>13086</v>
      </c>
      <c r="S143" s="20">
        <v>1477</v>
      </c>
      <c r="T143" s="20">
        <v>57903</v>
      </c>
      <c r="U143" s="20">
        <v>2464</v>
      </c>
      <c r="V143" s="20">
        <v>3</v>
      </c>
      <c r="W143" s="20">
        <f t="shared" si="6"/>
        <v>88427</v>
      </c>
      <c r="X143" s="36">
        <v>-26577</v>
      </c>
      <c r="Y143" s="36"/>
      <c r="Z143" s="36"/>
      <c r="AA143" s="36"/>
      <c r="AB143" s="36"/>
      <c r="AC143" s="36"/>
      <c r="AD143" s="36"/>
      <c r="AE143" s="36">
        <v>-3</v>
      </c>
      <c r="AF143" s="36">
        <v>-371</v>
      </c>
      <c r="AG143" s="36">
        <v>-1436</v>
      </c>
      <c r="AH143" s="36">
        <v>-60026</v>
      </c>
      <c r="AI143" s="20">
        <f t="shared" si="7"/>
        <v>-88413</v>
      </c>
      <c r="AJ143" s="20">
        <f t="shared" si="8"/>
        <v>14</v>
      </c>
    </row>
    <row r="144" spans="1:36" x14ac:dyDescent="0.2">
      <c r="A144" s="17" t="s">
        <v>4744</v>
      </c>
      <c r="B144" s="17">
        <v>36768</v>
      </c>
      <c r="Q144" s="20">
        <v>13494</v>
      </c>
      <c r="R144" s="20">
        <v>13816</v>
      </c>
      <c r="S144" s="20">
        <v>1477</v>
      </c>
      <c r="T144" s="20">
        <v>17375</v>
      </c>
      <c r="U144" s="20">
        <v>2502</v>
      </c>
      <c r="V144" s="20">
        <v>10</v>
      </c>
      <c r="W144" s="20">
        <f t="shared" si="6"/>
        <v>48674</v>
      </c>
      <c r="X144" s="36">
        <v>-27300</v>
      </c>
      <c r="Y144" s="36"/>
      <c r="Z144" s="36"/>
      <c r="AA144" s="36"/>
      <c r="AB144" s="36"/>
      <c r="AC144" s="36"/>
      <c r="AD144" s="36"/>
      <c r="AE144" s="36">
        <v>-10</v>
      </c>
      <c r="AF144" s="36">
        <v>-355</v>
      </c>
      <c r="AG144" s="36">
        <v>-1394</v>
      </c>
      <c r="AH144" s="36">
        <v>-19599</v>
      </c>
      <c r="AI144" s="20">
        <f t="shared" si="7"/>
        <v>-48658</v>
      </c>
      <c r="AJ144" s="20">
        <f t="shared" si="8"/>
        <v>16</v>
      </c>
    </row>
    <row r="145" spans="1:36" x14ac:dyDescent="0.2">
      <c r="A145" s="17" t="s">
        <v>4745</v>
      </c>
      <c r="B145" s="17">
        <v>36775</v>
      </c>
      <c r="Q145" s="20">
        <v>13493</v>
      </c>
      <c r="R145" s="20">
        <v>13117</v>
      </c>
      <c r="S145" s="20">
        <v>1490</v>
      </c>
      <c r="T145" s="20">
        <v>32521</v>
      </c>
      <c r="U145" s="20">
        <v>2481</v>
      </c>
      <c r="V145" s="20">
        <v>4</v>
      </c>
      <c r="W145" s="20">
        <f t="shared" si="6"/>
        <v>63106</v>
      </c>
      <c r="X145" s="36">
        <v>-26606</v>
      </c>
      <c r="Y145" s="36"/>
      <c r="Z145" s="36"/>
      <c r="AA145" s="36"/>
      <c r="AB145" s="36"/>
      <c r="AC145" s="36"/>
      <c r="AD145" s="36"/>
      <c r="AE145" s="36">
        <v>-4</v>
      </c>
      <c r="AF145" s="36">
        <v>-406</v>
      </c>
      <c r="AG145" s="36">
        <v>-1418</v>
      </c>
      <c r="AH145" s="36">
        <v>-34659</v>
      </c>
      <c r="AI145" s="20">
        <f t="shared" si="7"/>
        <v>-63093</v>
      </c>
      <c r="AJ145" s="20">
        <f t="shared" si="8"/>
        <v>13</v>
      </c>
    </row>
    <row r="146" spans="1:36" x14ac:dyDescent="0.2">
      <c r="A146" s="17" t="s">
        <v>4746</v>
      </c>
      <c r="B146" s="17">
        <v>36782</v>
      </c>
      <c r="Q146" s="20">
        <v>13528</v>
      </c>
      <c r="R146" s="20">
        <v>13122</v>
      </c>
      <c r="S146" s="20">
        <v>1503</v>
      </c>
      <c r="T146" s="20">
        <v>42749</v>
      </c>
      <c r="U146" s="20">
        <v>2567</v>
      </c>
      <c r="V146" s="20">
        <v>9</v>
      </c>
      <c r="W146" s="20">
        <f t="shared" si="6"/>
        <v>73478</v>
      </c>
      <c r="X146" s="36">
        <v>-26641</v>
      </c>
      <c r="Y146" s="36"/>
      <c r="Z146" s="36"/>
      <c r="AA146" s="36"/>
      <c r="AB146" s="36"/>
      <c r="AC146" s="36"/>
      <c r="AD146" s="36"/>
      <c r="AE146" s="36">
        <v>-9</v>
      </c>
      <c r="AF146" s="36">
        <v>-394</v>
      </c>
      <c r="AG146" s="36">
        <v>-1397</v>
      </c>
      <c r="AH146" s="36">
        <v>-45022</v>
      </c>
      <c r="AI146" s="20">
        <f t="shared" si="7"/>
        <v>-73463</v>
      </c>
      <c r="AJ146" s="20">
        <f t="shared" si="8"/>
        <v>15</v>
      </c>
    </row>
    <row r="147" spans="1:36" x14ac:dyDescent="0.2">
      <c r="A147" s="17" t="s">
        <v>4747</v>
      </c>
      <c r="B147" s="17">
        <v>36789</v>
      </c>
      <c r="Q147" s="20">
        <v>13493</v>
      </c>
      <c r="R147" s="20">
        <v>13567</v>
      </c>
      <c r="S147" s="20">
        <v>1581</v>
      </c>
      <c r="T147" s="20">
        <v>53271</v>
      </c>
      <c r="U147" s="20">
        <v>3070</v>
      </c>
      <c r="V147" s="20">
        <v>7</v>
      </c>
      <c r="W147" s="20">
        <f t="shared" si="6"/>
        <v>84989</v>
      </c>
      <c r="X147" s="36">
        <v>-27053</v>
      </c>
      <c r="Y147" s="36"/>
      <c r="Z147" s="36"/>
      <c r="AA147" s="36"/>
      <c r="AB147" s="36"/>
      <c r="AC147" s="36"/>
      <c r="AD147" s="36"/>
      <c r="AE147" s="36">
        <v>-7</v>
      </c>
      <c r="AF147" s="36">
        <v>-395</v>
      </c>
      <c r="AG147" s="36">
        <v>-1416</v>
      </c>
      <c r="AH147" s="36">
        <v>-56103</v>
      </c>
      <c r="AI147" s="20">
        <f t="shared" si="7"/>
        <v>-84974</v>
      </c>
      <c r="AJ147" s="20">
        <f t="shared" si="8"/>
        <v>15</v>
      </c>
    </row>
    <row r="148" spans="1:36" x14ac:dyDescent="0.2">
      <c r="A148" s="17" t="s">
        <v>4748</v>
      </c>
      <c r="B148" s="17">
        <v>36796</v>
      </c>
      <c r="Q148" s="20">
        <v>13493</v>
      </c>
      <c r="R148" s="20">
        <v>13207</v>
      </c>
      <c r="S148" s="20">
        <v>1503</v>
      </c>
      <c r="T148" s="20">
        <v>19184</v>
      </c>
      <c r="U148" s="20">
        <v>2792</v>
      </c>
      <c r="V148" s="20">
        <v>10</v>
      </c>
      <c r="W148" s="20">
        <f t="shared" si="6"/>
        <v>50189</v>
      </c>
      <c r="X148" s="36">
        <v>-26690</v>
      </c>
      <c r="Y148" s="36"/>
      <c r="Z148" s="36"/>
      <c r="AA148" s="36"/>
      <c r="AB148" s="36"/>
      <c r="AC148" s="36"/>
      <c r="AD148" s="36"/>
      <c r="AE148" s="36">
        <v>-10</v>
      </c>
      <c r="AF148" s="36">
        <v>-392</v>
      </c>
      <c r="AG148" s="36">
        <v>-1494</v>
      </c>
      <c r="AH148" s="36">
        <v>-21589</v>
      </c>
      <c r="AI148" s="20">
        <f t="shared" si="7"/>
        <v>-50175</v>
      </c>
      <c r="AJ148" s="20">
        <f t="shared" si="8"/>
        <v>14</v>
      </c>
    </row>
    <row r="149" spans="1:36" x14ac:dyDescent="0.2">
      <c r="A149" s="17" t="s">
        <v>4749</v>
      </c>
      <c r="B149" s="17">
        <v>36803</v>
      </c>
      <c r="Q149" s="20">
        <v>13503</v>
      </c>
      <c r="R149" s="20">
        <v>13367</v>
      </c>
      <c r="S149" s="20">
        <v>1502</v>
      </c>
      <c r="T149" s="20">
        <v>25873</v>
      </c>
      <c r="U149" s="20">
        <v>2451</v>
      </c>
      <c r="V149" s="20">
        <v>5</v>
      </c>
      <c r="W149" s="20">
        <f t="shared" si="6"/>
        <v>56701</v>
      </c>
      <c r="X149" s="36">
        <v>-26865</v>
      </c>
      <c r="Y149" s="36"/>
      <c r="Z149" s="36"/>
      <c r="AA149" s="36"/>
      <c r="AB149" s="36"/>
      <c r="AC149" s="36"/>
      <c r="AD149" s="36"/>
      <c r="AE149" s="36">
        <v>-5</v>
      </c>
      <c r="AF149" s="36">
        <v>-431</v>
      </c>
      <c r="AG149" s="36">
        <v>-1414</v>
      </c>
      <c r="AH149" s="36">
        <v>-27972</v>
      </c>
      <c r="AI149" s="20">
        <f t="shared" si="7"/>
        <v>-56687</v>
      </c>
      <c r="AJ149" s="20">
        <f t="shared" si="8"/>
        <v>14</v>
      </c>
    </row>
    <row r="150" spans="1:36" x14ac:dyDescent="0.2">
      <c r="A150" s="17" t="s">
        <v>4750</v>
      </c>
      <c r="B150" s="17">
        <v>36810</v>
      </c>
      <c r="Q150" s="20">
        <v>13494</v>
      </c>
      <c r="R150" s="20">
        <v>13086</v>
      </c>
      <c r="S150" s="20">
        <v>1502</v>
      </c>
      <c r="T150" s="20">
        <v>37715</v>
      </c>
      <c r="U150" s="20">
        <v>2636</v>
      </c>
      <c r="V150" s="20">
        <v>11</v>
      </c>
      <c r="W150" s="20">
        <f t="shared" si="6"/>
        <v>68444</v>
      </c>
      <c r="X150" s="36">
        <v>-26569</v>
      </c>
      <c r="Y150" s="36"/>
      <c r="Z150" s="36"/>
      <c r="AA150" s="36"/>
      <c r="AB150" s="36"/>
      <c r="AC150" s="36"/>
      <c r="AD150" s="36"/>
      <c r="AE150" s="36">
        <v>-11</v>
      </c>
      <c r="AF150" s="36">
        <v>-401</v>
      </c>
      <c r="AG150" s="36">
        <v>-1443</v>
      </c>
      <c r="AH150" s="36">
        <v>-40004</v>
      </c>
      <c r="AI150" s="20">
        <f t="shared" si="7"/>
        <v>-68428</v>
      </c>
      <c r="AJ150" s="20">
        <f t="shared" si="8"/>
        <v>16</v>
      </c>
    </row>
    <row r="151" spans="1:36" x14ac:dyDescent="0.2">
      <c r="A151" s="17" t="s">
        <v>4751</v>
      </c>
      <c r="B151" s="17">
        <v>36817</v>
      </c>
      <c r="Q151" s="20">
        <v>13494</v>
      </c>
      <c r="R151" s="20">
        <v>13066</v>
      </c>
      <c r="S151" s="20">
        <v>1503</v>
      </c>
      <c r="T151" s="20">
        <v>45004</v>
      </c>
      <c r="U151" s="20">
        <v>2619</v>
      </c>
      <c r="V151" s="20">
        <v>10</v>
      </c>
      <c r="W151" s="20">
        <f t="shared" si="6"/>
        <v>75696</v>
      </c>
      <c r="X151" s="36">
        <v>-26550</v>
      </c>
      <c r="Y151" s="36"/>
      <c r="Z151" s="36"/>
      <c r="AA151" s="36"/>
      <c r="AB151" s="36"/>
      <c r="AC151" s="36"/>
      <c r="AD151" s="36"/>
      <c r="AE151" s="36">
        <v>-10</v>
      </c>
      <c r="AF151" s="36">
        <v>-472</v>
      </c>
      <c r="AG151" s="36">
        <v>-1479</v>
      </c>
      <c r="AH151" s="36">
        <v>-47171</v>
      </c>
      <c r="AI151" s="20">
        <f t="shared" si="7"/>
        <v>-75682</v>
      </c>
      <c r="AJ151" s="20">
        <f t="shared" si="8"/>
        <v>14</v>
      </c>
    </row>
    <row r="152" spans="1:36" x14ac:dyDescent="0.2">
      <c r="A152" s="17" t="s">
        <v>4752</v>
      </c>
      <c r="B152" s="17">
        <v>36824</v>
      </c>
      <c r="Q152" s="20">
        <v>13494</v>
      </c>
      <c r="R152" s="20">
        <v>13196</v>
      </c>
      <c r="S152" s="20">
        <v>1503</v>
      </c>
      <c r="T152" s="20">
        <v>54818</v>
      </c>
      <c r="U152" s="20">
        <v>2380</v>
      </c>
      <c r="V152" s="20">
        <v>7</v>
      </c>
      <c r="W152" s="20">
        <f t="shared" si="6"/>
        <v>85398</v>
      </c>
      <c r="X152" s="36">
        <v>-26683</v>
      </c>
      <c r="Y152" s="36"/>
      <c r="Z152" s="36"/>
      <c r="AA152" s="36"/>
      <c r="AB152" s="36"/>
      <c r="AC152" s="36"/>
      <c r="AD152" s="36"/>
      <c r="AE152" s="36">
        <v>-7</v>
      </c>
      <c r="AF152" s="36">
        <v>-402</v>
      </c>
      <c r="AG152" s="36">
        <v>-1643</v>
      </c>
      <c r="AH152" s="36">
        <v>-56649</v>
      </c>
      <c r="AI152" s="20">
        <f t="shared" si="7"/>
        <v>-85384</v>
      </c>
      <c r="AJ152" s="20">
        <f t="shared" si="8"/>
        <v>14</v>
      </c>
    </row>
    <row r="153" spans="1:36" x14ac:dyDescent="0.2">
      <c r="A153" s="17" t="s">
        <v>4753</v>
      </c>
      <c r="B153" s="17">
        <v>36831</v>
      </c>
      <c r="Q153" s="20">
        <v>13586</v>
      </c>
      <c r="R153" s="20">
        <v>13364</v>
      </c>
      <c r="S153" s="20">
        <v>1503</v>
      </c>
      <c r="T153" s="20">
        <v>19327</v>
      </c>
      <c r="U153" s="20">
        <v>2429</v>
      </c>
      <c r="V153" s="20">
        <v>13</v>
      </c>
      <c r="W153" s="20">
        <f t="shared" si="6"/>
        <v>50222</v>
      </c>
      <c r="X153" s="36">
        <v>-26937</v>
      </c>
      <c r="Y153" s="36"/>
      <c r="Z153" s="36"/>
      <c r="AA153" s="36"/>
      <c r="AB153" s="36"/>
      <c r="AC153" s="36"/>
      <c r="AD153" s="36"/>
      <c r="AE153" s="36">
        <v>-13</v>
      </c>
      <c r="AF153" s="36">
        <v>-386</v>
      </c>
      <c r="AG153" s="36">
        <v>-1397</v>
      </c>
      <c r="AH153" s="36">
        <v>-21474</v>
      </c>
      <c r="AI153" s="20">
        <f t="shared" si="7"/>
        <v>-50207</v>
      </c>
      <c r="AJ153" s="20">
        <f t="shared" si="8"/>
        <v>15</v>
      </c>
    </row>
    <row r="154" spans="1:36" x14ac:dyDescent="0.2">
      <c r="A154" s="17" t="s">
        <v>4754</v>
      </c>
      <c r="B154" s="17">
        <v>36838</v>
      </c>
      <c r="Q154" s="20">
        <v>13494</v>
      </c>
      <c r="R154" s="20">
        <v>13286</v>
      </c>
      <c r="S154" s="20">
        <v>1501</v>
      </c>
      <c r="T154" s="20">
        <v>27226</v>
      </c>
      <c r="U154" s="20">
        <v>3267</v>
      </c>
      <c r="V154" s="20">
        <v>11</v>
      </c>
      <c r="W154" s="20">
        <f t="shared" si="6"/>
        <v>58785</v>
      </c>
      <c r="X154" s="36">
        <v>-26770</v>
      </c>
      <c r="Y154" s="36"/>
      <c r="Z154" s="36"/>
      <c r="AA154" s="36"/>
      <c r="AB154" s="36"/>
      <c r="AC154" s="36"/>
      <c r="AD154" s="36"/>
      <c r="AE154" s="36">
        <v>-10</v>
      </c>
      <c r="AF154" s="36">
        <v>-385</v>
      </c>
      <c r="AG154" s="36">
        <v>-1436</v>
      </c>
      <c r="AH154" s="36">
        <v>-30169</v>
      </c>
      <c r="AI154" s="20">
        <f t="shared" si="7"/>
        <v>-58770</v>
      </c>
      <c r="AJ154" s="20">
        <f t="shared" si="8"/>
        <v>15</v>
      </c>
    </row>
    <row r="155" spans="1:36" x14ac:dyDescent="0.2">
      <c r="A155" s="17" t="s">
        <v>4755</v>
      </c>
      <c r="B155" s="17">
        <v>36845</v>
      </c>
      <c r="Q155" s="20">
        <v>13645</v>
      </c>
      <c r="R155" s="20">
        <v>13265</v>
      </c>
      <c r="S155" s="20">
        <v>1502</v>
      </c>
      <c r="T155" s="20">
        <v>33546</v>
      </c>
      <c r="U155" s="20">
        <v>2544</v>
      </c>
      <c r="V155" s="20">
        <v>7</v>
      </c>
      <c r="W155" s="20">
        <f t="shared" si="6"/>
        <v>64509</v>
      </c>
      <c r="X155" s="36">
        <v>-26903</v>
      </c>
      <c r="Y155" s="36"/>
      <c r="Z155" s="36"/>
      <c r="AA155" s="36"/>
      <c r="AB155" s="36"/>
      <c r="AC155" s="36"/>
      <c r="AD155" s="36"/>
      <c r="AE155" s="36">
        <v>-7</v>
      </c>
      <c r="AF155" s="36">
        <v>-402</v>
      </c>
      <c r="AG155" s="36">
        <v>-1413</v>
      </c>
      <c r="AH155" s="36">
        <v>-35768</v>
      </c>
      <c r="AI155" s="20">
        <f t="shared" si="7"/>
        <v>-64493</v>
      </c>
      <c r="AJ155" s="20">
        <f t="shared" si="8"/>
        <v>16</v>
      </c>
    </row>
    <row r="156" spans="1:36" x14ac:dyDescent="0.2">
      <c r="A156" s="17" t="s">
        <v>4756</v>
      </c>
      <c r="B156" s="17">
        <v>36852</v>
      </c>
      <c r="Q156" s="20">
        <v>13498</v>
      </c>
      <c r="R156" s="20">
        <v>13752</v>
      </c>
      <c r="S156" s="20">
        <v>1507</v>
      </c>
      <c r="T156" s="20">
        <v>55011</v>
      </c>
      <c r="U156" s="20">
        <v>2574</v>
      </c>
      <c r="V156" s="20">
        <v>6</v>
      </c>
      <c r="W156" s="20">
        <f t="shared" si="6"/>
        <v>86348</v>
      </c>
      <c r="X156" s="36">
        <v>-27244</v>
      </c>
      <c r="Y156" s="36"/>
      <c r="Z156" s="36"/>
      <c r="AA156" s="36"/>
      <c r="AB156" s="36"/>
      <c r="AC156" s="36"/>
      <c r="AD156" s="36"/>
      <c r="AE156" s="36">
        <v>-6</v>
      </c>
      <c r="AF156" s="36">
        <v>-357</v>
      </c>
      <c r="AG156" s="36">
        <v>-1433</v>
      </c>
      <c r="AH156" s="36">
        <v>-57292</v>
      </c>
      <c r="AI156" s="20">
        <f t="shared" si="7"/>
        <v>-86332</v>
      </c>
      <c r="AJ156" s="20">
        <f t="shared" si="8"/>
        <v>16</v>
      </c>
    </row>
    <row r="157" spans="1:36" x14ac:dyDescent="0.2">
      <c r="A157" s="17" t="s">
        <v>4757</v>
      </c>
      <c r="B157" s="17">
        <v>36859</v>
      </c>
      <c r="Q157" s="20">
        <v>13495</v>
      </c>
      <c r="R157" s="20">
        <v>14325</v>
      </c>
      <c r="S157" s="20">
        <v>1502</v>
      </c>
      <c r="T157" s="20">
        <v>65937</v>
      </c>
      <c r="U157" s="20">
        <v>2516</v>
      </c>
      <c r="V157" s="20">
        <v>13</v>
      </c>
      <c r="W157" s="20">
        <f t="shared" si="6"/>
        <v>97788</v>
      </c>
      <c r="X157" s="36">
        <v>-27807</v>
      </c>
      <c r="Y157" s="36"/>
      <c r="Z157" s="36"/>
      <c r="AA157" s="36"/>
      <c r="AB157" s="36"/>
      <c r="AC157" s="36"/>
      <c r="AD157" s="36"/>
      <c r="AE157" s="36">
        <v>-13</v>
      </c>
      <c r="AF157" s="36">
        <v>-414</v>
      </c>
      <c r="AG157" s="36">
        <v>-1422</v>
      </c>
      <c r="AH157" s="36">
        <v>-68118</v>
      </c>
      <c r="AI157" s="20">
        <f t="shared" si="7"/>
        <v>-97774</v>
      </c>
      <c r="AJ157" s="20">
        <f t="shared" si="8"/>
        <v>14</v>
      </c>
    </row>
    <row r="158" spans="1:36" x14ac:dyDescent="0.2">
      <c r="A158" s="17" t="s">
        <v>4758</v>
      </c>
      <c r="B158" s="17">
        <v>36866</v>
      </c>
      <c r="Q158" s="20">
        <v>13498</v>
      </c>
      <c r="R158" s="20">
        <v>14522</v>
      </c>
      <c r="S158" s="20">
        <v>1502</v>
      </c>
      <c r="T158" s="20">
        <v>6171</v>
      </c>
      <c r="U158" s="20">
        <v>2786</v>
      </c>
      <c r="V158" s="20">
        <v>4</v>
      </c>
      <c r="W158" s="20">
        <f t="shared" si="6"/>
        <v>38483</v>
      </c>
      <c r="X158" s="36">
        <v>-28016</v>
      </c>
      <c r="Y158" s="36"/>
      <c r="Z158" s="36"/>
      <c r="AA158" s="36"/>
      <c r="AB158" s="36"/>
      <c r="AC158" s="36"/>
      <c r="AD158" s="36"/>
      <c r="AE158" s="36">
        <v>-4</v>
      </c>
      <c r="AF158" s="36">
        <v>-377</v>
      </c>
      <c r="AG158" s="36">
        <v>-1712</v>
      </c>
      <c r="AH158" s="36">
        <v>-8358</v>
      </c>
      <c r="AI158" s="20">
        <f t="shared" si="7"/>
        <v>-38467</v>
      </c>
      <c r="AJ158" s="20">
        <f t="shared" si="8"/>
        <v>16</v>
      </c>
    </row>
    <row r="159" spans="1:36" x14ac:dyDescent="0.2">
      <c r="A159" s="17" t="s">
        <v>4759</v>
      </c>
      <c r="B159" s="17">
        <v>36873</v>
      </c>
      <c r="Q159" s="20">
        <v>13498</v>
      </c>
      <c r="R159" s="20">
        <v>14882</v>
      </c>
      <c r="S159" s="20">
        <v>1501</v>
      </c>
      <c r="T159" s="20">
        <v>6571</v>
      </c>
      <c r="U159" s="20">
        <v>2519</v>
      </c>
      <c r="V159" s="20">
        <v>8</v>
      </c>
      <c r="W159" s="20">
        <f t="shared" si="6"/>
        <v>38979</v>
      </c>
      <c r="X159" s="36">
        <v>-28372</v>
      </c>
      <c r="Y159" s="36"/>
      <c r="Z159" s="36"/>
      <c r="AA159" s="36"/>
      <c r="AB159" s="36"/>
      <c r="AC159" s="36"/>
      <c r="AD159" s="36"/>
      <c r="AE159" s="36">
        <v>-8</v>
      </c>
      <c r="AF159" s="36">
        <v>-361</v>
      </c>
      <c r="AG159" s="36">
        <v>-1602</v>
      </c>
      <c r="AH159" s="36">
        <v>-8623</v>
      </c>
      <c r="AI159" s="20">
        <f t="shared" si="7"/>
        <v>-38966</v>
      </c>
      <c r="AJ159" s="20">
        <f t="shared" si="8"/>
        <v>13</v>
      </c>
    </row>
    <row r="160" spans="1:36" x14ac:dyDescent="0.2">
      <c r="A160" s="17" t="s">
        <v>4760</v>
      </c>
      <c r="B160" s="17">
        <v>36880</v>
      </c>
      <c r="Q160" s="20">
        <v>13498</v>
      </c>
      <c r="R160" s="20">
        <v>15922</v>
      </c>
      <c r="S160" s="20">
        <v>1504</v>
      </c>
      <c r="T160" s="20">
        <v>6533</v>
      </c>
      <c r="U160" s="20">
        <v>2352</v>
      </c>
      <c r="V160" s="20">
        <v>8</v>
      </c>
      <c r="W160" s="20">
        <f t="shared" si="6"/>
        <v>39817</v>
      </c>
      <c r="X160" s="36">
        <v>-29412</v>
      </c>
      <c r="Y160" s="36"/>
      <c r="Z160" s="36"/>
      <c r="AA160" s="36"/>
      <c r="AB160" s="36"/>
      <c r="AC160" s="36"/>
      <c r="AD160" s="36"/>
      <c r="AE160" s="36">
        <v>-8</v>
      </c>
      <c r="AF160" s="36">
        <v>-391</v>
      </c>
      <c r="AG160" s="36">
        <v>-1520</v>
      </c>
      <c r="AH160" s="36">
        <v>-8471</v>
      </c>
      <c r="AI160" s="20">
        <f t="shared" si="7"/>
        <v>-39802</v>
      </c>
      <c r="AJ160" s="20">
        <f t="shared" si="8"/>
        <v>15</v>
      </c>
    </row>
    <row r="161" spans="1:36" x14ac:dyDescent="0.2">
      <c r="A161" s="17" t="s">
        <v>4761</v>
      </c>
      <c r="B161" s="17">
        <v>36887</v>
      </c>
      <c r="Q161" s="20">
        <v>13498</v>
      </c>
      <c r="R161" s="20">
        <v>17202</v>
      </c>
      <c r="S161" s="20">
        <v>1504</v>
      </c>
      <c r="T161" s="20">
        <v>6557</v>
      </c>
      <c r="U161" s="20">
        <v>2389</v>
      </c>
      <c r="V161" s="20">
        <v>10</v>
      </c>
      <c r="W161" s="20">
        <f t="shared" si="6"/>
        <v>41160</v>
      </c>
      <c r="X161" s="36">
        <v>-30690</v>
      </c>
      <c r="Y161" s="36"/>
      <c r="Z161" s="36"/>
      <c r="AA161" s="36"/>
      <c r="AB161" s="36"/>
      <c r="AC161" s="36"/>
      <c r="AD161" s="36"/>
      <c r="AE161" s="36">
        <v>-10</v>
      </c>
      <c r="AF161" s="36">
        <v>-382</v>
      </c>
      <c r="AG161" s="36">
        <v>-1466</v>
      </c>
      <c r="AH161" s="36">
        <v>-8596</v>
      </c>
      <c r="AI161" s="20">
        <f t="shared" si="7"/>
        <v>-41144</v>
      </c>
      <c r="AJ161" s="20">
        <f t="shared" si="8"/>
        <v>16</v>
      </c>
    </row>
    <row r="162" spans="1:36" x14ac:dyDescent="0.2">
      <c r="A162" s="17" t="s">
        <v>4762</v>
      </c>
      <c r="B162" s="17">
        <v>36894</v>
      </c>
      <c r="Q162" s="20">
        <v>13498</v>
      </c>
      <c r="R162" s="20">
        <v>15872</v>
      </c>
      <c r="S162" s="20">
        <v>1504</v>
      </c>
      <c r="T162" s="20">
        <v>6508</v>
      </c>
      <c r="U162" s="20">
        <v>2657</v>
      </c>
      <c r="V162" s="20">
        <v>10</v>
      </c>
      <c r="W162" s="20">
        <f t="shared" si="6"/>
        <v>40049</v>
      </c>
      <c r="X162" s="36">
        <v>-29360</v>
      </c>
      <c r="Y162" s="36"/>
      <c r="Z162" s="36"/>
      <c r="AA162" s="36"/>
      <c r="AB162" s="36"/>
      <c r="AC162" s="36"/>
      <c r="AD162" s="36"/>
      <c r="AE162" s="36">
        <v>-10</v>
      </c>
      <c r="AF162" s="36">
        <v>-430</v>
      </c>
      <c r="AG162" s="36">
        <v>-1428</v>
      </c>
      <c r="AH162" s="36">
        <v>-8807</v>
      </c>
      <c r="AI162" s="20">
        <f t="shared" si="7"/>
        <v>-40035</v>
      </c>
      <c r="AJ162" s="20">
        <f t="shared" si="8"/>
        <v>14</v>
      </c>
    </row>
    <row r="163" spans="1:36" x14ac:dyDescent="0.2">
      <c r="A163" s="17" t="s">
        <v>4763</v>
      </c>
      <c r="B163" s="17">
        <v>36901</v>
      </c>
      <c r="Q163" s="20">
        <v>13499</v>
      </c>
      <c r="R163" s="20">
        <v>14251</v>
      </c>
      <c r="S163" s="20">
        <v>1502</v>
      </c>
      <c r="T163" s="20">
        <v>6318</v>
      </c>
      <c r="U163" s="20">
        <v>2537</v>
      </c>
      <c r="V163" s="20">
        <v>6</v>
      </c>
      <c r="W163" s="20">
        <f t="shared" si="6"/>
        <v>38113</v>
      </c>
      <c r="X163" s="36">
        <v>-27744</v>
      </c>
      <c r="Y163" s="36"/>
      <c r="Z163" s="36"/>
      <c r="AA163" s="36"/>
      <c r="AB163" s="36"/>
      <c r="AC163" s="36"/>
      <c r="AD163" s="36"/>
      <c r="AE163" s="36">
        <v>-6</v>
      </c>
      <c r="AF163" s="36">
        <v>-358</v>
      </c>
      <c r="AG163" s="36">
        <v>-1427</v>
      </c>
      <c r="AH163" s="36">
        <v>-8563</v>
      </c>
      <c r="AI163" s="20">
        <f t="shared" si="7"/>
        <v>-38098</v>
      </c>
      <c r="AJ163" s="20">
        <f t="shared" si="8"/>
        <v>15</v>
      </c>
    </row>
    <row r="164" spans="1:36" x14ac:dyDescent="0.2">
      <c r="A164" s="17" t="s">
        <v>4764</v>
      </c>
      <c r="B164" s="17">
        <v>36908</v>
      </c>
      <c r="Q164" s="20">
        <v>13499</v>
      </c>
      <c r="R164" s="20">
        <v>13651</v>
      </c>
      <c r="S164" s="20">
        <v>1502</v>
      </c>
      <c r="T164" s="20">
        <v>7061</v>
      </c>
      <c r="U164" s="20">
        <v>3353</v>
      </c>
      <c r="V164" s="20">
        <v>6</v>
      </c>
      <c r="W164" s="20">
        <f t="shared" si="6"/>
        <v>39072</v>
      </c>
      <c r="X164" s="36">
        <v>-27144</v>
      </c>
      <c r="Y164" s="36"/>
      <c r="Z164" s="36"/>
      <c r="AA164" s="36"/>
      <c r="AB164" s="36"/>
      <c r="AC164" s="36"/>
      <c r="AD164" s="36"/>
      <c r="AE164" s="36">
        <v>-6</v>
      </c>
      <c r="AF164" s="36">
        <v>-357</v>
      </c>
      <c r="AG164" s="36">
        <v>-3177</v>
      </c>
      <c r="AH164" s="36">
        <v>-8373</v>
      </c>
      <c r="AI164" s="20">
        <f t="shared" si="7"/>
        <v>-39057</v>
      </c>
      <c r="AJ164" s="20">
        <f t="shared" si="8"/>
        <v>15</v>
      </c>
    </row>
    <row r="165" spans="1:36" x14ac:dyDescent="0.2">
      <c r="A165" s="17" t="s">
        <v>4765</v>
      </c>
      <c r="B165" s="17">
        <v>36915</v>
      </c>
      <c r="Q165" s="20">
        <v>13499</v>
      </c>
      <c r="R165" s="20">
        <v>13421</v>
      </c>
      <c r="S165" s="20">
        <v>1502</v>
      </c>
      <c r="T165" s="20">
        <v>6020</v>
      </c>
      <c r="U165" s="20">
        <v>2574</v>
      </c>
      <c r="V165" s="20">
        <v>10</v>
      </c>
      <c r="W165" s="20">
        <f t="shared" si="6"/>
        <v>37026</v>
      </c>
      <c r="X165" s="36">
        <v>-26910</v>
      </c>
      <c r="Y165" s="36"/>
      <c r="Z165" s="36"/>
      <c r="AA165" s="36"/>
      <c r="AB165" s="36"/>
      <c r="AC165" s="36"/>
      <c r="AD165" s="36"/>
      <c r="AE165" s="36">
        <v>-10</v>
      </c>
      <c r="AF165" s="36">
        <v>-386</v>
      </c>
      <c r="AG165" s="36">
        <v>-1460</v>
      </c>
      <c r="AH165" s="36">
        <v>-8245</v>
      </c>
      <c r="AI165" s="20">
        <f t="shared" si="7"/>
        <v>-37011</v>
      </c>
      <c r="AJ165" s="20">
        <f t="shared" si="8"/>
        <v>15</v>
      </c>
    </row>
    <row r="166" spans="1:36" x14ac:dyDescent="0.2">
      <c r="A166" s="17" t="s">
        <v>4766</v>
      </c>
      <c r="B166" s="17">
        <v>36922</v>
      </c>
      <c r="Q166" s="20">
        <v>13574</v>
      </c>
      <c r="R166" s="20">
        <v>13436</v>
      </c>
      <c r="S166" s="20">
        <v>1527</v>
      </c>
      <c r="T166" s="20">
        <v>6114</v>
      </c>
      <c r="U166" s="20">
        <v>2738</v>
      </c>
      <c r="V166" s="20">
        <v>11</v>
      </c>
      <c r="W166" s="20">
        <f t="shared" si="6"/>
        <v>37400</v>
      </c>
      <c r="X166" s="36">
        <v>-26999</v>
      </c>
      <c r="Y166" s="36"/>
      <c r="Z166" s="36"/>
      <c r="AA166" s="36"/>
      <c r="AB166" s="36"/>
      <c r="AC166" s="36"/>
      <c r="AD166" s="36"/>
      <c r="AE166" s="36">
        <v>-11</v>
      </c>
      <c r="AF166" s="36">
        <v>-328</v>
      </c>
      <c r="AG166" s="36">
        <v>-1425</v>
      </c>
      <c r="AH166" s="36">
        <v>-8623</v>
      </c>
      <c r="AI166" s="20">
        <f t="shared" si="7"/>
        <v>-37386</v>
      </c>
      <c r="AJ166" s="20">
        <f t="shared" si="8"/>
        <v>14</v>
      </c>
    </row>
    <row r="167" spans="1:36" x14ac:dyDescent="0.2">
      <c r="A167" s="17" t="s">
        <v>4767</v>
      </c>
      <c r="B167" s="17">
        <v>36929</v>
      </c>
      <c r="Q167" s="20">
        <v>13584</v>
      </c>
      <c r="R167" s="20">
        <v>13306</v>
      </c>
      <c r="S167" s="20">
        <v>1527</v>
      </c>
      <c r="T167" s="20">
        <v>6477</v>
      </c>
      <c r="U167" s="20">
        <v>2740</v>
      </c>
      <c r="V167" s="20">
        <v>13</v>
      </c>
      <c r="W167" s="20">
        <f t="shared" si="6"/>
        <v>37647</v>
      </c>
      <c r="X167" s="36">
        <v>-26877</v>
      </c>
      <c r="Y167" s="36"/>
      <c r="Z167" s="36"/>
      <c r="AA167" s="36"/>
      <c r="AB167" s="36"/>
      <c r="AC167" s="36"/>
      <c r="AD167" s="36"/>
      <c r="AE167" s="36">
        <v>-13</v>
      </c>
      <c r="AF167" s="36">
        <v>-548</v>
      </c>
      <c r="AG167" s="36">
        <v>-1406</v>
      </c>
      <c r="AH167" s="36">
        <v>-8789</v>
      </c>
      <c r="AI167" s="20">
        <f t="shared" si="7"/>
        <v>-37633</v>
      </c>
      <c r="AJ167" s="20">
        <f t="shared" si="8"/>
        <v>14</v>
      </c>
    </row>
    <row r="168" spans="1:36" x14ac:dyDescent="0.2">
      <c r="A168" s="17" t="s">
        <v>4768</v>
      </c>
      <c r="B168" s="17">
        <v>36936</v>
      </c>
      <c r="Q168" s="20">
        <v>13500</v>
      </c>
      <c r="R168" s="20">
        <v>13380</v>
      </c>
      <c r="S168" s="20">
        <v>1550</v>
      </c>
      <c r="T168" s="20">
        <v>6001</v>
      </c>
      <c r="U168" s="20">
        <v>3307</v>
      </c>
      <c r="V168" s="20">
        <v>6</v>
      </c>
      <c r="W168" s="20">
        <f t="shared" si="6"/>
        <v>37744</v>
      </c>
      <c r="X168" s="36">
        <v>-26875</v>
      </c>
      <c r="Y168" s="36"/>
      <c r="Z168" s="36"/>
      <c r="AA168" s="36"/>
      <c r="AB168" s="36"/>
      <c r="AC168" s="36"/>
      <c r="AD168" s="36"/>
      <c r="AE168" s="36">
        <v>-5</v>
      </c>
      <c r="AF168" s="36">
        <v>-387</v>
      </c>
      <c r="AG168" s="36">
        <v>-1438</v>
      </c>
      <c r="AH168" s="36">
        <v>-9024</v>
      </c>
      <c r="AI168" s="20">
        <f t="shared" si="7"/>
        <v>-37729</v>
      </c>
      <c r="AJ168" s="20">
        <f t="shared" si="8"/>
        <v>15</v>
      </c>
    </row>
    <row r="169" spans="1:36" x14ac:dyDescent="0.2">
      <c r="A169" s="17" t="s">
        <v>4769</v>
      </c>
      <c r="B169" s="17">
        <v>36943</v>
      </c>
      <c r="Q169" s="20">
        <v>13500</v>
      </c>
      <c r="R169" s="20">
        <v>13490</v>
      </c>
      <c r="S169" s="20">
        <v>1561</v>
      </c>
      <c r="T169" s="20">
        <v>6410</v>
      </c>
      <c r="U169" s="20">
        <v>2882</v>
      </c>
      <c r="V169" s="20">
        <v>7</v>
      </c>
      <c r="W169" s="20">
        <f t="shared" si="6"/>
        <v>37850</v>
      </c>
      <c r="X169" s="36">
        <v>-26983</v>
      </c>
      <c r="Y169" s="36"/>
      <c r="Z169" s="36"/>
      <c r="AA169" s="36"/>
      <c r="AB169" s="36"/>
      <c r="AC169" s="36"/>
      <c r="AD169" s="36"/>
      <c r="AE169" s="36">
        <v>-7</v>
      </c>
      <c r="AF169" s="36">
        <v>-409</v>
      </c>
      <c r="AG169" s="36">
        <v>-1402</v>
      </c>
      <c r="AH169" s="36">
        <v>-9036</v>
      </c>
      <c r="AI169" s="20">
        <f t="shared" si="7"/>
        <v>-37837</v>
      </c>
      <c r="AJ169" s="20">
        <f t="shared" si="8"/>
        <v>13</v>
      </c>
    </row>
    <row r="170" spans="1:36" x14ac:dyDescent="0.2">
      <c r="A170" s="17" t="s">
        <v>4770</v>
      </c>
      <c r="B170" s="17">
        <v>36950</v>
      </c>
      <c r="Q170" s="20">
        <v>13500</v>
      </c>
      <c r="R170" s="20">
        <v>13700</v>
      </c>
      <c r="S170" s="20">
        <v>1610</v>
      </c>
      <c r="T170" s="20">
        <v>6735</v>
      </c>
      <c r="U170" s="20">
        <v>2739</v>
      </c>
      <c r="V170" s="20">
        <v>5</v>
      </c>
      <c r="W170" s="20">
        <f t="shared" si="6"/>
        <v>38289</v>
      </c>
      <c r="X170" s="36">
        <v>-27195</v>
      </c>
      <c r="Y170" s="36"/>
      <c r="Z170" s="36"/>
      <c r="AA170" s="36"/>
      <c r="AB170" s="36"/>
      <c r="AC170" s="36"/>
      <c r="AD170" s="36"/>
      <c r="AE170" s="36">
        <v>-5</v>
      </c>
      <c r="AF170" s="36">
        <v>-178</v>
      </c>
      <c r="AG170" s="36">
        <v>-1889</v>
      </c>
      <c r="AH170" s="36">
        <v>-9007</v>
      </c>
      <c r="AI170" s="20">
        <f t="shared" si="7"/>
        <v>-38274</v>
      </c>
      <c r="AJ170" s="20">
        <f t="shared" si="8"/>
        <v>15</v>
      </c>
    </row>
    <row r="171" spans="1:36" x14ac:dyDescent="0.2">
      <c r="A171" s="17" t="s">
        <v>4771</v>
      </c>
      <c r="B171" s="17">
        <v>36957</v>
      </c>
      <c r="Q171" s="20">
        <v>13500</v>
      </c>
      <c r="R171" s="20">
        <v>13750</v>
      </c>
      <c r="S171" s="20">
        <v>1604</v>
      </c>
      <c r="T171" s="20">
        <v>6939</v>
      </c>
      <c r="U171" s="20">
        <v>2727</v>
      </c>
      <c r="V171" s="20">
        <v>4</v>
      </c>
      <c r="W171" s="20">
        <f t="shared" si="6"/>
        <v>38524</v>
      </c>
      <c r="X171" s="36">
        <v>-27246</v>
      </c>
      <c r="Y171" s="36"/>
      <c r="Z171" s="36"/>
      <c r="AA171" s="36"/>
      <c r="AB171" s="36"/>
      <c r="AC171" s="36"/>
      <c r="AD171" s="36"/>
      <c r="AE171" s="36">
        <v>-4</v>
      </c>
      <c r="AF171" s="36">
        <v>-399</v>
      </c>
      <c r="AG171" s="36">
        <v>-1452</v>
      </c>
      <c r="AH171" s="36">
        <v>-9407</v>
      </c>
      <c r="AI171" s="20">
        <f t="shared" si="7"/>
        <v>-38508</v>
      </c>
      <c r="AJ171" s="20">
        <f t="shared" si="8"/>
        <v>16</v>
      </c>
    </row>
    <row r="172" spans="1:36" x14ac:dyDescent="0.2">
      <c r="A172" s="17" t="s">
        <v>4772</v>
      </c>
      <c r="B172" s="17">
        <v>36964</v>
      </c>
      <c r="Q172" s="20">
        <v>13500</v>
      </c>
      <c r="R172" s="20">
        <v>13670</v>
      </c>
      <c r="S172" s="20">
        <v>1604</v>
      </c>
      <c r="T172" s="20">
        <v>6282</v>
      </c>
      <c r="U172" s="20">
        <v>2795</v>
      </c>
      <c r="V172" s="20">
        <v>6</v>
      </c>
      <c r="W172" s="20">
        <f t="shared" si="6"/>
        <v>37857</v>
      </c>
      <c r="X172" s="36">
        <v>-27164</v>
      </c>
      <c r="Y172" s="36"/>
      <c r="Z172" s="36"/>
      <c r="AA172" s="36"/>
      <c r="AB172" s="36"/>
      <c r="AC172" s="36"/>
      <c r="AD172" s="36"/>
      <c r="AE172" s="36">
        <v>-6</v>
      </c>
      <c r="AF172" s="36">
        <v>-484</v>
      </c>
      <c r="AG172" s="36">
        <v>-1417</v>
      </c>
      <c r="AH172" s="36">
        <v>-8771</v>
      </c>
      <c r="AI172" s="20">
        <f t="shared" si="7"/>
        <v>-37842</v>
      </c>
      <c r="AJ172" s="20">
        <f t="shared" si="8"/>
        <v>15</v>
      </c>
    </row>
    <row r="173" spans="1:36" x14ac:dyDescent="0.2">
      <c r="A173" s="17" t="s">
        <v>4773</v>
      </c>
      <c r="B173" s="17">
        <v>36971</v>
      </c>
      <c r="Q173" s="20">
        <v>13963</v>
      </c>
      <c r="R173" s="20">
        <v>13077</v>
      </c>
      <c r="S173" s="20">
        <v>1521</v>
      </c>
      <c r="T173" s="20">
        <v>7888</v>
      </c>
      <c r="U173" s="20">
        <v>2838</v>
      </c>
      <c r="V173" s="20">
        <v>13</v>
      </c>
      <c r="W173" s="20">
        <f t="shared" si="6"/>
        <v>39300</v>
      </c>
      <c r="X173" s="36">
        <v>-27028</v>
      </c>
      <c r="Y173" s="36"/>
      <c r="Z173" s="36"/>
      <c r="AA173" s="36"/>
      <c r="AB173" s="36"/>
      <c r="AC173" s="36"/>
      <c r="AD173" s="36"/>
      <c r="AE173" s="36">
        <v>-12</v>
      </c>
      <c r="AF173" s="36">
        <v>-538</v>
      </c>
      <c r="AG173" s="36">
        <v>-2396</v>
      </c>
      <c r="AH173" s="36">
        <v>-9310</v>
      </c>
      <c r="AI173" s="20">
        <f t="shared" si="7"/>
        <v>-39284</v>
      </c>
      <c r="AJ173" s="20">
        <f t="shared" si="8"/>
        <v>16</v>
      </c>
    </row>
    <row r="174" spans="1:36" x14ac:dyDescent="0.2">
      <c r="A174" s="17" t="s">
        <v>4774</v>
      </c>
      <c r="B174" s="17">
        <v>36978</v>
      </c>
      <c r="Q174" s="20">
        <v>13497</v>
      </c>
      <c r="R174" s="20">
        <v>13523</v>
      </c>
      <c r="S174" s="20">
        <v>1521</v>
      </c>
      <c r="T174" s="20">
        <v>6742</v>
      </c>
      <c r="U174" s="20">
        <v>2746</v>
      </c>
      <c r="V174" s="20">
        <v>4</v>
      </c>
      <c r="W174" s="20">
        <f t="shared" si="6"/>
        <v>38033</v>
      </c>
      <c r="X174" s="36">
        <v>-27016</v>
      </c>
      <c r="Y174" s="36"/>
      <c r="Z174" s="36"/>
      <c r="AA174" s="36"/>
      <c r="AB174" s="36"/>
      <c r="AC174" s="36"/>
      <c r="AD174" s="36"/>
      <c r="AE174" s="36">
        <v>-4</v>
      </c>
      <c r="AF174" s="36">
        <v>-487</v>
      </c>
      <c r="AG174" s="36">
        <v>-1521</v>
      </c>
      <c r="AH174" s="36">
        <v>-8990</v>
      </c>
      <c r="AI174" s="20">
        <f t="shared" si="7"/>
        <v>-38018</v>
      </c>
      <c r="AJ174" s="20">
        <f t="shared" si="8"/>
        <v>15</v>
      </c>
    </row>
    <row r="175" spans="1:36" x14ac:dyDescent="0.2">
      <c r="A175" s="17" t="s">
        <v>4775</v>
      </c>
      <c r="B175" s="17">
        <v>36985</v>
      </c>
      <c r="Q175" s="20">
        <v>13699</v>
      </c>
      <c r="R175" s="20">
        <v>13481</v>
      </c>
      <c r="S175" s="20">
        <v>1510</v>
      </c>
      <c r="T175" s="20">
        <v>7073</v>
      </c>
      <c r="U175" s="20">
        <v>2683</v>
      </c>
      <c r="V175" s="20">
        <v>6</v>
      </c>
      <c r="W175" s="20">
        <f t="shared" si="6"/>
        <v>38452</v>
      </c>
      <c r="X175" s="36">
        <v>-27174</v>
      </c>
      <c r="Y175" s="36"/>
      <c r="Z175" s="36"/>
      <c r="AA175" s="36"/>
      <c r="AB175" s="36"/>
      <c r="AC175" s="36"/>
      <c r="AD175" s="36"/>
      <c r="AE175" s="36">
        <v>-6</v>
      </c>
      <c r="AF175" s="36">
        <v>-668</v>
      </c>
      <c r="AG175" s="36">
        <v>-1375</v>
      </c>
      <c r="AH175" s="36">
        <v>-9215</v>
      </c>
      <c r="AI175" s="20">
        <f t="shared" si="7"/>
        <v>-38438</v>
      </c>
      <c r="AJ175" s="20">
        <f t="shared" si="8"/>
        <v>14</v>
      </c>
    </row>
    <row r="176" spans="1:36" x14ac:dyDescent="0.2">
      <c r="A176" s="17" t="s">
        <v>4776</v>
      </c>
      <c r="B176" s="17">
        <v>36992</v>
      </c>
      <c r="Q176" s="20">
        <v>13497</v>
      </c>
      <c r="R176" s="20">
        <v>14503</v>
      </c>
      <c r="S176" s="20">
        <v>1966</v>
      </c>
      <c r="T176" s="20">
        <v>6848</v>
      </c>
      <c r="U176" s="20">
        <v>3106</v>
      </c>
      <c r="V176" s="20">
        <v>6</v>
      </c>
      <c r="W176" s="20">
        <f t="shared" si="6"/>
        <v>39926</v>
      </c>
      <c r="X176" s="36">
        <v>-27994</v>
      </c>
      <c r="Y176" s="36"/>
      <c r="Z176" s="36"/>
      <c r="AA176" s="36"/>
      <c r="AB176" s="36"/>
      <c r="AC176" s="36"/>
      <c r="AD176" s="36"/>
      <c r="AE176" s="36">
        <v>-6</v>
      </c>
      <c r="AF176" s="36">
        <v>-462</v>
      </c>
      <c r="AG176" s="36">
        <v>-1368</v>
      </c>
      <c r="AH176" s="36">
        <v>-10083</v>
      </c>
      <c r="AI176" s="20">
        <f t="shared" si="7"/>
        <v>-39913</v>
      </c>
      <c r="AJ176" s="20">
        <f t="shared" si="8"/>
        <v>13</v>
      </c>
    </row>
    <row r="177" spans="1:36" x14ac:dyDescent="0.2">
      <c r="A177" s="17" t="s">
        <v>4777</v>
      </c>
      <c r="B177" s="17">
        <v>36999</v>
      </c>
      <c r="Q177" s="20">
        <v>13497</v>
      </c>
      <c r="R177" s="20">
        <v>14553</v>
      </c>
      <c r="S177" s="20">
        <v>1592</v>
      </c>
      <c r="T177" s="20">
        <v>7935</v>
      </c>
      <c r="U177" s="20">
        <v>3001</v>
      </c>
      <c r="V177" s="20">
        <v>13</v>
      </c>
      <c r="W177" s="20">
        <f t="shared" si="6"/>
        <v>40591</v>
      </c>
      <c r="X177" s="36">
        <v>-28037</v>
      </c>
      <c r="Y177" s="36"/>
      <c r="Z177" s="36"/>
      <c r="AA177" s="36"/>
      <c r="AB177" s="36"/>
      <c r="AC177" s="36"/>
      <c r="AD177" s="36"/>
      <c r="AE177" s="36">
        <v>-13</v>
      </c>
      <c r="AF177" s="36">
        <v>-437</v>
      </c>
      <c r="AG177" s="36">
        <v>-1465</v>
      </c>
      <c r="AH177" s="36">
        <v>-10625</v>
      </c>
      <c r="AI177" s="20">
        <f t="shared" si="7"/>
        <v>-40577</v>
      </c>
      <c r="AJ177" s="20">
        <f t="shared" si="8"/>
        <v>14</v>
      </c>
    </row>
    <row r="178" spans="1:36" x14ac:dyDescent="0.2">
      <c r="A178" s="17" t="s">
        <v>4778</v>
      </c>
      <c r="B178" s="17">
        <v>37006</v>
      </c>
      <c r="Q178" s="20">
        <v>13498</v>
      </c>
      <c r="R178" s="20">
        <v>13802</v>
      </c>
      <c r="S178" s="20">
        <v>1618</v>
      </c>
      <c r="T178" s="20">
        <v>6800</v>
      </c>
      <c r="U178" s="20">
        <v>2849</v>
      </c>
      <c r="V178" s="20">
        <v>5</v>
      </c>
      <c r="W178" s="20">
        <f t="shared" si="6"/>
        <v>38572</v>
      </c>
      <c r="X178" s="36">
        <v>-27295</v>
      </c>
      <c r="Y178" s="36"/>
      <c r="Z178" s="36"/>
      <c r="AA178" s="36"/>
      <c r="AB178" s="36"/>
      <c r="AC178" s="36"/>
      <c r="AD178" s="36"/>
      <c r="AE178" s="36">
        <v>-5</v>
      </c>
      <c r="AF178" s="36">
        <v>-427</v>
      </c>
      <c r="AG178" s="36">
        <v>-1433</v>
      </c>
      <c r="AH178" s="36">
        <v>-9397</v>
      </c>
      <c r="AI178" s="20">
        <f t="shared" si="7"/>
        <v>-38557</v>
      </c>
      <c r="AJ178" s="20">
        <f t="shared" si="8"/>
        <v>15</v>
      </c>
    </row>
    <row r="179" spans="1:36" x14ac:dyDescent="0.2">
      <c r="A179" s="17" t="s">
        <v>4779</v>
      </c>
      <c r="B179" s="17">
        <v>37013</v>
      </c>
      <c r="Q179" s="20">
        <v>13498</v>
      </c>
      <c r="R179" s="20">
        <v>13982</v>
      </c>
      <c r="S179" s="20">
        <v>1643</v>
      </c>
      <c r="T179" s="20">
        <v>7138</v>
      </c>
      <c r="U179" s="20">
        <v>2841</v>
      </c>
      <c r="V179" s="20">
        <v>9</v>
      </c>
      <c r="W179" s="20">
        <f t="shared" si="6"/>
        <v>39111</v>
      </c>
      <c r="X179" s="36">
        <v>-27471</v>
      </c>
      <c r="Y179" s="36"/>
      <c r="Z179" s="36"/>
      <c r="AA179" s="36"/>
      <c r="AB179" s="36"/>
      <c r="AC179" s="36"/>
      <c r="AD179" s="36"/>
      <c r="AE179" s="36">
        <v>-9</v>
      </c>
      <c r="AF179" s="36">
        <v>-427</v>
      </c>
      <c r="AG179" s="36">
        <v>-1380</v>
      </c>
      <c r="AH179" s="36">
        <v>-9809</v>
      </c>
      <c r="AI179" s="20">
        <f t="shared" si="7"/>
        <v>-39096</v>
      </c>
      <c r="AJ179" s="20">
        <f t="shared" si="8"/>
        <v>15</v>
      </c>
    </row>
    <row r="180" spans="1:36" x14ac:dyDescent="0.2">
      <c r="A180" s="17" t="s">
        <v>4780</v>
      </c>
      <c r="B180" s="17">
        <v>37020</v>
      </c>
      <c r="Q180" s="20">
        <v>13498</v>
      </c>
      <c r="R180" s="20">
        <v>14142</v>
      </c>
      <c r="S180" s="20">
        <v>1643</v>
      </c>
      <c r="T180" s="20">
        <v>7007</v>
      </c>
      <c r="U180" s="20">
        <v>2830</v>
      </c>
      <c r="V180" s="20">
        <v>5</v>
      </c>
      <c r="W180" s="20">
        <f t="shared" si="6"/>
        <v>39125</v>
      </c>
      <c r="X180" s="36">
        <v>-27635</v>
      </c>
      <c r="Y180" s="36"/>
      <c r="Z180" s="36"/>
      <c r="AA180" s="36"/>
      <c r="AB180" s="36"/>
      <c r="AC180" s="36"/>
      <c r="AD180" s="36"/>
      <c r="AE180" s="36">
        <v>-5</v>
      </c>
      <c r="AF180" s="36">
        <v>-419</v>
      </c>
      <c r="AG180" s="36">
        <v>-1435</v>
      </c>
      <c r="AH180" s="36">
        <v>-9617</v>
      </c>
      <c r="AI180" s="20">
        <f t="shared" si="7"/>
        <v>-39111</v>
      </c>
      <c r="AJ180" s="20">
        <f t="shared" si="8"/>
        <v>14</v>
      </c>
    </row>
    <row r="181" spans="1:36" x14ac:dyDescent="0.2">
      <c r="A181" s="17" t="s">
        <v>4781</v>
      </c>
      <c r="B181" s="17">
        <v>37027</v>
      </c>
      <c r="Q181" s="20">
        <v>13498</v>
      </c>
      <c r="R181" s="20">
        <v>13672</v>
      </c>
      <c r="S181" s="20">
        <v>1668</v>
      </c>
      <c r="T181" s="20">
        <v>6769</v>
      </c>
      <c r="U181" s="20">
        <v>2828</v>
      </c>
      <c r="V181" s="20">
        <v>10</v>
      </c>
      <c r="W181" s="20">
        <f t="shared" si="6"/>
        <v>38445</v>
      </c>
      <c r="X181" s="36">
        <v>-27160</v>
      </c>
      <c r="Y181" s="36"/>
      <c r="Z181" s="36"/>
      <c r="AA181" s="36"/>
      <c r="AB181" s="36"/>
      <c r="AC181" s="36"/>
      <c r="AD181" s="36"/>
      <c r="AE181" s="36">
        <v>-10</v>
      </c>
      <c r="AF181" s="36">
        <v>-408</v>
      </c>
      <c r="AG181" s="36">
        <v>-1459</v>
      </c>
      <c r="AH181" s="36">
        <v>-9393</v>
      </c>
      <c r="AI181" s="20">
        <f t="shared" si="7"/>
        <v>-38430</v>
      </c>
      <c r="AJ181" s="20">
        <f t="shared" si="8"/>
        <v>15</v>
      </c>
    </row>
    <row r="182" spans="1:36" x14ac:dyDescent="0.2">
      <c r="A182" s="17" t="s">
        <v>4782</v>
      </c>
      <c r="B182" s="17">
        <v>37034</v>
      </c>
      <c r="Q182" s="20">
        <v>13498</v>
      </c>
      <c r="R182" s="20">
        <v>13872</v>
      </c>
      <c r="S182" s="20">
        <v>1694</v>
      </c>
      <c r="T182" s="20">
        <v>7580</v>
      </c>
      <c r="U182" s="20">
        <v>2975</v>
      </c>
      <c r="V182" s="20">
        <v>6</v>
      </c>
      <c r="W182" s="20">
        <f t="shared" si="6"/>
        <v>39625</v>
      </c>
      <c r="X182" s="36">
        <v>-27364</v>
      </c>
      <c r="Y182" s="36"/>
      <c r="Z182" s="36"/>
      <c r="AA182" s="36"/>
      <c r="AB182" s="36"/>
      <c r="AC182" s="36"/>
      <c r="AD182" s="36"/>
      <c r="AE182" s="36">
        <v>-6</v>
      </c>
      <c r="AF182" s="36">
        <v>-382</v>
      </c>
      <c r="AG182" s="36">
        <v>-1392</v>
      </c>
      <c r="AH182" s="36">
        <v>-10467</v>
      </c>
      <c r="AI182" s="20">
        <f t="shared" si="7"/>
        <v>-39611</v>
      </c>
      <c r="AJ182" s="20">
        <f t="shared" si="8"/>
        <v>14</v>
      </c>
    </row>
    <row r="183" spans="1:36" x14ac:dyDescent="0.2">
      <c r="A183" s="17" t="s">
        <v>4783</v>
      </c>
      <c r="B183" s="17">
        <v>37041</v>
      </c>
      <c r="Q183" s="20">
        <v>13498</v>
      </c>
      <c r="R183" s="20">
        <v>14702</v>
      </c>
      <c r="S183" s="20">
        <v>1733</v>
      </c>
      <c r="T183" s="20">
        <v>7329</v>
      </c>
      <c r="U183" s="20">
        <v>2778</v>
      </c>
      <c r="V183" s="20">
        <v>12</v>
      </c>
      <c r="W183" s="20">
        <f t="shared" si="6"/>
        <v>40052</v>
      </c>
      <c r="X183" s="36">
        <v>-28188</v>
      </c>
      <c r="Y183" s="36"/>
      <c r="Z183" s="36"/>
      <c r="AA183" s="36"/>
      <c r="AB183" s="36"/>
      <c r="AC183" s="36"/>
      <c r="AD183" s="36"/>
      <c r="AE183" s="36">
        <v>-12</v>
      </c>
      <c r="AF183" s="36">
        <v>-415</v>
      </c>
      <c r="AG183" s="36">
        <v>-1363</v>
      </c>
      <c r="AH183" s="36">
        <v>-10060</v>
      </c>
      <c r="AI183" s="20">
        <f t="shared" si="7"/>
        <v>-40038</v>
      </c>
      <c r="AJ183" s="20">
        <f t="shared" si="8"/>
        <v>14</v>
      </c>
    </row>
    <row r="184" spans="1:36" x14ac:dyDescent="0.2">
      <c r="A184" s="17" t="s">
        <v>4784</v>
      </c>
      <c r="B184" s="17">
        <v>37048</v>
      </c>
      <c r="Q184" s="20">
        <v>13494</v>
      </c>
      <c r="R184" s="20">
        <v>14016</v>
      </c>
      <c r="S184" s="20">
        <v>1733</v>
      </c>
      <c r="T184" s="20">
        <v>6887</v>
      </c>
      <c r="U184" s="20">
        <v>2788</v>
      </c>
      <c r="V184" s="20">
        <v>11</v>
      </c>
      <c r="W184" s="20">
        <f t="shared" si="6"/>
        <v>38929</v>
      </c>
      <c r="X184" s="36">
        <v>-27499</v>
      </c>
      <c r="Y184" s="36"/>
      <c r="Z184" s="36"/>
      <c r="AA184" s="36"/>
      <c r="AB184" s="36"/>
      <c r="AC184" s="36"/>
      <c r="AD184" s="36"/>
      <c r="AE184" s="36">
        <v>-11</v>
      </c>
      <c r="AF184" s="36">
        <v>-387</v>
      </c>
      <c r="AG184" s="36">
        <v>-1447</v>
      </c>
      <c r="AH184" s="36">
        <v>-9570</v>
      </c>
      <c r="AI184" s="20">
        <f t="shared" si="7"/>
        <v>-38914</v>
      </c>
      <c r="AJ184" s="20">
        <f t="shared" si="8"/>
        <v>15</v>
      </c>
    </row>
    <row r="185" spans="1:36" x14ac:dyDescent="0.2">
      <c r="A185" s="17" t="s">
        <v>4785</v>
      </c>
      <c r="B185" s="17">
        <v>37055</v>
      </c>
      <c r="Q185" s="20">
        <v>13494</v>
      </c>
      <c r="R185" s="20">
        <v>13916</v>
      </c>
      <c r="S185" s="20">
        <v>1746</v>
      </c>
      <c r="T185" s="20">
        <v>6935</v>
      </c>
      <c r="U185" s="20">
        <v>2824</v>
      </c>
      <c r="V185" s="20">
        <v>6</v>
      </c>
      <c r="W185" s="20">
        <f t="shared" si="6"/>
        <v>38921</v>
      </c>
      <c r="X185" s="36">
        <v>-27404</v>
      </c>
      <c r="Y185" s="36"/>
      <c r="Z185" s="36"/>
      <c r="AA185" s="36"/>
      <c r="AB185" s="36"/>
      <c r="AC185" s="36"/>
      <c r="AD185" s="36"/>
      <c r="AE185" s="36">
        <v>-6</v>
      </c>
      <c r="AF185" s="36">
        <v>-424</v>
      </c>
      <c r="AG185" s="36">
        <v>-1498</v>
      </c>
      <c r="AH185" s="36">
        <v>-9575</v>
      </c>
      <c r="AI185" s="20">
        <f t="shared" si="7"/>
        <v>-38907</v>
      </c>
      <c r="AJ185" s="20">
        <f t="shared" si="8"/>
        <v>14</v>
      </c>
    </row>
    <row r="186" spans="1:36" x14ac:dyDescent="0.2">
      <c r="A186" s="17" t="s">
        <v>4786</v>
      </c>
      <c r="B186" s="17">
        <v>37062</v>
      </c>
      <c r="Q186" s="20">
        <v>13494</v>
      </c>
      <c r="R186" s="20">
        <v>13906</v>
      </c>
      <c r="S186" s="20">
        <v>1746</v>
      </c>
      <c r="T186" s="20">
        <v>6389</v>
      </c>
      <c r="U186" s="20">
        <v>2795</v>
      </c>
      <c r="V186" s="20">
        <v>10</v>
      </c>
      <c r="W186" s="20">
        <f t="shared" si="6"/>
        <v>38340</v>
      </c>
      <c r="X186" s="36">
        <v>-27390</v>
      </c>
      <c r="Y186" s="36"/>
      <c r="Z186" s="36"/>
      <c r="AA186" s="36"/>
      <c r="AB186" s="36"/>
      <c r="AC186" s="36"/>
      <c r="AD186" s="36"/>
      <c r="AE186" s="36">
        <v>-10</v>
      </c>
      <c r="AF186" s="36">
        <v>-407</v>
      </c>
      <c r="AG186" s="36">
        <v>-1483</v>
      </c>
      <c r="AH186" s="36">
        <v>-9036</v>
      </c>
      <c r="AI186" s="20">
        <f t="shared" si="7"/>
        <v>-38326</v>
      </c>
      <c r="AJ186" s="20">
        <f t="shared" si="8"/>
        <v>14</v>
      </c>
    </row>
    <row r="187" spans="1:36" x14ac:dyDescent="0.2">
      <c r="A187" s="17" t="s">
        <v>4787</v>
      </c>
      <c r="B187" s="17">
        <v>37069</v>
      </c>
      <c r="Q187" s="20">
        <v>13495</v>
      </c>
      <c r="R187" s="20">
        <v>14135</v>
      </c>
      <c r="S187" s="20">
        <v>1759</v>
      </c>
      <c r="T187" s="20">
        <v>6640</v>
      </c>
      <c r="U187" s="20">
        <v>2791</v>
      </c>
      <c r="V187" s="20">
        <v>11</v>
      </c>
      <c r="W187" s="20">
        <f t="shared" si="6"/>
        <v>38831</v>
      </c>
      <c r="X187" s="36">
        <v>-27619</v>
      </c>
      <c r="Y187" s="36"/>
      <c r="Z187" s="36"/>
      <c r="AA187" s="36"/>
      <c r="AB187" s="36"/>
      <c r="AC187" s="36"/>
      <c r="AD187" s="36"/>
      <c r="AE187" s="36">
        <v>-11</v>
      </c>
      <c r="AF187" s="36">
        <v>-396</v>
      </c>
      <c r="AG187" s="36">
        <v>-1523</v>
      </c>
      <c r="AH187" s="36">
        <v>-9266</v>
      </c>
      <c r="AI187" s="20">
        <f t="shared" si="7"/>
        <v>-38815</v>
      </c>
      <c r="AJ187" s="20">
        <f t="shared" si="8"/>
        <v>16</v>
      </c>
    </row>
    <row r="188" spans="1:36" x14ac:dyDescent="0.2">
      <c r="A188" s="17" t="s">
        <v>4788</v>
      </c>
      <c r="B188" s="17">
        <v>37076</v>
      </c>
      <c r="Q188" s="20">
        <v>13495</v>
      </c>
      <c r="R188" s="20">
        <v>14245</v>
      </c>
      <c r="S188" s="20">
        <v>1798</v>
      </c>
      <c r="T188" s="20">
        <v>6180</v>
      </c>
      <c r="U188" s="20">
        <v>2775</v>
      </c>
      <c r="V188" s="20">
        <v>6</v>
      </c>
      <c r="W188" s="20">
        <f t="shared" si="6"/>
        <v>38499</v>
      </c>
      <c r="X188" s="36">
        <v>-27734</v>
      </c>
      <c r="Y188" s="36"/>
      <c r="Z188" s="36"/>
      <c r="AA188" s="36"/>
      <c r="AB188" s="36"/>
      <c r="AC188" s="36"/>
      <c r="AD188" s="36"/>
      <c r="AE188" s="36">
        <v>-6</v>
      </c>
      <c r="AF188" s="36">
        <v>-402</v>
      </c>
      <c r="AG188" s="36">
        <v>-1431</v>
      </c>
      <c r="AH188" s="36">
        <v>-8911</v>
      </c>
      <c r="AI188" s="20">
        <f t="shared" si="7"/>
        <v>-38484</v>
      </c>
      <c r="AJ188" s="20">
        <f t="shared" si="8"/>
        <v>15</v>
      </c>
    </row>
    <row r="189" spans="1:36" x14ac:dyDescent="0.2">
      <c r="A189" s="17" t="s">
        <v>4789</v>
      </c>
      <c r="B189" s="17">
        <v>37083</v>
      </c>
      <c r="Q189" s="20">
        <v>13561</v>
      </c>
      <c r="R189" s="20">
        <v>14199</v>
      </c>
      <c r="S189" s="20">
        <v>1798</v>
      </c>
      <c r="T189" s="20">
        <v>6175</v>
      </c>
      <c r="U189" s="20">
        <v>2790</v>
      </c>
      <c r="V189" s="20">
        <v>8</v>
      </c>
      <c r="W189" s="20">
        <f t="shared" si="6"/>
        <v>38531</v>
      </c>
      <c r="X189" s="36">
        <v>-27752</v>
      </c>
      <c r="Y189" s="36"/>
      <c r="Z189" s="36"/>
      <c r="AA189" s="36"/>
      <c r="AB189" s="36"/>
      <c r="AC189" s="36"/>
      <c r="AD189" s="36"/>
      <c r="AE189" s="36">
        <v>-8</v>
      </c>
      <c r="AF189" s="36">
        <v>-394</v>
      </c>
      <c r="AG189" s="36">
        <v>-1453</v>
      </c>
      <c r="AH189" s="36">
        <v>-8910</v>
      </c>
      <c r="AI189" s="20">
        <f t="shared" si="7"/>
        <v>-38517</v>
      </c>
      <c r="AJ189" s="20">
        <f t="shared" si="8"/>
        <v>14</v>
      </c>
    </row>
    <row r="190" spans="1:36" x14ac:dyDescent="0.2">
      <c r="A190" s="17" t="s">
        <v>4790</v>
      </c>
      <c r="B190" s="17">
        <v>37090</v>
      </c>
      <c r="Q190" s="20">
        <v>13965</v>
      </c>
      <c r="R190" s="20">
        <v>13915</v>
      </c>
      <c r="S190" s="20">
        <v>1798</v>
      </c>
      <c r="T190" s="20">
        <v>7193</v>
      </c>
      <c r="U190" s="20">
        <v>2808</v>
      </c>
      <c r="V190" s="20">
        <v>12</v>
      </c>
      <c r="W190" s="20">
        <f t="shared" si="6"/>
        <v>39691</v>
      </c>
      <c r="X190" s="36">
        <v>-27868</v>
      </c>
      <c r="Y190" s="36"/>
      <c r="Z190" s="36"/>
      <c r="AA190" s="36"/>
      <c r="AB190" s="36"/>
      <c r="AC190" s="36"/>
      <c r="AD190" s="36"/>
      <c r="AE190" s="36">
        <v>-12</v>
      </c>
      <c r="AF190" s="36">
        <v>-453</v>
      </c>
      <c r="AG190" s="36">
        <v>-1981</v>
      </c>
      <c r="AH190" s="36">
        <v>-9362</v>
      </c>
      <c r="AI190" s="20">
        <f t="shared" si="7"/>
        <v>-39676</v>
      </c>
      <c r="AJ190" s="20">
        <f t="shared" si="8"/>
        <v>15</v>
      </c>
    </row>
    <row r="191" spans="1:36" x14ac:dyDescent="0.2">
      <c r="A191" s="17" t="s">
        <v>4791</v>
      </c>
      <c r="B191" s="17">
        <v>37097</v>
      </c>
      <c r="Q191" s="20">
        <v>13495</v>
      </c>
      <c r="R191" s="20">
        <v>14545</v>
      </c>
      <c r="S191" s="20">
        <v>1798</v>
      </c>
      <c r="T191" s="20">
        <v>6203</v>
      </c>
      <c r="U191" s="20">
        <v>3091</v>
      </c>
      <c r="V191" s="20">
        <v>7</v>
      </c>
      <c r="W191" s="20">
        <f t="shared" si="6"/>
        <v>39139</v>
      </c>
      <c r="X191" s="36">
        <v>-28033</v>
      </c>
      <c r="Y191" s="36"/>
      <c r="Z191" s="36"/>
      <c r="AA191" s="36"/>
      <c r="AB191" s="36"/>
      <c r="AC191" s="36"/>
      <c r="AD191" s="36"/>
      <c r="AE191" s="36">
        <v>-7</v>
      </c>
      <c r="AF191" s="36">
        <v>-423</v>
      </c>
      <c r="AG191" s="36">
        <v>-1431</v>
      </c>
      <c r="AH191" s="36">
        <v>-9230</v>
      </c>
      <c r="AI191" s="20">
        <f t="shared" si="7"/>
        <v>-39124</v>
      </c>
      <c r="AJ191" s="20">
        <f t="shared" si="8"/>
        <v>15</v>
      </c>
    </row>
    <row r="192" spans="1:36" x14ac:dyDescent="0.2">
      <c r="A192" s="17" t="s">
        <v>4792</v>
      </c>
      <c r="B192" s="17">
        <v>37104</v>
      </c>
      <c r="Q192" s="20">
        <v>13495</v>
      </c>
      <c r="R192" s="20">
        <v>14945</v>
      </c>
      <c r="S192" s="20">
        <v>1798</v>
      </c>
      <c r="T192" s="20">
        <v>6022</v>
      </c>
      <c r="U192" s="20">
        <v>3249</v>
      </c>
      <c r="V192" s="20">
        <v>5</v>
      </c>
      <c r="W192" s="20">
        <f t="shared" si="6"/>
        <v>39514</v>
      </c>
      <c r="X192" s="36">
        <v>-28435</v>
      </c>
      <c r="Y192" s="36"/>
      <c r="Z192" s="36"/>
      <c r="AA192" s="36"/>
      <c r="AB192" s="36"/>
      <c r="AC192" s="36"/>
      <c r="AD192" s="36"/>
      <c r="AE192" s="36">
        <v>-5</v>
      </c>
      <c r="AF192" s="36">
        <v>-433</v>
      </c>
      <c r="AG192" s="36">
        <v>-1450</v>
      </c>
      <c r="AH192" s="36">
        <v>-9177</v>
      </c>
      <c r="AI192" s="20">
        <f t="shared" si="7"/>
        <v>-39500</v>
      </c>
      <c r="AJ192" s="20">
        <f t="shared" si="8"/>
        <v>14</v>
      </c>
    </row>
    <row r="193" spans="1:36" x14ac:dyDescent="0.2">
      <c r="A193" s="17" t="s">
        <v>4793</v>
      </c>
      <c r="B193" s="17">
        <v>37111</v>
      </c>
      <c r="Q193" s="20">
        <v>13500</v>
      </c>
      <c r="R193" s="20">
        <v>14710</v>
      </c>
      <c r="S193" s="20">
        <v>1798</v>
      </c>
      <c r="T193" s="20">
        <v>6051</v>
      </c>
      <c r="U193" s="20">
        <v>3318</v>
      </c>
      <c r="V193" s="20">
        <v>13</v>
      </c>
      <c r="W193" s="20">
        <f t="shared" si="6"/>
        <v>39390</v>
      </c>
      <c r="X193" s="36">
        <v>-28197</v>
      </c>
      <c r="Y193" s="36"/>
      <c r="Z193" s="36"/>
      <c r="AA193" s="36"/>
      <c r="AB193" s="36"/>
      <c r="AC193" s="36"/>
      <c r="AD193" s="36"/>
      <c r="AE193" s="36">
        <v>-13</v>
      </c>
      <c r="AF193" s="36">
        <v>-407</v>
      </c>
      <c r="AG193" s="36">
        <v>-1469</v>
      </c>
      <c r="AH193" s="36">
        <v>-9290</v>
      </c>
      <c r="AI193" s="20">
        <f t="shared" si="7"/>
        <v>-39376</v>
      </c>
      <c r="AJ193" s="20">
        <f t="shared" si="8"/>
        <v>14</v>
      </c>
    </row>
    <row r="194" spans="1:36" x14ac:dyDescent="0.2">
      <c r="A194" s="17" t="s">
        <v>4794</v>
      </c>
      <c r="B194" s="17">
        <v>37118</v>
      </c>
      <c r="Q194" s="20">
        <v>13493</v>
      </c>
      <c r="R194" s="20">
        <v>14677</v>
      </c>
      <c r="S194" s="20">
        <v>1798</v>
      </c>
      <c r="T194" s="20">
        <v>6235</v>
      </c>
      <c r="U194" s="20">
        <v>3387</v>
      </c>
      <c r="V194" s="20">
        <v>12</v>
      </c>
      <c r="W194" s="20">
        <f t="shared" si="6"/>
        <v>39602</v>
      </c>
      <c r="X194" s="36">
        <v>-28158</v>
      </c>
      <c r="Y194" s="36"/>
      <c r="Z194" s="36"/>
      <c r="AA194" s="36"/>
      <c r="AB194" s="36"/>
      <c r="AC194" s="36"/>
      <c r="AD194" s="36"/>
      <c r="AE194" s="36">
        <v>-12</v>
      </c>
      <c r="AF194" s="36">
        <v>-416</v>
      </c>
      <c r="AG194" s="36">
        <v>-1770</v>
      </c>
      <c r="AH194" s="36">
        <v>-9230</v>
      </c>
      <c r="AI194" s="20">
        <f t="shared" si="7"/>
        <v>-39586</v>
      </c>
      <c r="AJ194" s="20">
        <f t="shared" si="8"/>
        <v>16</v>
      </c>
    </row>
    <row r="195" spans="1:36" x14ac:dyDescent="0.2">
      <c r="A195" s="17" t="s">
        <v>4795</v>
      </c>
      <c r="B195" s="17">
        <v>37125</v>
      </c>
      <c r="Q195" s="20">
        <v>13494</v>
      </c>
      <c r="R195" s="20">
        <v>15056</v>
      </c>
      <c r="S195" s="20">
        <v>1798</v>
      </c>
      <c r="T195" s="20">
        <v>5834</v>
      </c>
      <c r="U195" s="20">
        <v>3398</v>
      </c>
      <c r="V195" s="20">
        <v>9</v>
      </c>
      <c r="W195" s="20">
        <f t="shared" si="6"/>
        <v>39589</v>
      </c>
      <c r="X195" s="36">
        <v>-28541</v>
      </c>
      <c r="Y195" s="36"/>
      <c r="Z195" s="36"/>
      <c r="AA195" s="36"/>
      <c r="AB195" s="36"/>
      <c r="AC195" s="36"/>
      <c r="AD195" s="36"/>
      <c r="AE195" s="36">
        <v>-9</v>
      </c>
      <c r="AF195" s="36">
        <v>-412</v>
      </c>
      <c r="AG195" s="36">
        <v>-1519</v>
      </c>
      <c r="AH195" s="36">
        <v>-9092</v>
      </c>
      <c r="AI195" s="20">
        <f t="shared" si="7"/>
        <v>-39573</v>
      </c>
      <c r="AJ195" s="20">
        <f t="shared" si="8"/>
        <v>16</v>
      </c>
    </row>
    <row r="196" spans="1:36" x14ac:dyDescent="0.2">
      <c r="A196" s="17" t="s">
        <v>4796</v>
      </c>
      <c r="B196" s="17">
        <v>37132</v>
      </c>
      <c r="Q196" s="20">
        <v>13494</v>
      </c>
      <c r="R196" s="20">
        <v>15496</v>
      </c>
      <c r="S196" s="20">
        <v>1798</v>
      </c>
      <c r="T196" s="20">
        <v>5813</v>
      </c>
      <c r="U196" s="20">
        <v>3382</v>
      </c>
      <c r="V196" s="20">
        <v>6</v>
      </c>
      <c r="W196" s="20">
        <f t="shared" si="6"/>
        <v>39989</v>
      </c>
      <c r="X196" s="36">
        <v>-28984</v>
      </c>
      <c r="Y196" s="36"/>
      <c r="Z196" s="36"/>
      <c r="AA196" s="36"/>
      <c r="AB196" s="36"/>
      <c r="AC196" s="36"/>
      <c r="AD196" s="36"/>
      <c r="AE196" s="36">
        <v>-6</v>
      </c>
      <c r="AF196" s="36">
        <v>-446</v>
      </c>
      <c r="AG196" s="36">
        <v>-1579</v>
      </c>
      <c r="AH196" s="36">
        <v>-8958</v>
      </c>
      <c r="AI196" s="20">
        <f t="shared" si="7"/>
        <v>-39973</v>
      </c>
      <c r="AJ196" s="20">
        <f t="shared" si="8"/>
        <v>16</v>
      </c>
    </row>
    <row r="197" spans="1:36" x14ac:dyDescent="0.2">
      <c r="A197" s="17" t="s">
        <v>4797</v>
      </c>
      <c r="B197" s="17">
        <v>37139</v>
      </c>
      <c r="Q197" s="20">
        <v>13496</v>
      </c>
      <c r="R197" s="20">
        <v>14944</v>
      </c>
      <c r="S197" s="20">
        <v>1796</v>
      </c>
      <c r="T197" s="20">
        <v>5897</v>
      </c>
      <c r="U197" s="20">
        <v>3376</v>
      </c>
      <c r="V197" s="20">
        <v>11</v>
      </c>
      <c r="W197" s="20">
        <f t="shared" si="6"/>
        <v>39520</v>
      </c>
      <c r="X197" s="36">
        <v>-28429</v>
      </c>
      <c r="Y197" s="36"/>
      <c r="Z197" s="36"/>
      <c r="AA197" s="36"/>
      <c r="AB197" s="36"/>
      <c r="AC197" s="36"/>
      <c r="AD197" s="36"/>
      <c r="AE197" s="36">
        <v>-11</v>
      </c>
      <c r="AF197" s="36">
        <v>-398</v>
      </c>
      <c r="AG197" s="36">
        <v>-1570</v>
      </c>
      <c r="AH197" s="36">
        <v>-9097</v>
      </c>
      <c r="AI197" s="20">
        <f t="shared" si="7"/>
        <v>-39505</v>
      </c>
      <c r="AJ197" s="20">
        <f t="shared" si="8"/>
        <v>15</v>
      </c>
    </row>
    <row r="198" spans="1:36" x14ac:dyDescent="0.2">
      <c r="A198" s="17" t="s">
        <v>4798</v>
      </c>
      <c r="B198" s="17">
        <v>37146</v>
      </c>
      <c r="Q198" s="20">
        <v>13496</v>
      </c>
      <c r="R198" s="20">
        <v>14774</v>
      </c>
      <c r="S198" s="20">
        <v>1796</v>
      </c>
      <c r="T198" s="20">
        <v>6506</v>
      </c>
      <c r="U198" s="20">
        <v>3474</v>
      </c>
      <c r="V198" s="20">
        <v>10</v>
      </c>
      <c r="W198" s="20">
        <f t="shared" si="6"/>
        <v>40056</v>
      </c>
      <c r="X198" s="36">
        <v>-28260</v>
      </c>
      <c r="Y198" s="36"/>
      <c r="Z198" s="36"/>
      <c r="AA198" s="36"/>
      <c r="AB198" s="36"/>
      <c r="AC198" s="36"/>
      <c r="AD198" s="36"/>
      <c r="AE198" s="36">
        <v>-10</v>
      </c>
      <c r="AF198" s="36">
        <v>-378</v>
      </c>
      <c r="AG198" s="36">
        <v>-1931</v>
      </c>
      <c r="AH198" s="36">
        <v>-9462</v>
      </c>
      <c r="AI198" s="20">
        <f t="shared" si="7"/>
        <v>-40041</v>
      </c>
      <c r="AJ198" s="20">
        <f t="shared" si="8"/>
        <v>15</v>
      </c>
    </row>
    <row r="199" spans="1:36" x14ac:dyDescent="0.2">
      <c r="A199" s="17" t="s">
        <v>4799</v>
      </c>
      <c r="B199" s="17">
        <v>37153</v>
      </c>
      <c r="Q199" s="20">
        <v>13501</v>
      </c>
      <c r="R199" s="20">
        <v>14739</v>
      </c>
      <c r="S199" s="20">
        <v>1796</v>
      </c>
      <c r="T199" s="20">
        <v>5773</v>
      </c>
      <c r="U199" s="20">
        <v>3534</v>
      </c>
      <c r="V199" s="20">
        <v>4</v>
      </c>
      <c r="W199" s="20">
        <f t="shared" ref="W199:W262" si="9">SUM(Q199:V199)</f>
        <v>39347</v>
      </c>
      <c r="X199" s="36">
        <v>-28236</v>
      </c>
      <c r="Y199" s="36"/>
      <c r="Z199" s="36"/>
      <c r="AA199" s="36"/>
      <c r="AB199" s="36"/>
      <c r="AC199" s="36"/>
      <c r="AD199" s="36"/>
      <c r="AE199" s="36">
        <v>-4</v>
      </c>
      <c r="AF199" s="36">
        <v>-384</v>
      </c>
      <c r="AG199" s="36">
        <v>-1560</v>
      </c>
      <c r="AH199" s="36">
        <v>-9148</v>
      </c>
      <c r="AI199" s="20">
        <f t="shared" ref="AI199:AI262" si="10">SUM(X199,AE199:AH199)</f>
        <v>-39332</v>
      </c>
      <c r="AJ199" s="20">
        <f t="shared" ref="AJ199:AJ262" si="11">W199+AI199</f>
        <v>15</v>
      </c>
    </row>
    <row r="200" spans="1:36" x14ac:dyDescent="0.2">
      <c r="A200" s="17" t="s">
        <v>4800</v>
      </c>
      <c r="B200" s="17">
        <v>37160</v>
      </c>
      <c r="Q200" s="20">
        <v>13545</v>
      </c>
      <c r="R200" s="20">
        <v>14835</v>
      </c>
      <c r="S200" s="20">
        <v>1796</v>
      </c>
      <c r="T200" s="20">
        <v>5970</v>
      </c>
      <c r="U200" s="20">
        <v>3555</v>
      </c>
      <c r="V200" s="20">
        <v>8</v>
      </c>
      <c r="W200" s="20">
        <f t="shared" si="9"/>
        <v>39709</v>
      </c>
      <c r="X200" s="36">
        <v>-28372</v>
      </c>
      <c r="Y200" s="36"/>
      <c r="Z200" s="36"/>
      <c r="AA200" s="36"/>
      <c r="AB200" s="36"/>
      <c r="AC200" s="36"/>
      <c r="AD200" s="36"/>
      <c r="AE200" s="36">
        <v>-8</v>
      </c>
      <c r="AF200" s="36">
        <v>-405</v>
      </c>
      <c r="AG200" s="36">
        <v>-1573</v>
      </c>
      <c r="AH200" s="36">
        <v>-9337</v>
      </c>
      <c r="AI200" s="20">
        <f t="shared" si="10"/>
        <v>-39695</v>
      </c>
      <c r="AJ200" s="20">
        <f t="shared" si="11"/>
        <v>14</v>
      </c>
    </row>
    <row r="201" spans="1:36" x14ac:dyDescent="0.2">
      <c r="A201" s="17" t="s">
        <v>4801</v>
      </c>
      <c r="B201" s="17">
        <v>37167</v>
      </c>
      <c r="Q201" s="20">
        <v>13496</v>
      </c>
      <c r="R201" s="20">
        <v>14934</v>
      </c>
      <c r="S201" s="20">
        <v>1796</v>
      </c>
      <c r="T201" s="20">
        <v>5865</v>
      </c>
      <c r="U201" s="20">
        <v>3612</v>
      </c>
      <c r="V201" s="20">
        <v>3</v>
      </c>
      <c r="W201" s="20">
        <f t="shared" si="9"/>
        <v>39706</v>
      </c>
      <c r="X201" s="36">
        <v>-28427</v>
      </c>
      <c r="Y201" s="36"/>
      <c r="Z201" s="36"/>
      <c r="AA201" s="36"/>
      <c r="AB201" s="36"/>
      <c r="AC201" s="36"/>
      <c r="AD201" s="36"/>
      <c r="AE201" s="36">
        <v>-3</v>
      </c>
      <c r="AF201" s="36">
        <v>-392</v>
      </c>
      <c r="AG201" s="36">
        <v>-1620</v>
      </c>
      <c r="AH201" s="36">
        <v>-9252</v>
      </c>
      <c r="AI201" s="20">
        <f t="shared" si="10"/>
        <v>-39694</v>
      </c>
      <c r="AJ201" s="20">
        <f t="shared" si="11"/>
        <v>12</v>
      </c>
    </row>
    <row r="202" spans="1:36" x14ac:dyDescent="0.2">
      <c r="A202" s="17" t="s">
        <v>4802</v>
      </c>
      <c r="B202" s="17">
        <v>37174</v>
      </c>
      <c r="Q202" s="20">
        <v>13496</v>
      </c>
      <c r="R202" s="20">
        <v>14874</v>
      </c>
      <c r="S202" s="20">
        <v>1796</v>
      </c>
      <c r="T202" s="20">
        <v>5877</v>
      </c>
      <c r="U202" s="20">
        <v>3611</v>
      </c>
      <c r="V202" s="20">
        <v>4</v>
      </c>
      <c r="W202" s="20">
        <f t="shared" si="9"/>
        <v>39658</v>
      </c>
      <c r="X202" s="36">
        <v>-28366</v>
      </c>
      <c r="Y202" s="36"/>
      <c r="Z202" s="36"/>
      <c r="AA202" s="36"/>
      <c r="AB202" s="36"/>
      <c r="AC202" s="36"/>
      <c r="AD202" s="36"/>
      <c r="AE202" s="36">
        <v>-4</v>
      </c>
      <c r="AF202" s="36">
        <v>-377</v>
      </c>
      <c r="AG202" s="36">
        <v>-1580</v>
      </c>
      <c r="AH202" s="36">
        <v>-9316</v>
      </c>
      <c r="AI202" s="20">
        <f t="shared" si="10"/>
        <v>-39643</v>
      </c>
      <c r="AJ202" s="20">
        <f t="shared" si="11"/>
        <v>15</v>
      </c>
    </row>
    <row r="203" spans="1:36" x14ac:dyDescent="0.2">
      <c r="A203" s="17" t="s">
        <v>4803</v>
      </c>
      <c r="B203" s="17">
        <v>37181</v>
      </c>
      <c r="Q203" s="20">
        <v>13496</v>
      </c>
      <c r="R203" s="20">
        <v>14864</v>
      </c>
      <c r="S203" s="20">
        <v>1796</v>
      </c>
      <c r="T203" s="20">
        <v>5573</v>
      </c>
      <c r="U203" s="20">
        <v>3768</v>
      </c>
      <c r="V203" s="20">
        <v>4</v>
      </c>
      <c r="W203" s="20">
        <f t="shared" si="9"/>
        <v>39501</v>
      </c>
      <c r="X203" s="36">
        <v>-28356</v>
      </c>
      <c r="Y203" s="36"/>
      <c r="Z203" s="36"/>
      <c r="AA203" s="36"/>
      <c r="AB203" s="36"/>
      <c r="AC203" s="36"/>
      <c r="AD203" s="36"/>
      <c r="AE203" s="36">
        <v>-4</v>
      </c>
      <c r="AF203" s="36">
        <v>-359</v>
      </c>
      <c r="AG203" s="36">
        <v>-1549</v>
      </c>
      <c r="AH203" s="36">
        <v>-9218</v>
      </c>
      <c r="AI203" s="20">
        <f t="shared" si="10"/>
        <v>-39486</v>
      </c>
      <c r="AJ203" s="20">
        <f t="shared" si="11"/>
        <v>15</v>
      </c>
    </row>
    <row r="204" spans="1:36" x14ac:dyDescent="0.2">
      <c r="A204" s="17" t="s">
        <v>4804</v>
      </c>
      <c r="B204" s="17">
        <v>37188</v>
      </c>
      <c r="Q204" s="20">
        <v>13496</v>
      </c>
      <c r="R204" s="20">
        <v>14994</v>
      </c>
      <c r="S204" s="20">
        <v>1796</v>
      </c>
      <c r="T204" s="20">
        <v>5599</v>
      </c>
      <c r="U204" s="20">
        <v>3905</v>
      </c>
      <c r="V204" s="20">
        <v>5</v>
      </c>
      <c r="W204" s="20">
        <f t="shared" si="9"/>
        <v>39795</v>
      </c>
      <c r="X204" s="36">
        <v>-28485</v>
      </c>
      <c r="Y204" s="36"/>
      <c r="Z204" s="36"/>
      <c r="AA204" s="36"/>
      <c r="AB204" s="36"/>
      <c r="AC204" s="36"/>
      <c r="AD204" s="36"/>
      <c r="AE204" s="36">
        <v>-5</v>
      </c>
      <c r="AF204" s="36">
        <v>-386</v>
      </c>
      <c r="AG204" s="36">
        <v>-1533</v>
      </c>
      <c r="AH204" s="36">
        <v>-9372</v>
      </c>
      <c r="AI204" s="20">
        <f t="shared" si="10"/>
        <v>-39781</v>
      </c>
      <c r="AJ204" s="20">
        <f t="shared" si="11"/>
        <v>14</v>
      </c>
    </row>
    <row r="205" spans="1:36" x14ac:dyDescent="0.2">
      <c r="A205" s="17" t="s">
        <v>4805</v>
      </c>
      <c r="B205" s="17">
        <v>37195</v>
      </c>
      <c r="Q205" s="20">
        <v>13496</v>
      </c>
      <c r="R205" s="20">
        <v>15194</v>
      </c>
      <c r="S205" s="20">
        <v>1796</v>
      </c>
      <c r="T205" s="20">
        <v>5623</v>
      </c>
      <c r="U205" s="20">
        <v>3899</v>
      </c>
      <c r="V205" s="20">
        <v>10</v>
      </c>
      <c r="W205" s="20">
        <f t="shared" si="9"/>
        <v>40018</v>
      </c>
      <c r="X205" s="36">
        <v>-28680</v>
      </c>
      <c r="Y205" s="36"/>
      <c r="Z205" s="36"/>
      <c r="AA205" s="36"/>
      <c r="AB205" s="36"/>
      <c r="AC205" s="36"/>
      <c r="AD205" s="36"/>
      <c r="AE205" s="36">
        <v>-10</v>
      </c>
      <c r="AF205" s="36">
        <v>-444</v>
      </c>
      <c r="AG205" s="36">
        <v>-1510</v>
      </c>
      <c r="AH205" s="36">
        <v>-9360</v>
      </c>
      <c r="AI205" s="20">
        <f t="shared" si="10"/>
        <v>-40004</v>
      </c>
      <c r="AJ205" s="20">
        <f t="shared" si="11"/>
        <v>14</v>
      </c>
    </row>
    <row r="206" spans="1:36" x14ac:dyDescent="0.2">
      <c r="A206" s="17" t="s">
        <v>4806</v>
      </c>
      <c r="B206" s="17">
        <v>37202</v>
      </c>
      <c r="Q206" s="20">
        <v>13590</v>
      </c>
      <c r="R206" s="20">
        <v>15250</v>
      </c>
      <c r="S206" s="20">
        <v>1796</v>
      </c>
      <c r="T206" s="20">
        <v>7239</v>
      </c>
      <c r="U206" s="20">
        <v>3879</v>
      </c>
      <c r="V206" s="20">
        <v>8</v>
      </c>
      <c r="W206" s="20">
        <f t="shared" si="9"/>
        <v>41762</v>
      </c>
      <c r="X206" s="36">
        <v>-28832</v>
      </c>
      <c r="Y206" s="36"/>
      <c r="Z206" s="36"/>
      <c r="AA206" s="36"/>
      <c r="AB206" s="36"/>
      <c r="AC206" s="36"/>
      <c r="AD206" s="36"/>
      <c r="AE206" s="36">
        <v>-8</v>
      </c>
      <c r="AF206" s="36">
        <v>-419</v>
      </c>
      <c r="AG206" s="36">
        <v>-3001</v>
      </c>
      <c r="AH206" s="36">
        <v>-9488</v>
      </c>
      <c r="AI206" s="20">
        <f t="shared" si="10"/>
        <v>-41748</v>
      </c>
      <c r="AJ206" s="20">
        <f t="shared" si="11"/>
        <v>14</v>
      </c>
    </row>
    <row r="207" spans="1:36" x14ac:dyDescent="0.2">
      <c r="A207" s="17" t="s">
        <v>4807</v>
      </c>
      <c r="B207" s="17">
        <v>37209</v>
      </c>
      <c r="Q207" s="20">
        <v>13527</v>
      </c>
      <c r="R207" s="20">
        <v>15473</v>
      </c>
      <c r="S207" s="20">
        <v>1796</v>
      </c>
      <c r="T207" s="20">
        <v>5673</v>
      </c>
      <c r="U207" s="20">
        <v>3864</v>
      </c>
      <c r="V207" s="20">
        <v>10</v>
      </c>
      <c r="W207" s="20">
        <f t="shared" si="9"/>
        <v>40343</v>
      </c>
      <c r="X207" s="36">
        <v>-28990</v>
      </c>
      <c r="Y207" s="36"/>
      <c r="Z207" s="36"/>
      <c r="AA207" s="36"/>
      <c r="AB207" s="36"/>
      <c r="AC207" s="36"/>
      <c r="AD207" s="36"/>
      <c r="AE207" s="36">
        <v>-10</v>
      </c>
      <c r="AF207" s="36">
        <v>-390</v>
      </c>
      <c r="AG207" s="36">
        <v>-1531</v>
      </c>
      <c r="AH207" s="36">
        <v>-9407</v>
      </c>
      <c r="AI207" s="20">
        <f t="shared" si="10"/>
        <v>-40328</v>
      </c>
      <c r="AJ207" s="20">
        <f t="shared" si="11"/>
        <v>15</v>
      </c>
    </row>
    <row r="208" spans="1:36" x14ac:dyDescent="0.2">
      <c r="A208" s="17" t="s">
        <v>4808</v>
      </c>
      <c r="B208" s="17">
        <v>37216</v>
      </c>
      <c r="Q208" s="20">
        <v>13497</v>
      </c>
      <c r="R208" s="20">
        <v>15753</v>
      </c>
      <c r="S208" s="20">
        <v>1796</v>
      </c>
      <c r="T208" s="20">
        <v>5594</v>
      </c>
      <c r="U208" s="20">
        <v>3948</v>
      </c>
      <c r="V208" s="20">
        <v>7</v>
      </c>
      <c r="W208" s="20">
        <f t="shared" si="9"/>
        <v>40595</v>
      </c>
      <c r="X208" s="36">
        <v>-29244</v>
      </c>
      <c r="Y208" s="36"/>
      <c r="Z208" s="36"/>
      <c r="AA208" s="36"/>
      <c r="AB208" s="36"/>
      <c r="AC208" s="36"/>
      <c r="AD208" s="36"/>
      <c r="AE208" s="36">
        <v>-6</v>
      </c>
      <c r="AF208" s="36">
        <v>-381</v>
      </c>
      <c r="AG208" s="36">
        <v>-1552</v>
      </c>
      <c r="AH208" s="36">
        <v>-9397</v>
      </c>
      <c r="AI208" s="20">
        <f t="shared" si="10"/>
        <v>-40580</v>
      </c>
      <c r="AJ208" s="20">
        <f t="shared" si="11"/>
        <v>15</v>
      </c>
    </row>
    <row r="209" spans="1:36" x14ac:dyDescent="0.2">
      <c r="A209" s="17" t="s">
        <v>4809</v>
      </c>
      <c r="B209" s="17">
        <v>37223</v>
      </c>
      <c r="Q209" s="20">
        <v>13947</v>
      </c>
      <c r="R209" s="20">
        <v>15973</v>
      </c>
      <c r="S209" s="20">
        <v>1796</v>
      </c>
      <c r="T209" s="20">
        <v>5592</v>
      </c>
      <c r="U209" s="20">
        <v>4169</v>
      </c>
      <c r="V209" s="20">
        <v>12</v>
      </c>
      <c r="W209" s="20">
        <f t="shared" si="9"/>
        <v>41489</v>
      </c>
      <c r="X209" s="36">
        <v>-29908</v>
      </c>
      <c r="Y209" s="36"/>
      <c r="Z209" s="36"/>
      <c r="AA209" s="36"/>
      <c r="AB209" s="36"/>
      <c r="AC209" s="36"/>
      <c r="AD209" s="36"/>
      <c r="AE209" s="36">
        <v>-12</v>
      </c>
      <c r="AF209" s="36">
        <v>-424</v>
      </c>
      <c r="AG209" s="36">
        <v>-1528</v>
      </c>
      <c r="AH209" s="36">
        <v>-9603</v>
      </c>
      <c r="AI209" s="20">
        <f t="shared" si="10"/>
        <v>-41475</v>
      </c>
      <c r="AJ209" s="20">
        <f t="shared" si="11"/>
        <v>14</v>
      </c>
    </row>
    <row r="210" spans="1:36" x14ac:dyDescent="0.2">
      <c r="A210" s="17" t="s">
        <v>4810</v>
      </c>
      <c r="B210" s="17">
        <v>37230</v>
      </c>
      <c r="Q210" s="20">
        <v>14045</v>
      </c>
      <c r="R210" s="20">
        <v>16155</v>
      </c>
      <c r="S210" s="20">
        <v>1795</v>
      </c>
      <c r="T210" s="20">
        <v>5586</v>
      </c>
      <c r="U210" s="20">
        <v>4197</v>
      </c>
      <c r="V210" s="20">
        <v>11</v>
      </c>
      <c r="W210" s="20">
        <f t="shared" si="9"/>
        <v>41789</v>
      </c>
      <c r="X210" s="36">
        <v>-30189</v>
      </c>
      <c r="Y210" s="36"/>
      <c r="Z210" s="36"/>
      <c r="AA210" s="36"/>
      <c r="AB210" s="36"/>
      <c r="AC210" s="36"/>
      <c r="AD210" s="36"/>
      <c r="AE210" s="36">
        <v>-11</v>
      </c>
      <c r="AF210" s="36">
        <v>-379</v>
      </c>
      <c r="AG210" s="36">
        <v>-1584</v>
      </c>
      <c r="AH210" s="36">
        <v>-9611</v>
      </c>
      <c r="AI210" s="20">
        <f t="shared" si="10"/>
        <v>-41774</v>
      </c>
      <c r="AJ210" s="20">
        <f t="shared" si="11"/>
        <v>15</v>
      </c>
    </row>
    <row r="211" spans="1:36" x14ac:dyDescent="0.2">
      <c r="A211" s="17" t="s">
        <v>4811</v>
      </c>
      <c r="B211" s="17">
        <v>37237</v>
      </c>
      <c r="Q211" s="20">
        <v>13496</v>
      </c>
      <c r="R211" s="20">
        <v>17084</v>
      </c>
      <c r="S211" s="20">
        <v>1795</v>
      </c>
      <c r="T211" s="20">
        <v>5969</v>
      </c>
      <c r="U211" s="20">
        <v>4328</v>
      </c>
      <c r="V211" s="20">
        <v>4</v>
      </c>
      <c r="W211" s="20">
        <f t="shared" si="9"/>
        <v>42676</v>
      </c>
      <c r="X211" s="36">
        <v>-30576</v>
      </c>
      <c r="Y211" s="36"/>
      <c r="Z211" s="36"/>
      <c r="AA211" s="36"/>
      <c r="AB211" s="36"/>
      <c r="AC211" s="36"/>
      <c r="AD211" s="36"/>
      <c r="AE211" s="36">
        <v>-4</v>
      </c>
      <c r="AF211" s="36">
        <v>-398</v>
      </c>
      <c r="AG211" s="36">
        <v>-1570</v>
      </c>
      <c r="AH211" s="36">
        <v>-10113</v>
      </c>
      <c r="AI211" s="20">
        <f t="shared" si="10"/>
        <v>-42661</v>
      </c>
      <c r="AJ211" s="20">
        <f t="shared" si="11"/>
        <v>15</v>
      </c>
    </row>
    <row r="212" spans="1:36" x14ac:dyDescent="0.2">
      <c r="A212" s="17" t="s">
        <v>4812</v>
      </c>
      <c r="B212" s="17">
        <v>37244</v>
      </c>
      <c r="Q212" s="20">
        <v>13996</v>
      </c>
      <c r="R212" s="20">
        <v>18234</v>
      </c>
      <c r="S212" s="20">
        <v>1795</v>
      </c>
      <c r="T212" s="20">
        <v>6413</v>
      </c>
      <c r="U212" s="20">
        <v>4428</v>
      </c>
      <c r="V212" s="20">
        <v>4</v>
      </c>
      <c r="W212" s="20">
        <f t="shared" si="9"/>
        <v>44870</v>
      </c>
      <c r="X212" s="36">
        <v>-32226</v>
      </c>
      <c r="Y212" s="36"/>
      <c r="Z212" s="36"/>
      <c r="AA212" s="36"/>
      <c r="AB212" s="36"/>
      <c r="AC212" s="36"/>
      <c r="AD212" s="36"/>
      <c r="AE212" s="36">
        <v>-4</v>
      </c>
      <c r="AF212" s="36">
        <v>-437</v>
      </c>
      <c r="AG212" s="36">
        <v>-2354</v>
      </c>
      <c r="AH212" s="36">
        <v>-9834</v>
      </c>
      <c r="AI212" s="20">
        <f t="shared" si="10"/>
        <v>-44855</v>
      </c>
      <c r="AJ212" s="20">
        <f t="shared" si="11"/>
        <v>15</v>
      </c>
    </row>
    <row r="213" spans="1:36" x14ac:dyDescent="0.2">
      <c r="A213" s="17" t="s">
        <v>4812</v>
      </c>
      <c r="B213" s="17">
        <v>37249</v>
      </c>
      <c r="Q213" s="20">
        <v>13926</v>
      </c>
      <c r="R213" s="20">
        <v>18974</v>
      </c>
      <c r="S213" s="20">
        <v>1795</v>
      </c>
      <c r="T213" s="20">
        <v>5537</v>
      </c>
      <c r="U213" s="20">
        <v>4446</v>
      </c>
      <c r="V213" s="20">
        <v>5</v>
      </c>
      <c r="W213" s="20">
        <f t="shared" si="9"/>
        <v>44683</v>
      </c>
      <c r="X213" s="36">
        <v>-32895</v>
      </c>
      <c r="Y213" s="36"/>
      <c r="Z213" s="36"/>
      <c r="AA213" s="36"/>
      <c r="AB213" s="36"/>
      <c r="AC213" s="36"/>
      <c r="AD213" s="36"/>
      <c r="AE213" s="36">
        <v>-5</v>
      </c>
      <c r="AF213" s="36">
        <v>-452</v>
      </c>
      <c r="AG213" s="36">
        <v>-1571</v>
      </c>
      <c r="AH213" s="36">
        <v>-9746</v>
      </c>
      <c r="AI213" s="20">
        <f t="shared" si="10"/>
        <v>-44669</v>
      </c>
      <c r="AJ213" s="20">
        <f t="shared" si="11"/>
        <v>14</v>
      </c>
    </row>
    <row r="214" spans="1:36" x14ac:dyDescent="0.2">
      <c r="A214" s="17" t="s">
        <v>4813</v>
      </c>
      <c r="B214" s="17">
        <v>37251</v>
      </c>
      <c r="Q214" s="20">
        <v>13926</v>
      </c>
      <c r="R214" s="20">
        <v>18974</v>
      </c>
      <c r="S214" s="20">
        <v>1795</v>
      </c>
      <c r="T214" s="20">
        <v>5537</v>
      </c>
      <c r="U214" s="20">
        <v>4446</v>
      </c>
      <c r="V214" s="20">
        <v>5</v>
      </c>
      <c r="W214" s="20">
        <f t="shared" si="9"/>
        <v>44683</v>
      </c>
      <c r="X214" s="36">
        <v>-32895</v>
      </c>
      <c r="Y214" s="36"/>
      <c r="Z214" s="36"/>
      <c r="AA214" s="36"/>
      <c r="AB214" s="36"/>
      <c r="AC214" s="36"/>
      <c r="AD214" s="36"/>
      <c r="AE214" s="36">
        <v>-5</v>
      </c>
      <c r="AF214" s="36">
        <v>-452</v>
      </c>
      <c r="AG214" s="36">
        <v>-1571</v>
      </c>
      <c r="AH214" s="36">
        <v>-9746</v>
      </c>
      <c r="AI214" s="20">
        <f t="shared" si="10"/>
        <v>-44669</v>
      </c>
      <c r="AJ214" s="20">
        <f t="shared" si="11"/>
        <v>14</v>
      </c>
    </row>
    <row r="215" spans="1:36" x14ac:dyDescent="0.2">
      <c r="A215" s="17" t="s">
        <v>4814</v>
      </c>
      <c r="B215" s="17">
        <v>37258</v>
      </c>
      <c r="Q215" s="20">
        <v>13796</v>
      </c>
      <c r="R215" s="20">
        <v>18324</v>
      </c>
      <c r="S215" s="20">
        <v>1801</v>
      </c>
      <c r="T215" s="20">
        <v>5264</v>
      </c>
      <c r="U215" s="20">
        <v>4466</v>
      </c>
      <c r="V215" s="20">
        <v>8</v>
      </c>
      <c r="W215" s="20">
        <f t="shared" si="9"/>
        <v>43659</v>
      </c>
      <c r="X215" s="36">
        <v>-32113</v>
      </c>
      <c r="Y215" s="36"/>
      <c r="Z215" s="36"/>
      <c r="AA215" s="36"/>
      <c r="AB215" s="36"/>
      <c r="AC215" s="36"/>
      <c r="AD215" s="36"/>
      <c r="AE215" s="36">
        <v>-7</v>
      </c>
      <c r="AF215" s="36">
        <v>-412</v>
      </c>
      <c r="AG215" s="36">
        <v>-1605</v>
      </c>
      <c r="AH215" s="36">
        <v>-9506</v>
      </c>
      <c r="AI215" s="20">
        <f t="shared" si="10"/>
        <v>-43643</v>
      </c>
      <c r="AJ215" s="20">
        <f t="shared" si="11"/>
        <v>16</v>
      </c>
    </row>
    <row r="216" spans="1:36" x14ac:dyDescent="0.2">
      <c r="A216" s="17" t="s">
        <v>4815</v>
      </c>
      <c r="B216" s="17">
        <v>37265</v>
      </c>
      <c r="Q216" s="20">
        <v>13883</v>
      </c>
      <c r="R216" s="20">
        <v>16307</v>
      </c>
      <c r="S216" s="20">
        <v>1801</v>
      </c>
      <c r="T216" s="20">
        <v>5687</v>
      </c>
      <c r="U216" s="20">
        <v>4483</v>
      </c>
      <c r="V216" s="20">
        <v>4</v>
      </c>
      <c r="W216" s="20">
        <f t="shared" si="9"/>
        <v>42165</v>
      </c>
      <c r="X216" s="36">
        <v>-30186</v>
      </c>
      <c r="Y216" s="36"/>
      <c r="Z216" s="36"/>
      <c r="AA216" s="36"/>
      <c r="AB216" s="36"/>
      <c r="AC216" s="36"/>
      <c r="AD216" s="36"/>
      <c r="AE216" s="36">
        <v>-4</v>
      </c>
      <c r="AF216" s="36">
        <v>-487</v>
      </c>
      <c r="AG216" s="36">
        <v>-1653</v>
      </c>
      <c r="AH216" s="36">
        <v>-9820</v>
      </c>
      <c r="AI216" s="20">
        <f t="shared" si="10"/>
        <v>-42150</v>
      </c>
      <c r="AJ216" s="20">
        <f t="shared" si="11"/>
        <v>15</v>
      </c>
    </row>
    <row r="217" spans="1:36" x14ac:dyDescent="0.2">
      <c r="A217" s="17" t="s">
        <v>4816</v>
      </c>
      <c r="B217" s="17">
        <v>37272</v>
      </c>
      <c r="Q217" s="20">
        <v>13497</v>
      </c>
      <c r="R217" s="20">
        <v>15823</v>
      </c>
      <c r="S217" s="20">
        <v>1801</v>
      </c>
      <c r="T217" s="20">
        <v>5443</v>
      </c>
      <c r="U217" s="20">
        <v>4465</v>
      </c>
      <c r="V217" s="20">
        <v>4</v>
      </c>
      <c r="W217" s="20">
        <f t="shared" si="9"/>
        <v>41033</v>
      </c>
      <c r="X217" s="36">
        <v>-29316</v>
      </c>
      <c r="Y217" s="36"/>
      <c r="Z217" s="36"/>
      <c r="AA217" s="36"/>
      <c r="AB217" s="36"/>
      <c r="AC217" s="36"/>
      <c r="AD217" s="36"/>
      <c r="AE217" s="36">
        <v>-4</v>
      </c>
      <c r="AF217" s="36">
        <v>-438</v>
      </c>
      <c r="AG217" s="36">
        <v>-1644</v>
      </c>
      <c r="AH217" s="36">
        <v>-9616</v>
      </c>
      <c r="AI217" s="20">
        <f t="shared" si="10"/>
        <v>-41018</v>
      </c>
      <c r="AJ217" s="20">
        <f t="shared" si="11"/>
        <v>15</v>
      </c>
    </row>
    <row r="218" spans="1:36" x14ac:dyDescent="0.2">
      <c r="A218" s="17" t="s">
        <v>4817</v>
      </c>
      <c r="B218" s="17">
        <v>37279</v>
      </c>
      <c r="Q218" s="20">
        <v>13553</v>
      </c>
      <c r="R218" s="20">
        <v>15557</v>
      </c>
      <c r="S218" s="20">
        <v>1801</v>
      </c>
      <c r="T218" s="20">
        <v>6344</v>
      </c>
      <c r="U218" s="20">
        <v>4492</v>
      </c>
      <c r="V218" s="20">
        <v>6</v>
      </c>
      <c r="W218" s="20">
        <f t="shared" si="9"/>
        <v>41753</v>
      </c>
      <c r="X218" s="36">
        <v>-29104</v>
      </c>
      <c r="Y218" s="36"/>
      <c r="Z218" s="36"/>
      <c r="AA218" s="36"/>
      <c r="AB218" s="36"/>
      <c r="AC218" s="36"/>
      <c r="AD218" s="36"/>
      <c r="AE218" s="36">
        <v>-6</v>
      </c>
      <c r="AF218" s="36">
        <v>-373</v>
      </c>
      <c r="AG218" s="36">
        <v>-2318</v>
      </c>
      <c r="AH218" s="36">
        <v>-9938</v>
      </c>
      <c r="AI218" s="20">
        <f t="shared" si="10"/>
        <v>-41739</v>
      </c>
      <c r="AJ218" s="20">
        <f t="shared" si="11"/>
        <v>14</v>
      </c>
    </row>
    <row r="219" spans="1:36" x14ac:dyDescent="0.2">
      <c r="A219" s="17" t="s">
        <v>4818</v>
      </c>
      <c r="B219" s="17">
        <v>37286</v>
      </c>
      <c r="Q219" s="20">
        <v>13553</v>
      </c>
      <c r="R219" s="20">
        <v>15587</v>
      </c>
      <c r="S219" s="20">
        <v>1801</v>
      </c>
      <c r="T219" s="20">
        <v>5728</v>
      </c>
      <c r="U219" s="20">
        <v>4754</v>
      </c>
      <c r="V219" s="20">
        <v>8</v>
      </c>
      <c r="W219" s="20">
        <f t="shared" si="9"/>
        <v>41431</v>
      </c>
      <c r="X219" s="36">
        <v>-29132</v>
      </c>
      <c r="Y219" s="36"/>
      <c r="Z219" s="36"/>
      <c r="AA219" s="36"/>
      <c r="AB219" s="36"/>
      <c r="AC219" s="36"/>
      <c r="AD219" s="36"/>
      <c r="AE219" s="36">
        <v>-8</v>
      </c>
      <c r="AF219" s="36">
        <v>-443</v>
      </c>
      <c r="AG219" s="36">
        <v>-1640</v>
      </c>
      <c r="AH219" s="36">
        <v>-10193</v>
      </c>
      <c r="AI219" s="20">
        <f t="shared" si="10"/>
        <v>-41416</v>
      </c>
      <c r="AJ219" s="20">
        <f t="shared" si="11"/>
        <v>15</v>
      </c>
    </row>
    <row r="220" spans="1:36" x14ac:dyDescent="0.2">
      <c r="A220" s="17" t="s">
        <v>4819</v>
      </c>
      <c r="B220" s="17">
        <v>37293</v>
      </c>
      <c r="Q220" s="20">
        <v>14133</v>
      </c>
      <c r="R220" s="20">
        <v>14967</v>
      </c>
      <c r="S220" s="20">
        <v>1801</v>
      </c>
      <c r="T220" s="20">
        <v>5825</v>
      </c>
      <c r="U220" s="20">
        <v>4812</v>
      </c>
      <c r="V220" s="20">
        <v>13</v>
      </c>
      <c r="W220" s="20">
        <f t="shared" si="9"/>
        <v>41551</v>
      </c>
      <c r="X220" s="36">
        <v>-29087</v>
      </c>
      <c r="Y220" s="36"/>
      <c r="Z220" s="36"/>
      <c r="AA220" s="36"/>
      <c r="AB220" s="36"/>
      <c r="AC220" s="36"/>
      <c r="AD220" s="36"/>
      <c r="AE220" s="36">
        <v>-13</v>
      </c>
      <c r="AF220" s="36">
        <v>-387</v>
      </c>
      <c r="AG220" s="36">
        <v>-1635</v>
      </c>
      <c r="AH220" s="36">
        <v>-10414</v>
      </c>
      <c r="AI220" s="20">
        <f t="shared" si="10"/>
        <v>-41536</v>
      </c>
      <c r="AJ220" s="20">
        <f t="shared" si="11"/>
        <v>15</v>
      </c>
    </row>
    <row r="221" spans="1:36" x14ac:dyDescent="0.2">
      <c r="A221" s="17" t="s">
        <v>4820</v>
      </c>
      <c r="B221" s="17">
        <v>37300</v>
      </c>
      <c r="Q221" s="20">
        <v>13497</v>
      </c>
      <c r="R221" s="20">
        <v>15343</v>
      </c>
      <c r="S221" s="20">
        <v>1801</v>
      </c>
      <c r="T221" s="20">
        <v>5410</v>
      </c>
      <c r="U221" s="20">
        <v>5536</v>
      </c>
      <c r="V221" s="20">
        <v>10</v>
      </c>
      <c r="W221" s="20">
        <f t="shared" si="9"/>
        <v>41597</v>
      </c>
      <c r="X221" s="36">
        <v>-28830</v>
      </c>
      <c r="Y221" s="36"/>
      <c r="Z221" s="36"/>
      <c r="AA221" s="36"/>
      <c r="AB221" s="36"/>
      <c r="AC221" s="36"/>
      <c r="AD221" s="36"/>
      <c r="AE221" s="36">
        <v>-10</v>
      </c>
      <c r="AF221" s="36">
        <v>-378</v>
      </c>
      <c r="AG221" s="36">
        <v>-1913</v>
      </c>
      <c r="AH221" s="36">
        <v>-10451</v>
      </c>
      <c r="AI221" s="20">
        <f t="shared" si="10"/>
        <v>-41582</v>
      </c>
      <c r="AJ221" s="20">
        <f t="shared" si="11"/>
        <v>15</v>
      </c>
    </row>
    <row r="222" spans="1:36" x14ac:dyDescent="0.2">
      <c r="A222" s="17" t="s">
        <v>4821</v>
      </c>
      <c r="B222" s="17">
        <v>37307</v>
      </c>
      <c r="Q222" s="20">
        <v>13497</v>
      </c>
      <c r="R222" s="20">
        <v>15553</v>
      </c>
      <c r="S222" s="20">
        <v>1801</v>
      </c>
      <c r="T222" s="20">
        <v>5607</v>
      </c>
      <c r="U222" s="20">
        <v>4890</v>
      </c>
      <c r="V222" s="20">
        <v>4</v>
      </c>
      <c r="W222" s="20">
        <f t="shared" si="9"/>
        <v>41352</v>
      </c>
      <c r="X222" s="36">
        <v>-29046</v>
      </c>
      <c r="Y222" s="36"/>
      <c r="Z222" s="36"/>
      <c r="AA222" s="36"/>
      <c r="AB222" s="36"/>
      <c r="AC222" s="36"/>
      <c r="AD222" s="36"/>
      <c r="AE222" s="36">
        <v>-4</v>
      </c>
      <c r="AF222" s="36">
        <v>-372</v>
      </c>
      <c r="AG222" s="36">
        <v>-1656</v>
      </c>
      <c r="AH222" s="36">
        <v>-10261</v>
      </c>
      <c r="AI222" s="20">
        <f t="shared" si="10"/>
        <v>-41339</v>
      </c>
      <c r="AJ222" s="20">
        <f t="shared" si="11"/>
        <v>13</v>
      </c>
    </row>
    <row r="223" spans="1:36" x14ac:dyDescent="0.2">
      <c r="A223" s="17" t="s">
        <v>4822</v>
      </c>
      <c r="B223" s="17">
        <v>37314</v>
      </c>
      <c r="Q223" s="20">
        <v>13995</v>
      </c>
      <c r="R223" s="20">
        <v>15035</v>
      </c>
      <c r="S223" s="20">
        <v>1801</v>
      </c>
      <c r="T223" s="20">
        <v>5676</v>
      </c>
      <c r="U223" s="20">
        <v>5276</v>
      </c>
      <c r="V223" s="20">
        <v>8</v>
      </c>
      <c r="W223" s="20">
        <f t="shared" si="9"/>
        <v>41791</v>
      </c>
      <c r="X223" s="36">
        <v>-29022</v>
      </c>
      <c r="Y223" s="36"/>
      <c r="Z223" s="36"/>
      <c r="AA223" s="36"/>
      <c r="AB223" s="36"/>
      <c r="AC223" s="36"/>
      <c r="AD223" s="36"/>
      <c r="AE223" s="36">
        <v>-8</v>
      </c>
      <c r="AF223" s="36">
        <v>-613</v>
      </c>
      <c r="AG223" s="36">
        <v>-1626</v>
      </c>
      <c r="AH223" s="36">
        <v>-10507</v>
      </c>
      <c r="AI223" s="20">
        <f t="shared" si="10"/>
        <v>-41776</v>
      </c>
      <c r="AJ223" s="20">
        <f t="shared" si="11"/>
        <v>15</v>
      </c>
    </row>
    <row r="224" spans="1:36" x14ac:dyDescent="0.2">
      <c r="A224" s="17" t="s">
        <v>4823</v>
      </c>
      <c r="B224" s="17">
        <v>37321</v>
      </c>
      <c r="Q224" s="20">
        <v>13503</v>
      </c>
      <c r="R224" s="20">
        <v>15727</v>
      </c>
      <c r="S224" s="20">
        <v>1799</v>
      </c>
      <c r="T224" s="20">
        <v>5677</v>
      </c>
      <c r="U224" s="20">
        <v>4836</v>
      </c>
      <c r="V224" s="20">
        <v>13</v>
      </c>
      <c r="W224" s="20">
        <f t="shared" si="9"/>
        <v>41555</v>
      </c>
      <c r="X224" s="36">
        <v>-29217</v>
      </c>
      <c r="Y224" s="36"/>
      <c r="Z224" s="36"/>
      <c r="AA224" s="36"/>
      <c r="AB224" s="36"/>
      <c r="AC224" s="36"/>
      <c r="AD224" s="36"/>
      <c r="AE224" s="36">
        <v>-13</v>
      </c>
      <c r="AF224" s="36">
        <v>-388</v>
      </c>
      <c r="AG224" s="36">
        <v>-1611</v>
      </c>
      <c r="AH224" s="36">
        <v>-10311</v>
      </c>
      <c r="AI224" s="20">
        <f t="shared" si="10"/>
        <v>-41540</v>
      </c>
      <c r="AJ224" s="20">
        <f t="shared" si="11"/>
        <v>15</v>
      </c>
    </row>
    <row r="225" spans="1:36" x14ac:dyDescent="0.2">
      <c r="A225" s="17" t="s">
        <v>4824</v>
      </c>
      <c r="B225" s="17">
        <v>37328</v>
      </c>
      <c r="Q225" s="20">
        <v>13779</v>
      </c>
      <c r="R225" s="20">
        <v>15211</v>
      </c>
      <c r="S225" s="20">
        <v>1799</v>
      </c>
      <c r="T225" s="20">
        <v>5571</v>
      </c>
      <c r="U225" s="20">
        <v>4911</v>
      </c>
      <c r="V225" s="20">
        <v>7</v>
      </c>
      <c r="W225" s="20">
        <f t="shared" si="9"/>
        <v>41278</v>
      </c>
      <c r="X225" s="36">
        <v>-28983</v>
      </c>
      <c r="Y225" s="36"/>
      <c r="Z225" s="36"/>
      <c r="AA225" s="36"/>
      <c r="AB225" s="36"/>
      <c r="AC225" s="36"/>
      <c r="AD225" s="36"/>
      <c r="AE225" s="36">
        <v>-7</v>
      </c>
      <c r="AF225" s="36">
        <v>-386</v>
      </c>
      <c r="AG225" s="36">
        <v>-1585</v>
      </c>
      <c r="AH225" s="36">
        <v>-10303</v>
      </c>
      <c r="AI225" s="20">
        <f t="shared" si="10"/>
        <v>-41264</v>
      </c>
      <c r="AJ225" s="20">
        <f t="shared" si="11"/>
        <v>14</v>
      </c>
    </row>
    <row r="226" spans="1:36" x14ac:dyDescent="0.2">
      <c r="A226" s="17" t="s">
        <v>4825</v>
      </c>
      <c r="B226" s="17">
        <v>37335</v>
      </c>
      <c r="Q226" s="20">
        <v>13494</v>
      </c>
      <c r="R226" s="20">
        <v>15636</v>
      </c>
      <c r="S226" s="20">
        <v>1799</v>
      </c>
      <c r="T226" s="20">
        <v>5768</v>
      </c>
      <c r="U226" s="20">
        <v>5109</v>
      </c>
      <c r="V226" s="20">
        <v>8</v>
      </c>
      <c r="W226" s="20">
        <f t="shared" si="9"/>
        <v>41814</v>
      </c>
      <c r="X226" s="36">
        <v>-29122</v>
      </c>
      <c r="Y226" s="36"/>
      <c r="Z226" s="36"/>
      <c r="AA226" s="36"/>
      <c r="AB226" s="36"/>
      <c r="AC226" s="36"/>
      <c r="AD226" s="36"/>
      <c r="AE226" s="36">
        <v>-8</v>
      </c>
      <c r="AF226" s="36">
        <v>-419</v>
      </c>
      <c r="AG226" s="36">
        <v>-1759</v>
      </c>
      <c r="AH226" s="36">
        <v>-10491</v>
      </c>
      <c r="AI226" s="20">
        <f t="shared" si="10"/>
        <v>-41799</v>
      </c>
      <c r="AJ226" s="20">
        <f t="shared" si="11"/>
        <v>15</v>
      </c>
    </row>
    <row r="227" spans="1:36" x14ac:dyDescent="0.2">
      <c r="A227" s="17" t="s">
        <v>4826</v>
      </c>
      <c r="B227" s="17">
        <v>37342</v>
      </c>
      <c r="Q227" s="20">
        <v>13518</v>
      </c>
      <c r="R227" s="20">
        <v>16622</v>
      </c>
      <c r="S227" s="20">
        <v>1799</v>
      </c>
      <c r="T227" s="20">
        <v>5743</v>
      </c>
      <c r="U227" s="20">
        <v>5117</v>
      </c>
      <c r="V227" s="20">
        <v>11</v>
      </c>
      <c r="W227" s="20">
        <f t="shared" si="9"/>
        <v>42810</v>
      </c>
      <c r="X227" s="36">
        <v>-30129</v>
      </c>
      <c r="Y227" s="36"/>
      <c r="Z227" s="36"/>
      <c r="AA227" s="36"/>
      <c r="AB227" s="36"/>
      <c r="AC227" s="36"/>
      <c r="AD227" s="36"/>
      <c r="AE227" s="36">
        <v>-11</v>
      </c>
      <c r="AF227" s="36">
        <v>-381</v>
      </c>
      <c r="AG227" s="36">
        <v>-1638</v>
      </c>
      <c r="AH227" s="36">
        <v>-10636</v>
      </c>
      <c r="AI227" s="20">
        <f t="shared" si="10"/>
        <v>-42795</v>
      </c>
      <c r="AJ227" s="20">
        <f t="shared" si="11"/>
        <v>15</v>
      </c>
    </row>
    <row r="228" spans="1:36" x14ac:dyDescent="0.2">
      <c r="A228" s="17" t="s">
        <v>4827</v>
      </c>
      <c r="B228" s="17">
        <v>37349</v>
      </c>
      <c r="Q228" s="20">
        <v>13639</v>
      </c>
      <c r="R228" s="20">
        <v>16681</v>
      </c>
      <c r="S228" s="20">
        <v>1799</v>
      </c>
      <c r="T228" s="20">
        <v>5873</v>
      </c>
      <c r="U228" s="20">
        <v>5128</v>
      </c>
      <c r="V228" s="20">
        <v>10</v>
      </c>
      <c r="W228" s="20">
        <f t="shared" si="9"/>
        <v>43130</v>
      </c>
      <c r="X228" s="36">
        <v>-30310</v>
      </c>
      <c r="Y228" s="36"/>
      <c r="Z228" s="36"/>
      <c r="AA228" s="36"/>
      <c r="AB228" s="36"/>
      <c r="AC228" s="36"/>
      <c r="AD228" s="36"/>
      <c r="AE228" s="36">
        <v>-10</v>
      </c>
      <c r="AF228" s="36">
        <v>-384</v>
      </c>
      <c r="AG228" s="36">
        <v>-1659</v>
      </c>
      <c r="AH228" s="36">
        <v>-10753</v>
      </c>
      <c r="AI228" s="20">
        <f t="shared" si="10"/>
        <v>-43116</v>
      </c>
      <c r="AJ228" s="20">
        <f t="shared" si="11"/>
        <v>14</v>
      </c>
    </row>
    <row r="229" spans="1:36" x14ac:dyDescent="0.2">
      <c r="A229" s="17" t="s">
        <v>4828</v>
      </c>
      <c r="B229" s="17">
        <v>37356</v>
      </c>
      <c r="Q229" s="20">
        <v>13493</v>
      </c>
      <c r="R229" s="20">
        <v>15947</v>
      </c>
      <c r="S229" s="20">
        <v>1799</v>
      </c>
      <c r="T229" s="20">
        <v>5801</v>
      </c>
      <c r="U229" s="20">
        <v>5376</v>
      </c>
      <c r="V229" s="20">
        <v>12</v>
      </c>
      <c r="W229" s="20">
        <f t="shared" si="9"/>
        <v>42428</v>
      </c>
      <c r="X229" s="36">
        <v>-29428</v>
      </c>
      <c r="Y229" s="36"/>
      <c r="Z229" s="36"/>
      <c r="AA229" s="36"/>
      <c r="AB229" s="36"/>
      <c r="AC229" s="36"/>
      <c r="AD229" s="36"/>
      <c r="AE229" s="36">
        <v>-12</v>
      </c>
      <c r="AF229" s="36">
        <v>-429</v>
      </c>
      <c r="AG229" s="36">
        <v>-1622</v>
      </c>
      <c r="AH229" s="36">
        <v>-10922</v>
      </c>
      <c r="AI229" s="20">
        <f t="shared" si="10"/>
        <v>-42413</v>
      </c>
      <c r="AJ229" s="20">
        <f t="shared" si="11"/>
        <v>15</v>
      </c>
    </row>
    <row r="230" spans="1:36" x14ac:dyDescent="0.2">
      <c r="A230" s="17" t="s">
        <v>4829</v>
      </c>
      <c r="B230" s="17">
        <v>37363</v>
      </c>
      <c r="Q230" s="20">
        <v>13492</v>
      </c>
      <c r="R230" s="20">
        <v>15758</v>
      </c>
      <c r="S230" s="20">
        <v>1780</v>
      </c>
      <c r="T230" s="20">
        <v>5905</v>
      </c>
      <c r="U230" s="20">
        <v>5574</v>
      </c>
      <c r="V230" s="20">
        <v>4</v>
      </c>
      <c r="W230" s="20">
        <f t="shared" si="9"/>
        <v>42513</v>
      </c>
      <c r="X230" s="36">
        <v>-29246</v>
      </c>
      <c r="Y230" s="36"/>
      <c r="Z230" s="36"/>
      <c r="AA230" s="36"/>
      <c r="AB230" s="36"/>
      <c r="AC230" s="36"/>
      <c r="AD230" s="36"/>
      <c r="AE230" s="36">
        <v>-4</v>
      </c>
      <c r="AF230" s="36">
        <v>-394</v>
      </c>
      <c r="AG230" s="36">
        <v>-1617</v>
      </c>
      <c r="AH230" s="36">
        <v>-11237</v>
      </c>
      <c r="AI230" s="20">
        <f t="shared" si="10"/>
        <v>-42498</v>
      </c>
      <c r="AJ230" s="20">
        <f t="shared" si="11"/>
        <v>15</v>
      </c>
    </row>
    <row r="231" spans="1:36" x14ac:dyDescent="0.2">
      <c r="A231" s="17" t="s">
        <v>4830</v>
      </c>
      <c r="B231" s="17">
        <v>37370</v>
      </c>
      <c r="Q231" s="20">
        <v>13493</v>
      </c>
      <c r="R231" s="20">
        <v>15807</v>
      </c>
      <c r="S231" s="20">
        <v>1781</v>
      </c>
      <c r="T231" s="20">
        <v>5650</v>
      </c>
      <c r="U231" s="20">
        <v>5872</v>
      </c>
      <c r="V231" s="20">
        <v>9</v>
      </c>
      <c r="W231" s="20">
        <f t="shared" si="9"/>
        <v>42612</v>
      </c>
      <c r="X231" s="36">
        <v>-29291</v>
      </c>
      <c r="Y231" s="36"/>
      <c r="Z231" s="36"/>
      <c r="AA231" s="36"/>
      <c r="AB231" s="36"/>
      <c r="AC231" s="36"/>
      <c r="AD231" s="36"/>
      <c r="AE231" s="36">
        <v>-9</v>
      </c>
      <c r="AF231" s="36">
        <v>-396</v>
      </c>
      <c r="AG231" s="36">
        <v>-1604</v>
      </c>
      <c r="AH231" s="36">
        <v>-11298</v>
      </c>
      <c r="AI231" s="20">
        <f t="shared" si="10"/>
        <v>-42598</v>
      </c>
      <c r="AJ231" s="20">
        <f t="shared" si="11"/>
        <v>14</v>
      </c>
    </row>
    <row r="232" spans="1:36" x14ac:dyDescent="0.2">
      <c r="A232" s="17" t="s">
        <v>4831</v>
      </c>
      <c r="B232" s="17">
        <v>37377</v>
      </c>
      <c r="Q232" s="20">
        <v>13493</v>
      </c>
      <c r="R232" s="20">
        <v>16157</v>
      </c>
      <c r="S232" s="20">
        <v>1761</v>
      </c>
      <c r="T232" s="20">
        <v>5766</v>
      </c>
      <c r="U232" s="20">
        <v>5729</v>
      </c>
      <c r="V232" s="20">
        <v>12</v>
      </c>
      <c r="W232" s="20">
        <f t="shared" si="9"/>
        <v>42918</v>
      </c>
      <c r="X232" s="36">
        <v>-29638</v>
      </c>
      <c r="Y232" s="36"/>
      <c r="Z232" s="36"/>
      <c r="AA232" s="36"/>
      <c r="AB232" s="36"/>
      <c r="AC232" s="36"/>
      <c r="AD232" s="36"/>
      <c r="AE232" s="36">
        <v>-12</v>
      </c>
      <c r="AF232" s="36">
        <v>-379</v>
      </c>
      <c r="AG232" s="36">
        <v>-1615</v>
      </c>
      <c r="AH232" s="36">
        <v>-11258</v>
      </c>
      <c r="AI232" s="20">
        <f t="shared" si="10"/>
        <v>-42902</v>
      </c>
      <c r="AJ232" s="20">
        <f t="shared" si="11"/>
        <v>16</v>
      </c>
    </row>
    <row r="233" spans="1:36" x14ac:dyDescent="0.2">
      <c r="A233" s="17" t="s">
        <v>4832</v>
      </c>
      <c r="B233" s="17">
        <v>37384</v>
      </c>
      <c r="Q233" s="20">
        <v>13493</v>
      </c>
      <c r="R233" s="20">
        <v>16607</v>
      </c>
      <c r="S233" s="20">
        <v>1761</v>
      </c>
      <c r="T233" s="20">
        <v>5589</v>
      </c>
      <c r="U233" s="20">
        <v>5731</v>
      </c>
      <c r="V233" s="20">
        <v>10</v>
      </c>
      <c r="W233" s="20">
        <f t="shared" si="9"/>
        <v>43191</v>
      </c>
      <c r="X233" s="36">
        <v>-30090</v>
      </c>
      <c r="Y233" s="36"/>
      <c r="Z233" s="36"/>
      <c r="AA233" s="36"/>
      <c r="AB233" s="36"/>
      <c r="AC233" s="36"/>
      <c r="AD233" s="36"/>
      <c r="AE233" s="36">
        <v>-10</v>
      </c>
      <c r="AF233" s="36">
        <v>-427</v>
      </c>
      <c r="AG233" s="36">
        <v>-1588</v>
      </c>
      <c r="AH233" s="36">
        <v>-11060</v>
      </c>
      <c r="AI233" s="20">
        <f t="shared" si="10"/>
        <v>-43175</v>
      </c>
      <c r="AJ233" s="20">
        <f t="shared" si="11"/>
        <v>16</v>
      </c>
    </row>
    <row r="234" spans="1:36" x14ac:dyDescent="0.2">
      <c r="A234" s="17" t="s">
        <v>4833</v>
      </c>
      <c r="B234" s="17">
        <v>37391</v>
      </c>
      <c r="Q234" s="20">
        <v>13493</v>
      </c>
      <c r="R234" s="20">
        <v>16057</v>
      </c>
      <c r="S234" s="20">
        <v>1761</v>
      </c>
      <c r="T234" s="20">
        <v>5633</v>
      </c>
      <c r="U234" s="20">
        <v>5629</v>
      </c>
      <c r="V234" s="20">
        <v>6</v>
      </c>
      <c r="W234" s="20">
        <f t="shared" si="9"/>
        <v>42579</v>
      </c>
      <c r="X234" s="36">
        <v>-29544</v>
      </c>
      <c r="Y234" s="36"/>
      <c r="Z234" s="36"/>
      <c r="AA234" s="36"/>
      <c r="AB234" s="36"/>
      <c r="AC234" s="36"/>
      <c r="AD234" s="36"/>
      <c r="AE234" s="36">
        <v>-6</v>
      </c>
      <c r="AF234" s="36">
        <v>-403</v>
      </c>
      <c r="AG234" s="36">
        <v>-1582</v>
      </c>
      <c r="AH234" s="36">
        <v>-11029</v>
      </c>
      <c r="AI234" s="20">
        <f t="shared" si="10"/>
        <v>-42564</v>
      </c>
      <c r="AJ234" s="20">
        <f t="shared" si="11"/>
        <v>15</v>
      </c>
    </row>
    <row r="235" spans="1:36" x14ac:dyDescent="0.2">
      <c r="A235" s="17" t="s">
        <v>4834</v>
      </c>
      <c r="B235" s="17">
        <v>37398</v>
      </c>
      <c r="Q235" s="20">
        <v>13493</v>
      </c>
      <c r="R235" s="20">
        <v>16077</v>
      </c>
      <c r="S235" s="20">
        <v>1760</v>
      </c>
      <c r="T235" s="20">
        <v>5881</v>
      </c>
      <c r="U235" s="20">
        <v>5694</v>
      </c>
      <c r="V235" s="20">
        <v>9</v>
      </c>
      <c r="W235" s="20">
        <f t="shared" si="9"/>
        <v>42914</v>
      </c>
      <c r="X235" s="36">
        <v>-29561</v>
      </c>
      <c r="Y235" s="36"/>
      <c r="Z235" s="36"/>
      <c r="AA235" s="36"/>
      <c r="AB235" s="36"/>
      <c r="AC235" s="36"/>
      <c r="AD235" s="36"/>
      <c r="AE235" s="36">
        <v>-9</v>
      </c>
      <c r="AF235" s="36">
        <v>-411</v>
      </c>
      <c r="AG235" s="36">
        <v>-1567</v>
      </c>
      <c r="AH235" s="36">
        <v>-11353</v>
      </c>
      <c r="AI235" s="20">
        <f t="shared" si="10"/>
        <v>-42901</v>
      </c>
      <c r="AJ235" s="20">
        <f t="shared" si="11"/>
        <v>13</v>
      </c>
    </row>
    <row r="236" spans="1:36" x14ac:dyDescent="0.2">
      <c r="A236" s="17" t="s">
        <v>4835</v>
      </c>
      <c r="B236" s="17">
        <v>37405</v>
      </c>
      <c r="Q236" s="20">
        <v>13493</v>
      </c>
      <c r="R236" s="20">
        <v>17057</v>
      </c>
      <c r="S236" s="20">
        <v>1760</v>
      </c>
      <c r="T236" s="20">
        <v>6129</v>
      </c>
      <c r="U236" s="20">
        <v>5721</v>
      </c>
      <c r="V236" s="20">
        <v>5</v>
      </c>
      <c r="W236" s="20">
        <f t="shared" si="9"/>
        <v>44165</v>
      </c>
      <c r="X236" s="36">
        <v>-30545</v>
      </c>
      <c r="Y236" s="36"/>
      <c r="Z236" s="36"/>
      <c r="AA236" s="36"/>
      <c r="AB236" s="36"/>
      <c r="AC236" s="36"/>
      <c r="AD236" s="36"/>
      <c r="AE236" s="36">
        <v>-5</v>
      </c>
      <c r="AF236" s="36">
        <v>-422</v>
      </c>
      <c r="AG236" s="36">
        <v>-1916</v>
      </c>
      <c r="AH236" s="36">
        <v>-11262</v>
      </c>
      <c r="AI236" s="20">
        <f t="shared" si="10"/>
        <v>-44150</v>
      </c>
      <c r="AJ236" s="20">
        <f t="shared" si="11"/>
        <v>15</v>
      </c>
    </row>
    <row r="237" spans="1:36" x14ac:dyDescent="0.2">
      <c r="A237" s="17" t="s">
        <v>4836</v>
      </c>
      <c r="B237" s="17">
        <v>37412</v>
      </c>
      <c r="Q237" s="20">
        <v>13500</v>
      </c>
      <c r="R237" s="20">
        <v>17880</v>
      </c>
      <c r="S237" s="20">
        <v>1760</v>
      </c>
      <c r="T237" s="20">
        <v>5878</v>
      </c>
      <c r="U237" s="20">
        <v>5737</v>
      </c>
      <c r="V237" s="20">
        <v>13</v>
      </c>
      <c r="W237" s="20">
        <f t="shared" si="9"/>
        <v>44768</v>
      </c>
      <c r="X237" s="36">
        <v>-31367</v>
      </c>
      <c r="Y237" s="36"/>
      <c r="Z237" s="36"/>
      <c r="AA237" s="36"/>
      <c r="AB237" s="36"/>
      <c r="AC237" s="36"/>
      <c r="AD237" s="36"/>
      <c r="AE237" s="36">
        <v>-13</v>
      </c>
      <c r="AF237" s="36">
        <v>-396</v>
      </c>
      <c r="AG237" s="36">
        <v>-1672</v>
      </c>
      <c r="AH237" s="36">
        <v>-11305</v>
      </c>
      <c r="AI237" s="20">
        <f t="shared" si="10"/>
        <v>-44753</v>
      </c>
      <c r="AJ237" s="20">
        <f t="shared" si="11"/>
        <v>15</v>
      </c>
    </row>
    <row r="238" spans="1:36" x14ac:dyDescent="0.2">
      <c r="A238" s="17" t="s">
        <v>4837</v>
      </c>
      <c r="B238" s="17">
        <v>37419</v>
      </c>
      <c r="Q238" s="20">
        <v>13491</v>
      </c>
      <c r="R238" s="20">
        <v>16769</v>
      </c>
      <c r="S238" s="20">
        <v>1760</v>
      </c>
      <c r="T238" s="20">
        <v>6446</v>
      </c>
      <c r="U238" s="20">
        <v>5754</v>
      </c>
      <c r="V238" s="20">
        <v>5</v>
      </c>
      <c r="W238" s="20">
        <f t="shared" si="9"/>
        <v>44225</v>
      </c>
      <c r="X238" s="36">
        <v>-30255</v>
      </c>
      <c r="Y238" s="36"/>
      <c r="Z238" s="36"/>
      <c r="AA238" s="36"/>
      <c r="AB238" s="36"/>
      <c r="AC238" s="36"/>
      <c r="AD238" s="36"/>
      <c r="AE238" s="36">
        <v>-5</v>
      </c>
      <c r="AF238" s="36">
        <v>-440</v>
      </c>
      <c r="AG238" s="36">
        <v>-1964</v>
      </c>
      <c r="AH238" s="36">
        <v>-11546</v>
      </c>
      <c r="AI238" s="20">
        <f t="shared" si="10"/>
        <v>-44210</v>
      </c>
      <c r="AJ238" s="20">
        <f t="shared" si="11"/>
        <v>15</v>
      </c>
    </row>
    <row r="239" spans="1:36" x14ac:dyDescent="0.2">
      <c r="A239" s="17" t="s">
        <v>4838</v>
      </c>
      <c r="B239" s="17">
        <v>37426</v>
      </c>
      <c r="Q239" s="20">
        <v>13491</v>
      </c>
      <c r="R239" s="20">
        <v>16459</v>
      </c>
      <c r="S239" s="20">
        <v>1760</v>
      </c>
      <c r="T239" s="20">
        <v>5717</v>
      </c>
      <c r="U239" s="20">
        <v>5766</v>
      </c>
      <c r="V239" s="20">
        <v>4</v>
      </c>
      <c r="W239" s="20">
        <f t="shared" si="9"/>
        <v>43197</v>
      </c>
      <c r="X239" s="36">
        <v>-29946</v>
      </c>
      <c r="Y239" s="36"/>
      <c r="Z239" s="36"/>
      <c r="AA239" s="36"/>
      <c r="AB239" s="36"/>
      <c r="AC239" s="36"/>
      <c r="AD239" s="36"/>
      <c r="AE239" s="36">
        <v>-4</v>
      </c>
      <c r="AF239" s="36">
        <v>-404</v>
      </c>
      <c r="AG239" s="36">
        <v>-1635</v>
      </c>
      <c r="AH239" s="36">
        <v>-11193</v>
      </c>
      <c r="AI239" s="20">
        <f t="shared" si="10"/>
        <v>-43182</v>
      </c>
      <c r="AJ239" s="20">
        <f t="shared" si="11"/>
        <v>15</v>
      </c>
    </row>
    <row r="240" spans="1:36" x14ac:dyDescent="0.2">
      <c r="A240" s="17" t="s">
        <v>4839</v>
      </c>
      <c r="B240" s="17">
        <v>37433</v>
      </c>
      <c r="Q240" s="20">
        <v>13491</v>
      </c>
      <c r="R240" s="20">
        <v>16539</v>
      </c>
      <c r="S240" s="20">
        <v>1757</v>
      </c>
      <c r="T240" s="20">
        <v>5758</v>
      </c>
      <c r="U240" s="20">
        <v>5801</v>
      </c>
      <c r="V240" s="20">
        <v>8</v>
      </c>
      <c r="W240" s="20">
        <f t="shared" si="9"/>
        <v>43354</v>
      </c>
      <c r="X240" s="36">
        <v>-30021</v>
      </c>
      <c r="Y240" s="36"/>
      <c r="Z240" s="36"/>
      <c r="AA240" s="36"/>
      <c r="AB240" s="36"/>
      <c r="AC240" s="36"/>
      <c r="AD240" s="36"/>
      <c r="AE240" s="36">
        <v>-8</v>
      </c>
      <c r="AF240" s="36">
        <v>-487</v>
      </c>
      <c r="AG240" s="36">
        <v>-1617</v>
      </c>
      <c r="AH240" s="36">
        <v>-11206</v>
      </c>
      <c r="AI240" s="20">
        <f t="shared" si="10"/>
        <v>-43339</v>
      </c>
      <c r="AJ240" s="20">
        <f t="shared" si="11"/>
        <v>15</v>
      </c>
    </row>
    <row r="241" spans="1:36" x14ac:dyDescent="0.2">
      <c r="A241" s="17" t="s">
        <v>4840</v>
      </c>
      <c r="B241" s="17">
        <v>37440</v>
      </c>
      <c r="Q241" s="20">
        <v>13991</v>
      </c>
      <c r="R241" s="20">
        <v>16159</v>
      </c>
      <c r="S241" s="20">
        <v>1757</v>
      </c>
      <c r="T241" s="20">
        <v>5896</v>
      </c>
      <c r="U241" s="20">
        <v>5787</v>
      </c>
      <c r="V241" s="20">
        <v>6</v>
      </c>
      <c r="W241" s="20">
        <f t="shared" si="9"/>
        <v>43596</v>
      </c>
      <c r="X241" s="36">
        <v>-30144</v>
      </c>
      <c r="Y241" s="36"/>
      <c r="Z241" s="36"/>
      <c r="AA241" s="36"/>
      <c r="AB241" s="36"/>
      <c r="AC241" s="36"/>
      <c r="AD241" s="36"/>
      <c r="AE241" s="36">
        <v>-6</v>
      </c>
      <c r="AF241" s="36">
        <v>-632</v>
      </c>
      <c r="AG241" s="36">
        <v>-1661</v>
      </c>
      <c r="AH241" s="36">
        <v>-11138</v>
      </c>
      <c r="AI241" s="20">
        <f t="shared" si="10"/>
        <v>-43581</v>
      </c>
      <c r="AJ241" s="20">
        <f t="shared" si="11"/>
        <v>15</v>
      </c>
    </row>
    <row r="242" spans="1:36" x14ac:dyDescent="0.2">
      <c r="A242" s="17" t="s">
        <v>4841</v>
      </c>
      <c r="B242" s="17">
        <v>37447</v>
      </c>
      <c r="Q242" s="20">
        <v>13491</v>
      </c>
      <c r="R242" s="20">
        <v>16699</v>
      </c>
      <c r="S242" s="20">
        <v>1757</v>
      </c>
      <c r="T242" s="20">
        <v>5836</v>
      </c>
      <c r="U242" s="20">
        <v>5981</v>
      </c>
      <c r="V242" s="20">
        <v>5</v>
      </c>
      <c r="W242" s="20">
        <f t="shared" si="9"/>
        <v>43769</v>
      </c>
      <c r="X242" s="36">
        <v>-30185</v>
      </c>
      <c r="Y242" s="36"/>
      <c r="Z242" s="36"/>
      <c r="AA242" s="36"/>
      <c r="AB242" s="36"/>
      <c r="AC242" s="36"/>
      <c r="AD242" s="36"/>
      <c r="AE242" s="36">
        <v>-5</v>
      </c>
      <c r="AF242" s="36">
        <v>-410</v>
      </c>
      <c r="AG242" s="36">
        <v>-1633</v>
      </c>
      <c r="AH242" s="36">
        <v>-11522</v>
      </c>
      <c r="AI242" s="20">
        <f t="shared" si="10"/>
        <v>-43755</v>
      </c>
      <c r="AJ242" s="20">
        <f t="shared" si="11"/>
        <v>14</v>
      </c>
    </row>
    <row r="243" spans="1:36" x14ac:dyDescent="0.2">
      <c r="A243" s="17" t="s">
        <v>4842</v>
      </c>
      <c r="B243" s="17">
        <v>37454</v>
      </c>
      <c r="Q243" s="20">
        <v>14290</v>
      </c>
      <c r="R243" s="20">
        <v>15940</v>
      </c>
      <c r="S243" s="20">
        <v>1756</v>
      </c>
      <c r="T243" s="20">
        <v>6314</v>
      </c>
      <c r="U243" s="20">
        <v>5801</v>
      </c>
      <c r="V243" s="20">
        <v>11</v>
      </c>
      <c r="W243" s="20">
        <f t="shared" si="9"/>
        <v>44112</v>
      </c>
      <c r="X243" s="36">
        <v>-30219</v>
      </c>
      <c r="Y243" s="36"/>
      <c r="Z243" s="36"/>
      <c r="AA243" s="36"/>
      <c r="AB243" s="36"/>
      <c r="AC243" s="36"/>
      <c r="AD243" s="36"/>
      <c r="AE243" s="36">
        <v>-11</v>
      </c>
      <c r="AF243" s="36">
        <v>-432</v>
      </c>
      <c r="AG243" s="36">
        <v>-1602</v>
      </c>
      <c r="AH243" s="36">
        <v>-11834</v>
      </c>
      <c r="AI243" s="20">
        <f t="shared" si="10"/>
        <v>-44098</v>
      </c>
      <c r="AJ243" s="20">
        <f t="shared" si="11"/>
        <v>14</v>
      </c>
    </row>
    <row r="244" spans="1:36" x14ac:dyDescent="0.2">
      <c r="A244" s="17" t="s">
        <v>4843</v>
      </c>
      <c r="B244" s="17">
        <v>37461</v>
      </c>
      <c r="Q244" s="20">
        <v>13492</v>
      </c>
      <c r="R244" s="20">
        <v>16828</v>
      </c>
      <c r="S244" s="20">
        <v>1756</v>
      </c>
      <c r="T244" s="20">
        <v>6273</v>
      </c>
      <c r="U244" s="20">
        <v>5744</v>
      </c>
      <c r="V244" s="20">
        <v>5</v>
      </c>
      <c r="W244" s="20">
        <f t="shared" si="9"/>
        <v>44098</v>
      </c>
      <c r="X244" s="36">
        <v>-30315</v>
      </c>
      <c r="Y244" s="36"/>
      <c r="Z244" s="36"/>
      <c r="AA244" s="36"/>
      <c r="AB244" s="36"/>
      <c r="AC244" s="36"/>
      <c r="AD244" s="36"/>
      <c r="AE244" s="36">
        <v>-5</v>
      </c>
      <c r="AF244" s="36">
        <v>-460</v>
      </c>
      <c r="AG244" s="36">
        <v>-1651</v>
      </c>
      <c r="AH244" s="36">
        <v>-11652</v>
      </c>
      <c r="AI244" s="20">
        <f t="shared" si="10"/>
        <v>-44083</v>
      </c>
      <c r="AJ244" s="20">
        <f t="shared" si="11"/>
        <v>15</v>
      </c>
    </row>
    <row r="245" spans="1:36" x14ac:dyDescent="0.2">
      <c r="A245" s="17" t="s">
        <v>4844</v>
      </c>
      <c r="B245" s="17">
        <v>37468</v>
      </c>
      <c r="Q245" s="20">
        <v>13586</v>
      </c>
      <c r="R245" s="20">
        <v>16854</v>
      </c>
      <c r="S245" s="20">
        <v>1756</v>
      </c>
      <c r="T245" s="20">
        <v>6441</v>
      </c>
      <c r="U245" s="20">
        <v>5795</v>
      </c>
      <c r="V245" s="20">
        <v>6</v>
      </c>
      <c r="W245" s="20">
        <f t="shared" si="9"/>
        <v>44438</v>
      </c>
      <c r="X245" s="36">
        <v>-30434</v>
      </c>
      <c r="Y245" s="36"/>
      <c r="Z245" s="36"/>
      <c r="AA245" s="36"/>
      <c r="AB245" s="36"/>
      <c r="AC245" s="36"/>
      <c r="AD245" s="36"/>
      <c r="AE245" s="36">
        <v>-6</v>
      </c>
      <c r="AF245" s="36">
        <v>-1085</v>
      </c>
      <c r="AG245" s="36">
        <v>-1605</v>
      </c>
      <c r="AH245" s="36">
        <v>-11293</v>
      </c>
      <c r="AI245" s="20">
        <f t="shared" si="10"/>
        <v>-44423</v>
      </c>
      <c r="AJ245" s="20">
        <f t="shared" si="11"/>
        <v>15</v>
      </c>
    </row>
    <row r="246" spans="1:36" x14ac:dyDescent="0.2">
      <c r="A246" s="17" t="s">
        <v>4845</v>
      </c>
      <c r="B246" s="17">
        <v>37475</v>
      </c>
      <c r="Q246" s="20">
        <v>14342</v>
      </c>
      <c r="R246" s="20">
        <v>16188</v>
      </c>
      <c r="S246" s="20">
        <v>1756</v>
      </c>
      <c r="T246" s="20">
        <v>6601</v>
      </c>
      <c r="U246" s="20">
        <v>5704</v>
      </c>
      <c r="V246" s="20">
        <v>4</v>
      </c>
      <c r="W246" s="20">
        <f t="shared" si="9"/>
        <v>44595</v>
      </c>
      <c r="X246" s="36">
        <v>-30526</v>
      </c>
      <c r="Y246" s="36"/>
      <c r="Z246" s="36"/>
      <c r="AA246" s="36"/>
      <c r="AB246" s="36"/>
      <c r="AC246" s="36"/>
      <c r="AD246" s="36"/>
      <c r="AE246" s="36">
        <v>-4</v>
      </c>
      <c r="AF246" s="36">
        <v>-442</v>
      </c>
      <c r="AG246" s="36">
        <v>-1637</v>
      </c>
      <c r="AH246" s="36">
        <v>-11971</v>
      </c>
      <c r="AI246" s="20">
        <f t="shared" si="10"/>
        <v>-44580</v>
      </c>
      <c r="AJ246" s="20">
        <f t="shared" si="11"/>
        <v>15</v>
      </c>
    </row>
    <row r="247" spans="1:36" x14ac:dyDescent="0.2">
      <c r="A247" s="17" t="s">
        <v>4846</v>
      </c>
      <c r="B247" s="17">
        <v>37482</v>
      </c>
      <c r="Q247" s="20">
        <v>14614</v>
      </c>
      <c r="R247" s="20">
        <v>15966</v>
      </c>
      <c r="S247" s="20">
        <v>1756</v>
      </c>
      <c r="T247" s="20">
        <v>6346</v>
      </c>
      <c r="U247" s="20">
        <v>5745</v>
      </c>
      <c r="V247" s="20">
        <v>12</v>
      </c>
      <c r="W247" s="20">
        <f t="shared" si="9"/>
        <v>44439</v>
      </c>
      <c r="X247" s="36">
        <v>-30568</v>
      </c>
      <c r="Y247" s="36"/>
      <c r="Z247" s="36"/>
      <c r="AA247" s="36"/>
      <c r="AB247" s="36"/>
      <c r="AC247" s="36"/>
      <c r="AD247" s="36"/>
      <c r="AE247" s="36">
        <v>-12</v>
      </c>
      <c r="AF247" s="36">
        <v>-386</v>
      </c>
      <c r="AG247" s="36">
        <v>-1616</v>
      </c>
      <c r="AH247" s="36">
        <v>-11843</v>
      </c>
      <c r="AI247" s="20">
        <f t="shared" si="10"/>
        <v>-44425</v>
      </c>
      <c r="AJ247" s="20">
        <f t="shared" si="11"/>
        <v>14</v>
      </c>
    </row>
    <row r="248" spans="1:36" x14ac:dyDescent="0.2">
      <c r="A248" s="17" t="s">
        <v>4847</v>
      </c>
      <c r="B248" s="17">
        <v>37489</v>
      </c>
      <c r="Q248" s="20">
        <v>13884</v>
      </c>
      <c r="R248" s="20">
        <v>17096</v>
      </c>
      <c r="S248" s="20">
        <v>1756</v>
      </c>
      <c r="T248" s="20">
        <v>6286</v>
      </c>
      <c r="U248" s="20">
        <v>5782</v>
      </c>
      <c r="V248" s="20">
        <v>9</v>
      </c>
      <c r="W248" s="20">
        <f t="shared" si="9"/>
        <v>44813</v>
      </c>
      <c r="X248" s="36">
        <v>-30971</v>
      </c>
      <c r="Y248" s="36"/>
      <c r="Z248" s="36"/>
      <c r="AA248" s="36"/>
      <c r="AB248" s="36"/>
      <c r="AC248" s="36"/>
      <c r="AD248" s="36"/>
      <c r="AE248" s="36">
        <v>-9</v>
      </c>
      <c r="AF248" s="36">
        <v>-334</v>
      </c>
      <c r="AG248" s="36">
        <v>-1682</v>
      </c>
      <c r="AH248" s="36">
        <v>-11803</v>
      </c>
      <c r="AI248" s="20">
        <f t="shared" si="10"/>
        <v>-44799</v>
      </c>
      <c r="AJ248" s="20">
        <f t="shared" si="11"/>
        <v>14</v>
      </c>
    </row>
    <row r="249" spans="1:36" x14ac:dyDescent="0.2">
      <c r="A249" s="17" t="s">
        <v>4848</v>
      </c>
      <c r="B249" s="17">
        <v>37496</v>
      </c>
      <c r="Q249" s="20">
        <v>13493</v>
      </c>
      <c r="R249" s="20">
        <v>17917</v>
      </c>
      <c r="S249" s="20">
        <v>1686</v>
      </c>
      <c r="T249" s="20">
        <v>6459</v>
      </c>
      <c r="U249" s="20">
        <v>5784</v>
      </c>
      <c r="V249" s="20">
        <v>4</v>
      </c>
      <c r="W249" s="20">
        <f t="shared" si="9"/>
        <v>45343</v>
      </c>
      <c r="X249" s="36">
        <v>-31406</v>
      </c>
      <c r="Y249" s="36"/>
      <c r="Z249" s="36"/>
      <c r="AA249" s="36"/>
      <c r="AB249" s="36"/>
      <c r="AC249" s="36"/>
      <c r="AD249" s="36"/>
      <c r="AE249" s="36">
        <v>-4</v>
      </c>
      <c r="AF249" s="36">
        <v>-491</v>
      </c>
      <c r="AG249" s="36">
        <v>-1628</v>
      </c>
      <c r="AH249" s="36">
        <v>-11799</v>
      </c>
      <c r="AI249" s="20">
        <f t="shared" si="10"/>
        <v>-45328</v>
      </c>
      <c r="AJ249" s="20">
        <f t="shared" si="11"/>
        <v>15</v>
      </c>
    </row>
    <row r="250" spans="1:36" x14ac:dyDescent="0.2">
      <c r="A250" s="17" t="s">
        <v>4849</v>
      </c>
      <c r="B250" s="17">
        <v>37503</v>
      </c>
      <c r="Q250" s="20">
        <v>14348</v>
      </c>
      <c r="R250" s="20">
        <v>16522</v>
      </c>
      <c r="S250" s="20">
        <v>1686</v>
      </c>
      <c r="T250" s="20">
        <v>6318</v>
      </c>
      <c r="U250" s="20">
        <v>5761</v>
      </c>
      <c r="V250" s="20">
        <v>11</v>
      </c>
      <c r="W250" s="20">
        <f t="shared" si="9"/>
        <v>44646</v>
      </c>
      <c r="X250" s="36">
        <v>-30859</v>
      </c>
      <c r="Y250" s="36"/>
      <c r="Z250" s="36"/>
      <c r="AA250" s="36"/>
      <c r="AB250" s="36"/>
      <c r="AC250" s="36"/>
      <c r="AD250" s="36"/>
      <c r="AE250" s="36">
        <v>-11</v>
      </c>
      <c r="AF250" s="36">
        <v>-549</v>
      </c>
      <c r="AG250" s="36">
        <v>-1640</v>
      </c>
      <c r="AH250" s="36">
        <v>-11572</v>
      </c>
      <c r="AI250" s="20">
        <f t="shared" si="10"/>
        <v>-44631</v>
      </c>
      <c r="AJ250" s="20">
        <f t="shared" si="11"/>
        <v>15</v>
      </c>
    </row>
    <row r="251" spans="1:36" x14ac:dyDescent="0.2">
      <c r="A251" s="17" t="s">
        <v>4850</v>
      </c>
      <c r="B251" s="17">
        <v>37510</v>
      </c>
      <c r="Q251" s="20">
        <v>14197</v>
      </c>
      <c r="R251" s="20">
        <v>16403</v>
      </c>
      <c r="S251" s="20">
        <v>1685</v>
      </c>
      <c r="T251" s="20">
        <v>6270</v>
      </c>
      <c r="U251" s="20">
        <v>5709</v>
      </c>
      <c r="V251" s="20">
        <v>6</v>
      </c>
      <c r="W251" s="20">
        <f t="shared" si="9"/>
        <v>44270</v>
      </c>
      <c r="X251" s="36">
        <v>-30594</v>
      </c>
      <c r="Y251" s="36"/>
      <c r="Z251" s="36"/>
      <c r="AA251" s="36"/>
      <c r="AB251" s="36"/>
      <c r="AC251" s="36"/>
      <c r="AD251" s="36"/>
      <c r="AE251" s="36">
        <v>-6</v>
      </c>
      <c r="AF251" s="36">
        <v>-361</v>
      </c>
      <c r="AG251" s="36">
        <v>-1606</v>
      </c>
      <c r="AH251" s="36">
        <v>-11689</v>
      </c>
      <c r="AI251" s="20">
        <f t="shared" si="10"/>
        <v>-44256</v>
      </c>
      <c r="AJ251" s="20">
        <f t="shared" si="11"/>
        <v>14</v>
      </c>
    </row>
    <row r="252" spans="1:36" x14ac:dyDescent="0.2">
      <c r="A252" s="17" t="s">
        <v>4851</v>
      </c>
      <c r="B252" s="17">
        <v>37517</v>
      </c>
      <c r="Q252" s="20">
        <v>13843</v>
      </c>
      <c r="R252" s="20">
        <v>16737</v>
      </c>
      <c r="S252" s="20">
        <v>1685</v>
      </c>
      <c r="T252" s="20">
        <v>6469</v>
      </c>
      <c r="U252" s="20">
        <v>5729</v>
      </c>
      <c r="V252" s="20">
        <v>9</v>
      </c>
      <c r="W252" s="20">
        <f t="shared" si="9"/>
        <v>44472</v>
      </c>
      <c r="X252" s="36">
        <v>-30571</v>
      </c>
      <c r="Y252" s="36"/>
      <c r="Z252" s="36"/>
      <c r="AA252" s="36"/>
      <c r="AB252" s="36"/>
      <c r="AC252" s="36"/>
      <c r="AD252" s="36"/>
      <c r="AE252" s="36">
        <v>-9</v>
      </c>
      <c r="AF252" s="36">
        <v>-413</v>
      </c>
      <c r="AG252" s="36">
        <v>-1655</v>
      </c>
      <c r="AH252" s="36">
        <v>-11809</v>
      </c>
      <c r="AI252" s="20">
        <f t="shared" si="10"/>
        <v>-44457</v>
      </c>
      <c r="AJ252" s="20">
        <f t="shared" si="11"/>
        <v>15</v>
      </c>
    </row>
    <row r="253" spans="1:36" x14ac:dyDescent="0.2">
      <c r="A253" s="17" t="s">
        <v>4852</v>
      </c>
      <c r="B253" s="17">
        <v>37524</v>
      </c>
      <c r="Q253" s="20">
        <v>14316</v>
      </c>
      <c r="R253" s="20">
        <v>16354</v>
      </c>
      <c r="S253" s="20">
        <v>1685</v>
      </c>
      <c r="T253" s="20">
        <v>6628</v>
      </c>
      <c r="U253" s="20">
        <v>5690</v>
      </c>
      <c r="V253" s="20">
        <v>6</v>
      </c>
      <c r="W253" s="20">
        <f t="shared" si="9"/>
        <v>44679</v>
      </c>
      <c r="X253" s="36">
        <v>-30664</v>
      </c>
      <c r="Y253" s="36"/>
      <c r="Z253" s="36"/>
      <c r="AA253" s="36"/>
      <c r="AB253" s="36"/>
      <c r="AC253" s="36"/>
      <c r="AD253" s="36"/>
      <c r="AE253" s="36">
        <v>-6</v>
      </c>
      <c r="AF253" s="36">
        <v>-432</v>
      </c>
      <c r="AG253" s="36">
        <v>-1648</v>
      </c>
      <c r="AH253" s="36">
        <v>-11914</v>
      </c>
      <c r="AI253" s="20">
        <f t="shared" si="10"/>
        <v>-44664</v>
      </c>
      <c r="AJ253" s="20">
        <f t="shared" si="11"/>
        <v>15</v>
      </c>
    </row>
    <row r="254" spans="1:36" x14ac:dyDescent="0.2">
      <c r="A254" s="17" t="s">
        <v>4853</v>
      </c>
      <c r="B254" s="17">
        <v>37531</v>
      </c>
      <c r="Q254" s="20">
        <v>13496</v>
      </c>
      <c r="R254" s="20">
        <v>17244</v>
      </c>
      <c r="S254" s="20">
        <v>1685</v>
      </c>
      <c r="T254" s="20">
        <v>6315</v>
      </c>
      <c r="U254" s="20">
        <v>5708</v>
      </c>
      <c r="V254" s="20">
        <v>8</v>
      </c>
      <c r="W254" s="20">
        <f t="shared" si="9"/>
        <v>44456</v>
      </c>
      <c r="X254" s="36">
        <v>-30732</v>
      </c>
      <c r="Y254" s="36"/>
      <c r="Z254" s="36"/>
      <c r="AA254" s="36"/>
      <c r="AB254" s="36"/>
      <c r="AC254" s="36"/>
      <c r="AD254" s="36"/>
      <c r="AE254" s="36">
        <v>-8</v>
      </c>
      <c r="AF254" s="36">
        <v>-806</v>
      </c>
      <c r="AG254" s="36">
        <v>-1655</v>
      </c>
      <c r="AH254" s="36">
        <v>-11240</v>
      </c>
      <c r="AI254" s="20">
        <f t="shared" si="10"/>
        <v>-44441</v>
      </c>
      <c r="AJ254" s="20">
        <f t="shared" si="11"/>
        <v>15</v>
      </c>
    </row>
    <row r="255" spans="1:36" x14ac:dyDescent="0.2">
      <c r="A255" s="17" t="s">
        <v>4854</v>
      </c>
      <c r="B255" s="17">
        <v>37538</v>
      </c>
      <c r="Q255" s="20">
        <v>13497</v>
      </c>
      <c r="R255" s="20">
        <v>17323</v>
      </c>
      <c r="S255" s="20">
        <v>1592</v>
      </c>
      <c r="T255" s="20">
        <v>6569</v>
      </c>
      <c r="U255" s="20">
        <v>5720</v>
      </c>
      <c r="V255" s="20">
        <v>4</v>
      </c>
      <c r="W255" s="20">
        <f t="shared" si="9"/>
        <v>44705</v>
      </c>
      <c r="X255" s="36">
        <v>-30816</v>
      </c>
      <c r="Y255" s="36"/>
      <c r="Z255" s="36"/>
      <c r="AA255" s="36"/>
      <c r="AB255" s="36"/>
      <c r="AC255" s="36"/>
      <c r="AD255" s="36"/>
      <c r="AE255" s="36">
        <v>-4</v>
      </c>
      <c r="AF255" s="36">
        <v>-419</v>
      </c>
      <c r="AG255" s="36">
        <v>-1621</v>
      </c>
      <c r="AH255" s="36">
        <v>-11831</v>
      </c>
      <c r="AI255" s="20">
        <f t="shared" si="10"/>
        <v>-44691</v>
      </c>
      <c r="AJ255" s="20">
        <f t="shared" si="11"/>
        <v>14</v>
      </c>
    </row>
    <row r="256" spans="1:36" x14ac:dyDescent="0.2">
      <c r="A256" s="17" t="s">
        <v>4855</v>
      </c>
      <c r="B256" s="17">
        <v>37545</v>
      </c>
      <c r="Q256" s="20">
        <v>13797</v>
      </c>
      <c r="R256" s="20">
        <v>17093</v>
      </c>
      <c r="S256" s="20">
        <v>1592</v>
      </c>
      <c r="T256" s="20">
        <v>6625</v>
      </c>
      <c r="U256" s="20">
        <v>5878</v>
      </c>
      <c r="V256" s="20">
        <v>11</v>
      </c>
      <c r="W256" s="20">
        <f t="shared" si="9"/>
        <v>44996</v>
      </c>
      <c r="X256" s="36">
        <v>-30879</v>
      </c>
      <c r="Y256" s="36"/>
      <c r="Z256" s="36"/>
      <c r="AA256" s="36"/>
      <c r="AB256" s="36"/>
      <c r="AC256" s="36"/>
      <c r="AD256" s="36"/>
      <c r="AE256" s="36">
        <v>-11</v>
      </c>
      <c r="AF256" s="36">
        <v>-415</v>
      </c>
      <c r="AG256" s="36">
        <v>-1661</v>
      </c>
      <c r="AH256" s="36">
        <v>-12015</v>
      </c>
      <c r="AI256" s="20">
        <f t="shared" si="10"/>
        <v>-44981</v>
      </c>
      <c r="AJ256" s="20">
        <f t="shared" si="11"/>
        <v>15</v>
      </c>
    </row>
    <row r="257" spans="1:36" x14ac:dyDescent="0.2">
      <c r="A257" s="17" t="s">
        <v>4856</v>
      </c>
      <c r="B257" s="17">
        <v>37552</v>
      </c>
      <c r="Q257" s="20">
        <v>13497</v>
      </c>
      <c r="R257" s="20">
        <v>17413</v>
      </c>
      <c r="S257" s="20">
        <v>1592</v>
      </c>
      <c r="T257" s="20">
        <v>6933</v>
      </c>
      <c r="U257" s="20">
        <v>5701</v>
      </c>
      <c r="V257" s="20">
        <v>4</v>
      </c>
      <c r="W257" s="20">
        <f t="shared" si="9"/>
        <v>45140</v>
      </c>
      <c r="X257" s="36">
        <v>-30906</v>
      </c>
      <c r="Y257" s="36"/>
      <c r="Z257" s="36"/>
      <c r="AA257" s="36"/>
      <c r="AB257" s="36"/>
      <c r="AC257" s="36"/>
      <c r="AD257" s="36"/>
      <c r="AE257" s="36">
        <v>-4</v>
      </c>
      <c r="AF257" s="36">
        <v>-425</v>
      </c>
      <c r="AG257" s="36">
        <v>-1925</v>
      </c>
      <c r="AH257" s="36">
        <v>-11864</v>
      </c>
      <c r="AI257" s="20">
        <f t="shared" si="10"/>
        <v>-45124</v>
      </c>
      <c r="AJ257" s="20">
        <f t="shared" si="11"/>
        <v>16</v>
      </c>
    </row>
    <row r="258" spans="1:36" x14ac:dyDescent="0.2">
      <c r="A258" s="17" t="s">
        <v>4857</v>
      </c>
      <c r="B258" s="17">
        <v>37559</v>
      </c>
      <c r="Q258" s="20">
        <v>14029</v>
      </c>
      <c r="R258" s="20">
        <v>16981</v>
      </c>
      <c r="S258" s="20">
        <v>1592</v>
      </c>
      <c r="T258" s="20">
        <v>6869</v>
      </c>
      <c r="U258" s="20">
        <v>5699</v>
      </c>
      <c r="V258" s="20">
        <v>11</v>
      </c>
      <c r="W258" s="20">
        <f t="shared" si="9"/>
        <v>45181</v>
      </c>
      <c r="X258" s="36">
        <v>-30999</v>
      </c>
      <c r="Y258" s="36"/>
      <c r="Z258" s="36"/>
      <c r="AA258" s="36"/>
      <c r="AB258" s="36"/>
      <c r="AC258" s="36"/>
      <c r="AD258" s="36"/>
      <c r="AE258" s="36">
        <v>-11</v>
      </c>
      <c r="AF258" s="36">
        <v>-778</v>
      </c>
      <c r="AG258" s="36">
        <v>-1738</v>
      </c>
      <c r="AH258" s="36">
        <v>-11639</v>
      </c>
      <c r="AI258" s="20">
        <f t="shared" si="10"/>
        <v>-45165</v>
      </c>
      <c r="AJ258" s="20">
        <f t="shared" si="11"/>
        <v>16</v>
      </c>
    </row>
    <row r="259" spans="1:36" x14ac:dyDescent="0.2">
      <c r="A259" s="17" t="s">
        <v>4858</v>
      </c>
      <c r="B259" s="17">
        <v>37566</v>
      </c>
      <c r="Q259" s="20">
        <v>13497</v>
      </c>
      <c r="R259" s="20">
        <v>17513</v>
      </c>
      <c r="S259" s="20">
        <v>1592</v>
      </c>
      <c r="T259" s="20">
        <v>6985</v>
      </c>
      <c r="U259" s="20">
        <v>5727</v>
      </c>
      <c r="V259" s="20">
        <v>3</v>
      </c>
      <c r="W259" s="20">
        <f t="shared" si="9"/>
        <v>45317</v>
      </c>
      <c r="X259" s="36">
        <v>-31007</v>
      </c>
      <c r="Y259" s="36"/>
      <c r="Z259" s="36"/>
      <c r="AA259" s="36"/>
      <c r="AB259" s="36"/>
      <c r="AC259" s="36"/>
      <c r="AD259" s="36"/>
      <c r="AE259" s="36">
        <v>-3</v>
      </c>
      <c r="AF259" s="36">
        <v>-540</v>
      </c>
      <c r="AG259" s="36">
        <v>-1778</v>
      </c>
      <c r="AH259" s="36">
        <v>-11975</v>
      </c>
      <c r="AI259" s="20">
        <f t="shared" si="10"/>
        <v>-45303</v>
      </c>
      <c r="AJ259" s="20">
        <f t="shared" si="11"/>
        <v>14</v>
      </c>
    </row>
    <row r="260" spans="1:36" x14ac:dyDescent="0.2">
      <c r="A260" s="17" t="s">
        <v>4859</v>
      </c>
      <c r="B260" s="17">
        <v>37573</v>
      </c>
      <c r="Q260" s="20">
        <v>13797</v>
      </c>
      <c r="R260" s="20">
        <v>17243</v>
      </c>
      <c r="S260" s="20">
        <v>1591</v>
      </c>
      <c r="T260" s="20">
        <v>6841</v>
      </c>
      <c r="U260" s="20">
        <v>5722</v>
      </c>
      <c r="V260" s="20">
        <v>4</v>
      </c>
      <c r="W260" s="20">
        <f t="shared" si="9"/>
        <v>45198</v>
      </c>
      <c r="X260" s="36">
        <v>-31036</v>
      </c>
      <c r="Y260" s="36"/>
      <c r="Z260" s="36"/>
      <c r="AA260" s="36"/>
      <c r="AB260" s="36"/>
      <c r="AC260" s="36"/>
      <c r="AD260" s="36"/>
      <c r="AE260" s="36">
        <v>-4</v>
      </c>
      <c r="AF260" s="36">
        <v>-414</v>
      </c>
      <c r="AG260" s="36">
        <v>-1636</v>
      </c>
      <c r="AH260" s="36">
        <v>-12095</v>
      </c>
      <c r="AI260" s="20">
        <f t="shared" si="10"/>
        <v>-45185</v>
      </c>
      <c r="AJ260" s="20">
        <f t="shared" si="11"/>
        <v>13</v>
      </c>
    </row>
    <row r="261" spans="1:36" x14ac:dyDescent="0.2">
      <c r="A261" s="17" t="s">
        <v>4860</v>
      </c>
      <c r="B261" s="17">
        <v>37580</v>
      </c>
      <c r="Q261" s="20">
        <v>13493</v>
      </c>
      <c r="R261" s="20">
        <v>17747</v>
      </c>
      <c r="S261" s="20">
        <v>1591</v>
      </c>
      <c r="T261" s="20">
        <v>6822</v>
      </c>
      <c r="U261" s="20">
        <v>5730</v>
      </c>
      <c r="V261" s="20">
        <v>2</v>
      </c>
      <c r="W261" s="20">
        <f t="shared" si="9"/>
        <v>45385</v>
      </c>
      <c r="X261" s="36">
        <v>-31238</v>
      </c>
      <c r="Y261" s="36"/>
      <c r="Z261" s="36"/>
      <c r="AA261" s="36"/>
      <c r="AB261" s="36"/>
      <c r="AC261" s="36"/>
      <c r="AD261" s="36"/>
      <c r="AE261" s="36">
        <v>-2</v>
      </c>
      <c r="AF261" s="36">
        <v>-453</v>
      </c>
      <c r="AG261" s="36">
        <v>-1660</v>
      </c>
      <c r="AH261" s="36">
        <v>-12018</v>
      </c>
      <c r="AI261" s="20">
        <f t="shared" si="10"/>
        <v>-45371</v>
      </c>
      <c r="AJ261" s="20">
        <f t="shared" si="11"/>
        <v>14</v>
      </c>
    </row>
    <row r="262" spans="1:36" x14ac:dyDescent="0.2">
      <c r="A262" s="17" t="s">
        <v>4861</v>
      </c>
      <c r="B262" s="17">
        <v>37587</v>
      </c>
      <c r="Q262" s="20">
        <v>13976</v>
      </c>
      <c r="R262" s="20">
        <v>17724</v>
      </c>
      <c r="S262" s="20">
        <v>1510</v>
      </c>
      <c r="T262" s="20">
        <v>6971</v>
      </c>
      <c r="U262" s="20">
        <v>5840</v>
      </c>
      <c r="V262" s="20">
        <v>8</v>
      </c>
      <c r="W262" s="20">
        <f t="shared" si="9"/>
        <v>46029</v>
      </c>
      <c r="X262" s="36">
        <v>-31692</v>
      </c>
      <c r="Y262" s="36"/>
      <c r="Z262" s="36"/>
      <c r="AA262" s="36"/>
      <c r="AB262" s="36"/>
      <c r="AC262" s="36"/>
      <c r="AD262" s="36"/>
      <c r="AE262" s="36">
        <v>-8</v>
      </c>
      <c r="AF262" s="36">
        <v>-545</v>
      </c>
      <c r="AG262" s="36">
        <v>-1645</v>
      </c>
      <c r="AH262" s="36">
        <v>-12124</v>
      </c>
      <c r="AI262" s="20">
        <f t="shared" si="10"/>
        <v>-46014</v>
      </c>
      <c r="AJ262" s="20">
        <f t="shared" si="11"/>
        <v>15</v>
      </c>
    </row>
    <row r="263" spans="1:36" x14ac:dyDescent="0.2">
      <c r="A263" s="17" t="s">
        <v>4862</v>
      </c>
      <c r="B263" s="17">
        <v>37594</v>
      </c>
      <c r="Q263" s="20">
        <v>13491</v>
      </c>
      <c r="R263" s="20">
        <v>18689</v>
      </c>
      <c r="S263" s="20">
        <v>1510</v>
      </c>
      <c r="T263" s="20">
        <v>7450</v>
      </c>
      <c r="U263" s="20">
        <v>5864</v>
      </c>
      <c r="V263" s="20">
        <v>4</v>
      </c>
      <c r="W263" s="20">
        <f t="shared" ref="W263:W326" si="12">SUM(Q263:V263)</f>
        <v>47008</v>
      </c>
      <c r="X263" s="36">
        <v>-32176</v>
      </c>
      <c r="Y263" s="36"/>
      <c r="Z263" s="36"/>
      <c r="AA263" s="36"/>
      <c r="AB263" s="36"/>
      <c r="AC263" s="36"/>
      <c r="AD263" s="36"/>
      <c r="AE263" s="36">
        <v>-4</v>
      </c>
      <c r="AF263" s="36">
        <v>-569</v>
      </c>
      <c r="AG263" s="36">
        <v>-1690</v>
      </c>
      <c r="AH263" s="36">
        <v>-12554</v>
      </c>
      <c r="AI263" s="20">
        <f t="shared" ref="AI263:AI326" si="13">SUM(X263,AE263:AH263)</f>
        <v>-46993</v>
      </c>
      <c r="AJ263" s="20">
        <f t="shared" ref="AJ263:AJ326" si="14">W263+AI263</f>
        <v>15</v>
      </c>
    </row>
    <row r="264" spans="1:36" x14ac:dyDescent="0.2">
      <c r="A264" s="17" t="s">
        <v>4863</v>
      </c>
      <c r="B264" s="17">
        <v>37601</v>
      </c>
      <c r="Q264" s="20">
        <v>13741</v>
      </c>
      <c r="R264" s="20">
        <v>18769</v>
      </c>
      <c r="S264" s="20">
        <v>1510</v>
      </c>
      <c r="T264" s="20">
        <v>7046</v>
      </c>
      <c r="U264" s="20">
        <v>5879</v>
      </c>
      <c r="V264" s="20">
        <v>7</v>
      </c>
      <c r="W264" s="20">
        <f t="shared" si="12"/>
        <v>46952</v>
      </c>
      <c r="X264" s="36">
        <v>-32503</v>
      </c>
      <c r="Y264" s="36"/>
      <c r="Z264" s="36"/>
      <c r="AA264" s="36"/>
      <c r="AB264" s="36"/>
      <c r="AC264" s="36"/>
      <c r="AD264" s="36"/>
      <c r="AE264" s="36">
        <v>-7</v>
      </c>
      <c r="AF264" s="36">
        <v>-394</v>
      </c>
      <c r="AG264" s="36">
        <v>-1839</v>
      </c>
      <c r="AH264" s="36">
        <v>-12194</v>
      </c>
      <c r="AI264" s="20">
        <f t="shared" si="13"/>
        <v>-46937</v>
      </c>
      <c r="AJ264" s="20">
        <f t="shared" si="14"/>
        <v>15</v>
      </c>
    </row>
    <row r="265" spans="1:36" x14ac:dyDescent="0.2">
      <c r="A265" s="17" t="s">
        <v>4864</v>
      </c>
      <c r="B265" s="17">
        <v>37608</v>
      </c>
      <c r="Q265" s="20">
        <v>13841</v>
      </c>
      <c r="R265" s="20">
        <v>19799</v>
      </c>
      <c r="S265" s="20">
        <v>1510</v>
      </c>
      <c r="T265" s="20">
        <v>6938</v>
      </c>
      <c r="U265" s="20">
        <v>5917</v>
      </c>
      <c r="V265" s="20">
        <v>1</v>
      </c>
      <c r="W265" s="20">
        <f t="shared" si="12"/>
        <v>48006</v>
      </c>
      <c r="X265" s="36">
        <v>-33639</v>
      </c>
      <c r="Y265" s="36"/>
      <c r="Z265" s="36"/>
      <c r="AA265" s="36"/>
      <c r="AB265" s="36"/>
      <c r="AC265" s="36"/>
      <c r="AD265" s="36"/>
      <c r="AE265" s="36">
        <v>-1</v>
      </c>
      <c r="AF265" s="36">
        <v>-414</v>
      </c>
      <c r="AG265" s="36">
        <v>-1722</v>
      </c>
      <c r="AH265" s="36">
        <v>-12215</v>
      </c>
      <c r="AI265" s="20">
        <f t="shared" si="13"/>
        <v>-47991</v>
      </c>
      <c r="AJ265" s="20">
        <f t="shared" si="14"/>
        <v>15</v>
      </c>
    </row>
    <row r="266" spans="1:36" x14ac:dyDescent="0.2">
      <c r="A266" s="17" t="s">
        <v>4864</v>
      </c>
      <c r="B266" s="17">
        <v>37614</v>
      </c>
      <c r="Q266" s="20">
        <v>15429</v>
      </c>
      <c r="R266" s="20">
        <v>19401</v>
      </c>
      <c r="S266" s="20">
        <v>1510</v>
      </c>
      <c r="T266" s="20">
        <v>7028</v>
      </c>
      <c r="U266" s="20">
        <v>5931</v>
      </c>
      <c r="V266" s="20">
        <v>7</v>
      </c>
      <c r="W266" s="20">
        <f t="shared" si="12"/>
        <v>49306</v>
      </c>
      <c r="X266" s="36">
        <v>-34823</v>
      </c>
      <c r="Y266" s="36"/>
      <c r="Z266" s="36"/>
      <c r="AA266" s="36"/>
      <c r="AB266" s="36"/>
      <c r="AC266" s="36"/>
      <c r="AD266" s="36"/>
      <c r="AE266" s="36">
        <v>-7</v>
      </c>
      <c r="AF266" s="36">
        <v>-616</v>
      </c>
      <c r="AG266" s="36">
        <v>-1713</v>
      </c>
      <c r="AH266" s="36">
        <v>-12133</v>
      </c>
      <c r="AI266" s="20">
        <f t="shared" si="13"/>
        <v>-49292</v>
      </c>
      <c r="AJ266" s="20">
        <f t="shared" si="14"/>
        <v>14</v>
      </c>
    </row>
    <row r="267" spans="1:36" x14ac:dyDescent="0.2">
      <c r="A267" s="17" t="s">
        <v>4865</v>
      </c>
      <c r="B267" s="17">
        <v>37615</v>
      </c>
      <c r="Q267" s="20">
        <v>15429</v>
      </c>
      <c r="R267" s="20">
        <v>19401</v>
      </c>
      <c r="S267" s="20">
        <v>1510</v>
      </c>
      <c r="T267" s="20">
        <v>7028</v>
      </c>
      <c r="U267" s="20">
        <v>5931</v>
      </c>
      <c r="V267" s="20">
        <v>7</v>
      </c>
      <c r="W267" s="20">
        <f t="shared" si="12"/>
        <v>49306</v>
      </c>
      <c r="X267" s="36">
        <v>-34823</v>
      </c>
      <c r="Y267" s="36"/>
      <c r="Z267" s="36"/>
      <c r="AA267" s="36"/>
      <c r="AB267" s="36"/>
      <c r="AC267" s="36"/>
      <c r="AD267" s="36"/>
      <c r="AE267" s="36">
        <v>-7</v>
      </c>
      <c r="AF267" s="36">
        <v>-616</v>
      </c>
      <c r="AG267" s="36">
        <v>-1713</v>
      </c>
      <c r="AH267" s="36">
        <v>-12133</v>
      </c>
      <c r="AI267" s="20">
        <f t="shared" si="13"/>
        <v>-49292</v>
      </c>
      <c r="AJ267" s="20">
        <f t="shared" si="14"/>
        <v>14</v>
      </c>
    </row>
    <row r="268" spans="1:36" x14ac:dyDescent="0.2">
      <c r="A268" s="17" t="s">
        <v>4866</v>
      </c>
      <c r="B268" s="17">
        <v>37621</v>
      </c>
      <c r="Q268" s="20">
        <v>14011</v>
      </c>
      <c r="R268" s="20">
        <v>19889</v>
      </c>
      <c r="S268" s="20">
        <v>1510</v>
      </c>
      <c r="T268" s="20">
        <v>7302</v>
      </c>
      <c r="U268" s="20">
        <v>5939</v>
      </c>
      <c r="V268" s="20">
        <v>3</v>
      </c>
      <c r="W268" s="20">
        <f t="shared" si="12"/>
        <v>48654</v>
      </c>
      <c r="X268" s="36">
        <v>-33897</v>
      </c>
      <c r="Y268" s="36"/>
      <c r="Z268" s="36"/>
      <c r="AA268" s="36"/>
      <c r="AB268" s="36"/>
      <c r="AC268" s="36"/>
      <c r="AD268" s="36"/>
      <c r="AE268" s="36">
        <v>-3</v>
      </c>
      <c r="AF268" s="36">
        <v>-690</v>
      </c>
      <c r="AG268" s="36">
        <v>-1828</v>
      </c>
      <c r="AH268" s="36">
        <v>-12222</v>
      </c>
      <c r="AI268" s="20">
        <f t="shared" si="13"/>
        <v>-48640</v>
      </c>
      <c r="AJ268" s="20">
        <f t="shared" si="14"/>
        <v>14</v>
      </c>
    </row>
    <row r="269" spans="1:36" x14ac:dyDescent="0.2">
      <c r="A269" s="17" t="s">
        <v>4867</v>
      </c>
      <c r="B269" s="17">
        <v>37622</v>
      </c>
      <c r="Q269" s="20">
        <v>14011</v>
      </c>
      <c r="R269" s="20">
        <v>19889</v>
      </c>
      <c r="S269" s="20">
        <v>1510</v>
      </c>
      <c r="T269" s="20">
        <v>7302</v>
      </c>
      <c r="U269" s="20">
        <v>5939</v>
      </c>
      <c r="V269" s="20">
        <v>3</v>
      </c>
      <c r="W269" s="20">
        <f t="shared" si="12"/>
        <v>48654</v>
      </c>
      <c r="X269" s="36">
        <v>-33897</v>
      </c>
      <c r="Y269" s="36"/>
      <c r="Z269" s="36"/>
      <c r="AA269" s="36"/>
      <c r="AB269" s="36"/>
      <c r="AC269" s="36"/>
      <c r="AD269" s="36"/>
      <c r="AE269" s="36">
        <v>-3</v>
      </c>
      <c r="AF269" s="36">
        <v>-690</v>
      </c>
      <c r="AG269" s="36">
        <v>-1828</v>
      </c>
      <c r="AH269" s="36">
        <v>-12222</v>
      </c>
      <c r="AI269" s="20">
        <f t="shared" si="13"/>
        <v>-48640</v>
      </c>
      <c r="AJ269" s="20">
        <f t="shared" si="14"/>
        <v>14</v>
      </c>
    </row>
    <row r="270" spans="1:36" x14ac:dyDescent="0.2">
      <c r="A270" s="17" t="s">
        <v>4868</v>
      </c>
      <c r="B270" s="17">
        <v>37629</v>
      </c>
      <c r="Q270" s="20">
        <v>13492</v>
      </c>
      <c r="R270" s="20">
        <v>18608</v>
      </c>
      <c r="S270" s="20">
        <v>1510</v>
      </c>
      <c r="T270" s="20">
        <v>7032</v>
      </c>
      <c r="U270" s="20">
        <v>5979</v>
      </c>
      <c r="V270" s="20">
        <v>1</v>
      </c>
      <c r="W270" s="20">
        <f t="shared" si="12"/>
        <v>46622</v>
      </c>
      <c r="X270" s="36">
        <v>-32099</v>
      </c>
      <c r="Y270" s="36"/>
      <c r="Z270" s="36"/>
      <c r="AA270" s="36"/>
      <c r="AB270" s="36"/>
      <c r="AC270" s="36"/>
      <c r="AD270" s="36"/>
      <c r="AE270" s="36">
        <v>-1</v>
      </c>
      <c r="AF270" s="36">
        <v>-486</v>
      </c>
      <c r="AG270" s="36">
        <v>-1730</v>
      </c>
      <c r="AH270" s="36">
        <v>-12292</v>
      </c>
      <c r="AI270" s="20">
        <f t="shared" si="13"/>
        <v>-46608</v>
      </c>
      <c r="AJ270" s="20">
        <f t="shared" si="14"/>
        <v>14</v>
      </c>
    </row>
    <row r="271" spans="1:36" x14ac:dyDescent="0.2">
      <c r="A271" s="17" t="s">
        <v>4869</v>
      </c>
      <c r="B271" s="17">
        <v>37636</v>
      </c>
      <c r="Q271" s="20">
        <v>13742</v>
      </c>
      <c r="R271" s="20">
        <v>17528</v>
      </c>
      <c r="S271" s="20">
        <v>1510</v>
      </c>
      <c r="T271" s="20">
        <v>7046</v>
      </c>
      <c r="U271" s="20">
        <v>6194</v>
      </c>
      <c r="V271" s="20">
        <v>2</v>
      </c>
      <c r="W271" s="20">
        <f t="shared" si="12"/>
        <v>46022</v>
      </c>
      <c r="X271" s="36">
        <v>-31268</v>
      </c>
      <c r="Y271" s="36"/>
      <c r="Z271" s="36"/>
      <c r="AA271" s="36"/>
      <c r="AB271" s="36"/>
      <c r="AC271" s="36"/>
      <c r="AD271" s="36"/>
      <c r="AE271" s="36">
        <v>-2</v>
      </c>
      <c r="AF271" s="36">
        <v>-503</v>
      </c>
      <c r="AG271" s="36">
        <v>-1726</v>
      </c>
      <c r="AH271" s="36">
        <v>-12508</v>
      </c>
      <c r="AI271" s="20">
        <f t="shared" si="13"/>
        <v>-46007</v>
      </c>
      <c r="AJ271" s="20">
        <f t="shared" si="14"/>
        <v>15</v>
      </c>
    </row>
    <row r="272" spans="1:36" x14ac:dyDescent="0.2">
      <c r="A272" s="17" t="s">
        <v>4870</v>
      </c>
      <c r="B272" s="17">
        <v>37643</v>
      </c>
      <c r="Q272" s="20">
        <v>13487</v>
      </c>
      <c r="R272" s="20">
        <v>17363</v>
      </c>
      <c r="S272" s="20">
        <v>1509</v>
      </c>
      <c r="T272" s="20">
        <v>6875</v>
      </c>
      <c r="U272" s="20">
        <v>6461</v>
      </c>
      <c r="V272" s="20">
        <v>5</v>
      </c>
      <c r="W272" s="20">
        <f t="shared" si="12"/>
        <v>45700</v>
      </c>
      <c r="X272" s="36">
        <v>-30845</v>
      </c>
      <c r="Y272" s="36"/>
      <c r="Z272" s="36"/>
      <c r="AA272" s="36"/>
      <c r="AB272" s="36"/>
      <c r="AC272" s="36"/>
      <c r="AD272" s="36"/>
      <c r="AE272" s="36">
        <v>-5</v>
      </c>
      <c r="AF272" s="36">
        <v>-467</v>
      </c>
      <c r="AG272" s="36">
        <v>-1736</v>
      </c>
      <c r="AH272" s="36">
        <v>-12633</v>
      </c>
      <c r="AI272" s="20">
        <f t="shared" si="13"/>
        <v>-45686</v>
      </c>
      <c r="AJ272" s="20">
        <f t="shared" si="14"/>
        <v>14</v>
      </c>
    </row>
    <row r="273" spans="1:36" x14ac:dyDescent="0.2">
      <c r="A273" s="17" t="s">
        <v>4871</v>
      </c>
      <c r="B273" s="17">
        <v>37650</v>
      </c>
      <c r="Q273" s="20">
        <v>13609</v>
      </c>
      <c r="R273" s="20">
        <v>17501</v>
      </c>
      <c r="S273" s="20">
        <v>1509</v>
      </c>
      <c r="T273" s="20">
        <v>7685</v>
      </c>
      <c r="U273" s="20">
        <v>6643</v>
      </c>
      <c r="V273" s="20">
        <v>7</v>
      </c>
      <c r="W273" s="20">
        <f t="shared" si="12"/>
        <v>46954</v>
      </c>
      <c r="X273" s="36">
        <v>-31103</v>
      </c>
      <c r="Y273" s="36"/>
      <c r="Z273" s="36"/>
      <c r="AA273" s="36"/>
      <c r="AB273" s="36"/>
      <c r="AC273" s="36"/>
      <c r="AD273" s="36"/>
      <c r="AE273" s="36">
        <v>-7</v>
      </c>
      <c r="AF273" s="36">
        <v>-685</v>
      </c>
      <c r="AG273" s="36">
        <v>-1742</v>
      </c>
      <c r="AH273" s="36">
        <v>-13403</v>
      </c>
      <c r="AI273" s="20">
        <f t="shared" si="13"/>
        <v>-46940</v>
      </c>
      <c r="AJ273" s="20">
        <f t="shared" si="14"/>
        <v>14</v>
      </c>
    </row>
    <row r="274" spans="1:36" x14ac:dyDescent="0.2">
      <c r="A274" s="17" t="s">
        <v>4872</v>
      </c>
      <c r="B274" s="17">
        <v>37657</v>
      </c>
      <c r="Q274" s="20">
        <v>14376</v>
      </c>
      <c r="R274" s="20">
        <v>16544</v>
      </c>
      <c r="S274" s="20">
        <v>1509</v>
      </c>
      <c r="T274" s="20">
        <v>7443</v>
      </c>
      <c r="U274" s="20">
        <v>6766</v>
      </c>
      <c r="V274" s="20">
        <v>6</v>
      </c>
      <c r="W274" s="20">
        <f t="shared" si="12"/>
        <v>46644</v>
      </c>
      <c r="X274" s="36">
        <v>-30914</v>
      </c>
      <c r="Y274" s="36"/>
      <c r="Z274" s="36"/>
      <c r="AA274" s="36"/>
      <c r="AB274" s="36"/>
      <c r="AC274" s="36"/>
      <c r="AD274" s="36"/>
      <c r="AE274" s="36">
        <v>-6</v>
      </c>
      <c r="AF274" s="36">
        <v>-855</v>
      </c>
      <c r="AG274" s="36">
        <v>-1737</v>
      </c>
      <c r="AH274" s="36">
        <v>-13117</v>
      </c>
      <c r="AI274" s="20">
        <f t="shared" si="13"/>
        <v>-46629</v>
      </c>
      <c r="AJ274" s="20">
        <f t="shared" si="14"/>
        <v>15</v>
      </c>
    </row>
    <row r="275" spans="1:36" x14ac:dyDescent="0.2">
      <c r="A275" s="17" t="s">
        <v>4873</v>
      </c>
      <c r="B275" s="17">
        <v>37664</v>
      </c>
      <c r="Q275" s="20">
        <v>14487</v>
      </c>
      <c r="R275" s="20">
        <v>16403</v>
      </c>
      <c r="S275" s="20">
        <v>1538</v>
      </c>
      <c r="T275" s="20">
        <v>7137</v>
      </c>
      <c r="U275" s="20">
        <v>6795</v>
      </c>
      <c r="V275" s="20">
        <v>6</v>
      </c>
      <c r="W275" s="20">
        <f t="shared" si="12"/>
        <v>46366</v>
      </c>
      <c r="X275" s="36">
        <v>-30884</v>
      </c>
      <c r="Y275" s="36"/>
      <c r="Z275" s="36"/>
      <c r="AA275" s="36"/>
      <c r="AB275" s="36"/>
      <c r="AC275" s="36"/>
      <c r="AD275" s="36"/>
      <c r="AE275" s="36">
        <v>-6</v>
      </c>
      <c r="AF275" s="36">
        <v>-401</v>
      </c>
      <c r="AG275" s="36">
        <v>-1770</v>
      </c>
      <c r="AH275" s="36">
        <v>-13290</v>
      </c>
      <c r="AI275" s="20">
        <f t="shared" si="13"/>
        <v>-46351</v>
      </c>
      <c r="AJ275" s="20">
        <f t="shared" si="14"/>
        <v>15</v>
      </c>
    </row>
    <row r="276" spans="1:36" x14ac:dyDescent="0.2">
      <c r="A276" s="17" t="s">
        <v>4874</v>
      </c>
      <c r="B276" s="17">
        <v>37671</v>
      </c>
      <c r="Q276" s="20">
        <v>14097</v>
      </c>
      <c r="R276" s="20">
        <v>16943</v>
      </c>
      <c r="S276" s="20">
        <v>1638</v>
      </c>
      <c r="T276" s="20">
        <v>7125</v>
      </c>
      <c r="U276" s="20">
        <v>6902</v>
      </c>
      <c r="V276" s="20">
        <v>7</v>
      </c>
      <c r="W276" s="20">
        <f t="shared" si="12"/>
        <v>46712</v>
      </c>
      <c r="X276" s="36">
        <v>-31033</v>
      </c>
      <c r="Y276" s="36"/>
      <c r="Z276" s="36"/>
      <c r="AA276" s="36"/>
      <c r="AB276" s="36"/>
      <c r="AC276" s="36"/>
      <c r="AD276" s="36"/>
      <c r="AE276" s="36">
        <v>-7</v>
      </c>
      <c r="AF276" s="36">
        <v>-469</v>
      </c>
      <c r="AG276" s="36">
        <v>-1756</v>
      </c>
      <c r="AH276" s="36">
        <v>-13431</v>
      </c>
      <c r="AI276" s="20">
        <f t="shared" si="13"/>
        <v>-46696</v>
      </c>
      <c r="AJ276" s="20">
        <f t="shared" si="14"/>
        <v>16</v>
      </c>
    </row>
    <row r="277" spans="1:36" x14ac:dyDescent="0.2">
      <c r="A277" s="17" t="s">
        <v>4875</v>
      </c>
      <c r="B277" s="17">
        <v>37678</v>
      </c>
      <c r="Q277" s="20">
        <v>13495</v>
      </c>
      <c r="R277" s="20">
        <v>17515</v>
      </c>
      <c r="S277" s="20">
        <v>1699</v>
      </c>
      <c r="T277" s="20">
        <v>7024</v>
      </c>
      <c r="U277" s="20">
        <v>7239</v>
      </c>
      <c r="V277" s="20">
        <v>5</v>
      </c>
      <c r="W277" s="20">
        <f t="shared" si="12"/>
        <v>46977</v>
      </c>
      <c r="X277" s="36">
        <v>-31005</v>
      </c>
      <c r="Y277" s="36"/>
      <c r="Z277" s="36"/>
      <c r="AA277" s="36"/>
      <c r="AB277" s="36"/>
      <c r="AC277" s="36"/>
      <c r="AD277" s="36"/>
      <c r="AE277" s="36">
        <v>-5</v>
      </c>
      <c r="AF277" s="36">
        <v>-545</v>
      </c>
      <c r="AG277" s="36">
        <v>-1735</v>
      </c>
      <c r="AH277" s="36">
        <v>-13672</v>
      </c>
      <c r="AI277" s="20">
        <f t="shared" si="13"/>
        <v>-46962</v>
      </c>
      <c r="AJ277" s="20">
        <f t="shared" si="14"/>
        <v>15</v>
      </c>
    </row>
    <row r="278" spans="1:36" x14ac:dyDescent="0.2">
      <c r="A278" s="17" t="s">
        <v>4876</v>
      </c>
      <c r="B278" s="17">
        <v>37685</v>
      </c>
      <c r="Q278" s="20">
        <v>13490</v>
      </c>
      <c r="R278" s="20">
        <v>17610</v>
      </c>
      <c r="S278" s="20">
        <v>1699</v>
      </c>
      <c r="T278" s="20">
        <v>6804</v>
      </c>
      <c r="U278" s="20">
        <v>7465</v>
      </c>
      <c r="V278" s="20">
        <v>6</v>
      </c>
      <c r="W278" s="20">
        <f t="shared" si="12"/>
        <v>47074</v>
      </c>
      <c r="X278" s="36">
        <v>-31094</v>
      </c>
      <c r="Y278" s="36"/>
      <c r="Z278" s="36"/>
      <c r="AA278" s="36"/>
      <c r="AB278" s="36"/>
      <c r="AC278" s="36"/>
      <c r="AD278" s="36"/>
      <c r="AE278" s="36">
        <v>-6</v>
      </c>
      <c r="AF278" s="36">
        <v>-471</v>
      </c>
      <c r="AG278" s="36">
        <v>-1800</v>
      </c>
      <c r="AH278" s="36">
        <v>-13689</v>
      </c>
      <c r="AI278" s="20">
        <f t="shared" si="13"/>
        <v>-47060</v>
      </c>
      <c r="AJ278" s="20">
        <f t="shared" si="14"/>
        <v>14</v>
      </c>
    </row>
    <row r="279" spans="1:36" x14ac:dyDescent="0.2">
      <c r="A279" s="17" t="s">
        <v>4877</v>
      </c>
      <c r="B279" s="17">
        <v>37692</v>
      </c>
      <c r="Q279" s="20">
        <v>13508</v>
      </c>
      <c r="R279" s="20">
        <v>17712</v>
      </c>
      <c r="S279" s="20">
        <v>1699</v>
      </c>
      <c r="T279" s="20">
        <v>6828</v>
      </c>
      <c r="U279" s="20">
        <v>7478</v>
      </c>
      <c r="V279" s="20">
        <v>1</v>
      </c>
      <c r="W279" s="20">
        <f t="shared" si="12"/>
        <v>47226</v>
      </c>
      <c r="X279" s="36">
        <v>-31219</v>
      </c>
      <c r="Y279" s="36"/>
      <c r="Z279" s="36"/>
      <c r="AA279" s="36"/>
      <c r="AB279" s="36"/>
      <c r="AC279" s="36"/>
      <c r="AD279" s="36"/>
      <c r="AE279" s="36">
        <v>-1</v>
      </c>
      <c r="AF279" s="36">
        <v>-391</v>
      </c>
      <c r="AG279" s="36">
        <v>-1746</v>
      </c>
      <c r="AH279" s="36">
        <v>-13853</v>
      </c>
      <c r="AI279" s="20">
        <f t="shared" si="13"/>
        <v>-47210</v>
      </c>
      <c r="AJ279" s="20">
        <f t="shared" si="14"/>
        <v>16</v>
      </c>
    </row>
    <row r="280" spans="1:36" x14ac:dyDescent="0.2">
      <c r="A280" s="17" t="s">
        <v>4878</v>
      </c>
      <c r="B280" s="17">
        <v>37699</v>
      </c>
      <c r="Q280" s="20">
        <v>13568</v>
      </c>
      <c r="R280" s="20">
        <v>17722</v>
      </c>
      <c r="S280" s="20">
        <v>1698</v>
      </c>
      <c r="T280" s="20">
        <v>6775</v>
      </c>
      <c r="U280" s="20">
        <v>7571</v>
      </c>
      <c r="V280" s="20">
        <v>6</v>
      </c>
      <c r="W280" s="20">
        <f t="shared" si="12"/>
        <v>47340</v>
      </c>
      <c r="X280" s="36">
        <v>-31284</v>
      </c>
      <c r="Y280" s="36"/>
      <c r="Z280" s="36"/>
      <c r="AA280" s="36"/>
      <c r="AB280" s="36"/>
      <c r="AC280" s="36"/>
      <c r="AD280" s="36"/>
      <c r="AE280" s="36">
        <v>-6</v>
      </c>
      <c r="AF280" s="36">
        <v>-462</v>
      </c>
      <c r="AG280" s="36">
        <v>-1746</v>
      </c>
      <c r="AH280" s="36">
        <v>-13827</v>
      </c>
      <c r="AI280" s="20">
        <f t="shared" si="13"/>
        <v>-47325</v>
      </c>
      <c r="AJ280" s="20">
        <f t="shared" si="14"/>
        <v>15</v>
      </c>
    </row>
    <row r="281" spans="1:36" x14ac:dyDescent="0.2">
      <c r="A281" s="17" t="s">
        <v>4879</v>
      </c>
      <c r="B281" s="17">
        <v>37706</v>
      </c>
      <c r="Q281" s="20">
        <v>13504</v>
      </c>
      <c r="R281" s="20">
        <v>17916</v>
      </c>
      <c r="S281" s="20">
        <v>1698</v>
      </c>
      <c r="T281" s="20">
        <v>6579</v>
      </c>
      <c r="U281" s="20">
        <v>7710</v>
      </c>
      <c r="V281" s="20">
        <v>5</v>
      </c>
      <c r="W281" s="20">
        <f t="shared" si="12"/>
        <v>47412</v>
      </c>
      <c r="X281" s="36">
        <v>-31415</v>
      </c>
      <c r="Y281" s="36"/>
      <c r="Z281" s="36"/>
      <c r="AA281" s="36"/>
      <c r="AB281" s="36"/>
      <c r="AC281" s="36"/>
      <c r="AD281" s="36"/>
      <c r="AE281" s="36">
        <v>-5</v>
      </c>
      <c r="AF281" s="36">
        <v>-456</v>
      </c>
      <c r="AG281" s="36">
        <v>-1742</v>
      </c>
      <c r="AH281" s="36">
        <v>-13780</v>
      </c>
      <c r="AI281" s="20">
        <f t="shared" si="13"/>
        <v>-47398</v>
      </c>
      <c r="AJ281" s="20">
        <f t="shared" si="14"/>
        <v>14</v>
      </c>
    </row>
    <row r="282" spans="1:36" x14ac:dyDescent="0.2">
      <c r="A282" s="17" t="s">
        <v>4880</v>
      </c>
      <c r="B282" s="17">
        <v>37713</v>
      </c>
      <c r="Q282" s="20">
        <v>13651</v>
      </c>
      <c r="R282" s="20">
        <v>18009</v>
      </c>
      <c r="S282" s="20">
        <v>1698</v>
      </c>
      <c r="T282" s="20">
        <v>6872</v>
      </c>
      <c r="U282" s="20">
        <v>7531</v>
      </c>
      <c r="V282" s="20">
        <v>5</v>
      </c>
      <c r="W282" s="20">
        <f t="shared" si="12"/>
        <v>47766</v>
      </c>
      <c r="X282" s="36">
        <v>-31655</v>
      </c>
      <c r="Y282" s="36"/>
      <c r="Z282" s="36"/>
      <c r="AA282" s="36"/>
      <c r="AB282" s="36"/>
      <c r="AC282" s="36"/>
      <c r="AD282" s="36"/>
      <c r="AE282" s="36">
        <v>-5</v>
      </c>
      <c r="AF282" s="36">
        <v>-721</v>
      </c>
      <c r="AG282" s="36">
        <v>-1802</v>
      </c>
      <c r="AH282" s="36">
        <v>-13567</v>
      </c>
      <c r="AI282" s="20">
        <f t="shared" si="13"/>
        <v>-47750</v>
      </c>
      <c r="AJ282" s="20">
        <f t="shared" si="14"/>
        <v>16</v>
      </c>
    </row>
    <row r="283" spans="1:36" x14ac:dyDescent="0.2">
      <c r="A283" s="17" t="s">
        <v>4881</v>
      </c>
      <c r="B283" s="17">
        <v>37720</v>
      </c>
      <c r="Q283" s="20">
        <v>13490</v>
      </c>
      <c r="R283" s="20">
        <v>18280</v>
      </c>
      <c r="S283" s="20">
        <v>1704</v>
      </c>
      <c r="T283" s="20">
        <v>6928</v>
      </c>
      <c r="U283" s="20">
        <v>7539</v>
      </c>
      <c r="V283" s="20">
        <v>4</v>
      </c>
      <c r="W283" s="20">
        <f t="shared" si="12"/>
        <v>47945</v>
      </c>
      <c r="X283" s="36">
        <v>-31766</v>
      </c>
      <c r="Y283" s="36"/>
      <c r="Z283" s="36"/>
      <c r="AA283" s="36"/>
      <c r="AB283" s="36"/>
      <c r="AC283" s="36"/>
      <c r="AD283" s="36"/>
      <c r="AE283" s="36">
        <v>-4</v>
      </c>
      <c r="AF283" s="36">
        <v>-456</v>
      </c>
      <c r="AG283" s="36">
        <v>-1788</v>
      </c>
      <c r="AH283" s="36">
        <v>-13917</v>
      </c>
      <c r="AI283" s="20">
        <f t="shared" si="13"/>
        <v>-47931</v>
      </c>
      <c r="AJ283" s="20">
        <f t="shared" si="14"/>
        <v>14</v>
      </c>
    </row>
    <row r="284" spans="1:36" x14ac:dyDescent="0.2">
      <c r="A284" s="17" t="s">
        <v>4882</v>
      </c>
      <c r="B284" s="17">
        <v>37727</v>
      </c>
      <c r="Q284" s="20">
        <v>13748</v>
      </c>
      <c r="R284" s="20">
        <v>19592</v>
      </c>
      <c r="S284" s="20">
        <v>1704</v>
      </c>
      <c r="T284" s="20">
        <v>6947</v>
      </c>
      <c r="U284" s="20">
        <v>7527</v>
      </c>
      <c r="V284" s="20">
        <v>6</v>
      </c>
      <c r="W284" s="20">
        <f t="shared" si="12"/>
        <v>49524</v>
      </c>
      <c r="X284" s="36">
        <v>-33334</v>
      </c>
      <c r="Y284" s="36"/>
      <c r="Z284" s="36"/>
      <c r="AA284" s="36"/>
      <c r="AB284" s="36"/>
      <c r="AC284" s="36"/>
      <c r="AD284" s="36"/>
      <c r="AE284" s="36">
        <v>-6</v>
      </c>
      <c r="AF284" s="36">
        <v>-445</v>
      </c>
      <c r="AG284" s="36">
        <v>-1962</v>
      </c>
      <c r="AH284" s="36">
        <v>-13762</v>
      </c>
      <c r="AI284" s="20">
        <f t="shared" si="13"/>
        <v>-49509</v>
      </c>
      <c r="AJ284" s="20">
        <f t="shared" si="14"/>
        <v>15</v>
      </c>
    </row>
    <row r="285" spans="1:36" x14ac:dyDescent="0.2">
      <c r="A285" s="17" t="s">
        <v>4883</v>
      </c>
      <c r="B285" s="17">
        <v>37734</v>
      </c>
      <c r="Q285" s="20">
        <v>13716</v>
      </c>
      <c r="R285" s="20">
        <v>19734</v>
      </c>
      <c r="S285" s="20">
        <v>1704</v>
      </c>
      <c r="T285" s="20">
        <v>6943</v>
      </c>
      <c r="U285" s="20">
        <v>7546</v>
      </c>
      <c r="V285" s="20">
        <v>8</v>
      </c>
      <c r="W285" s="20">
        <f t="shared" si="12"/>
        <v>49651</v>
      </c>
      <c r="X285" s="36">
        <v>-33442</v>
      </c>
      <c r="Y285" s="36"/>
      <c r="Z285" s="36"/>
      <c r="AA285" s="36"/>
      <c r="AB285" s="36"/>
      <c r="AC285" s="36"/>
      <c r="AD285" s="36"/>
      <c r="AE285" s="36">
        <v>-8</v>
      </c>
      <c r="AF285" s="36">
        <v>-479</v>
      </c>
      <c r="AG285" s="36">
        <v>-1968</v>
      </c>
      <c r="AH285" s="36">
        <v>-13740</v>
      </c>
      <c r="AI285" s="20">
        <f t="shared" si="13"/>
        <v>-49637</v>
      </c>
      <c r="AJ285" s="20">
        <f t="shared" si="14"/>
        <v>14</v>
      </c>
    </row>
    <row r="286" spans="1:36" x14ac:dyDescent="0.2">
      <c r="A286" s="17" t="s">
        <v>4884</v>
      </c>
      <c r="B286" s="17">
        <v>37741</v>
      </c>
      <c r="Q286" s="20">
        <v>13542</v>
      </c>
      <c r="R286" s="20">
        <v>19068</v>
      </c>
      <c r="S286" s="20">
        <v>1704</v>
      </c>
      <c r="T286" s="20">
        <v>7191</v>
      </c>
      <c r="U286" s="20">
        <v>7555</v>
      </c>
      <c r="V286" s="20">
        <v>10</v>
      </c>
      <c r="W286" s="20">
        <f t="shared" si="12"/>
        <v>49070</v>
      </c>
      <c r="X286" s="36">
        <v>-32600</v>
      </c>
      <c r="Y286" s="36"/>
      <c r="Z286" s="36"/>
      <c r="AA286" s="36"/>
      <c r="AB286" s="36"/>
      <c r="AC286" s="36"/>
      <c r="AD286" s="36"/>
      <c r="AE286" s="36">
        <v>-10</v>
      </c>
      <c r="AF286" s="36">
        <v>-1556</v>
      </c>
      <c r="AG286" s="36">
        <v>-1779</v>
      </c>
      <c r="AH286" s="36">
        <v>-13109</v>
      </c>
      <c r="AI286" s="20">
        <f t="shared" si="13"/>
        <v>-49054</v>
      </c>
      <c r="AJ286" s="20">
        <f t="shared" si="14"/>
        <v>16</v>
      </c>
    </row>
    <row r="287" spans="1:36" x14ac:dyDescent="0.2">
      <c r="A287" s="17" t="s">
        <v>4885</v>
      </c>
      <c r="B287" s="17">
        <v>37748</v>
      </c>
      <c r="Q287" s="20">
        <v>13518</v>
      </c>
      <c r="R287" s="20">
        <v>19422</v>
      </c>
      <c r="S287" s="20">
        <v>1703</v>
      </c>
      <c r="T287" s="20">
        <v>6970</v>
      </c>
      <c r="U287" s="20">
        <v>7594</v>
      </c>
      <c r="V287" s="20">
        <v>3</v>
      </c>
      <c r="W287" s="20">
        <f t="shared" si="12"/>
        <v>49210</v>
      </c>
      <c r="X287" s="36">
        <v>-32938</v>
      </c>
      <c r="Y287" s="36"/>
      <c r="Z287" s="36"/>
      <c r="AA287" s="36"/>
      <c r="AB287" s="36"/>
      <c r="AC287" s="36"/>
      <c r="AD287" s="36"/>
      <c r="AE287" s="36">
        <v>-2</v>
      </c>
      <c r="AF287" s="36">
        <v>-582</v>
      </c>
      <c r="AG287" s="36">
        <v>-1911</v>
      </c>
      <c r="AH287" s="36">
        <v>-13761</v>
      </c>
      <c r="AI287" s="20">
        <f t="shared" si="13"/>
        <v>-49194</v>
      </c>
      <c r="AJ287" s="20">
        <f t="shared" si="14"/>
        <v>16</v>
      </c>
    </row>
    <row r="288" spans="1:36" x14ac:dyDescent="0.2">
      <c r="A288" s="17" t="s">
        <v>4886</v>
      </c>
      <c r="B288" s="17">
        <v>37755</v>
      </c>
      <c r="Q288" s="20">
        <v>13491</v>
      </c>
      <c r="R288" s="20">
        <v>18969</v>
      </c>
      <c r="S288" s="20">
        <v>1703</v>
      </c>
      <c r="T288" s="20">
        <v>6769</v>
      </c>
      <c r="U288" s="20">
        <v>7601</v>
      </c>
      <c r="V288" s="20">
        <v>8</v>
      </c>
      <c r="W288" s="20">
        <f t="shared" si="12"/>
        <v>48541</v>
      </c>
      <c r="X288" s="36">
        <v>-32452</v>
      </c>
      <c r="Y288" s="36"/>
      <c r="Z288" s="36"/>
      <c r="AA288" s="36"/>
      <c r="AB288" s="36"/>
      <c r="AC288" s="36"/>
      <c r="AD288" s="36"/>
      <c r="AE288" s="36">
        <v>-8</v>
      </c>
      <c r="AF288" s="36">
        <v>-383</v>
      </c>
      <c r="AG288" s="36">
        <v>-1833</v>
      </c>
      <c r="AH288" s="36">
        <v>-13851</v>
      </c>
      <c r="AI288" s="20">
        <f t="shared" si="13"/>
        <v>-48527</v>
      </c>
      <c r="AJ288" s="20">
        <f t="shared" si="14"/>
        <v>14</v>
      </c>
    </row>
    <row r="289" spans="1:36" x14ac:dyDescent="0.2">
      <c r="A289" s="17" t="s">
        <v>4887</v>
      </c>
      <c r="B289" s="17">
        <v>37762</v>
      </c>
      <c r="Q289" s="20">
        <v>13491</v>
      </c>
      <c r="R289" s="20">
        <v>19229</v>
      </c>
      <c r="S289" s="20">
        <v>1633</v>
      </c>
      <c r="T289" s="20">
        <v>6812</v>
      </c>
      <c r="U289" s="20">
        <v>7604</v>
      </c>
      <c r="V289" s="20">
        <v>3</v>
      </c>
      <c r="W289" s="20">
        <f t="shared" si="12"/>
        <v>48772</v>
      </c>
      <c r="X289" s="36">
        <v>-32717</v>
      </c>
      <c r="Y289" s="36"/>
      <c r="Z289" s="36"/>
      <c r="AA289" s="36"/>
      <c r="AB289" s="36"/>
      <c r="AC289" s="36"/>
      <c r="AD289" s="36"/>
      <c r="AE289" s="36">
        <v>-3</v>
      </c>
      <c r="AF289" s="36">
        <v>-345</v>
      </c>
      <c r="AG289" s="36">
        <v>-1970</v>
      </c>
      <c r="AH289" s="36">
        <v>-13722</v>
      </c>
      <c r="AI289" s="20">
        <f t="shared" si="13"/>
        <v>-48757</v>
      </c>
      <c r="AJ289" s="20">
        <f t="shared" si="14"/>
        <v>15</v>
      </c>
    </row>
    <row r="290" spans="1:36" x14ac:dyDescent="0.2">
      <c r="A290" s="17" t="s">
        <v>4888</v>
      </c>
      <c r="B290" s="17">
        <v>37769</v>
      </c>
      <c r="Q290" s="20">
        <v>13491</v>
      </c>
      <c r="R290" s="20">
        <v>19639</v>
      </c>
      <c r="S290" s="20">
        <v>1633</v>
      </c>
      <c r="T290" s="20">
        <v>7001</v>
      </c>
      <c r="U290" s="20">
        <v>7622</v>
      </c>
      <c r="V290" s="20">
        <v>7</v>
      </c>
      <c r="W290" s="20">
        <f t="shared" si="12"/>
        <v>49393</v>
      </c>
      <c r="X290" s="36">
        <v>-33123</v>
      </c>
      <c r="Y290" s="36"/>
      <c r="Z290" s="36"/>
      <c r="AA290" s="36"/>
      <c r="AB290" s="36"/>
      <c r="AC290" s="36"/>
      <c r="AD290" s="36"/>
      <c r="AE290" s="36">
        <v>-7</v>
      </c>
      <c r="AF290" s="36">
        <v>-532</v>
      </c>
      <c r="AG290" s="36">
        <v>-1894</v>
      </c>
      <c r="AH290" s="36">
        <v>-13822</v>
      </c>
      <c r="AI290" s="20">
        <f t="shared" si="13"/>
        <v>-49378</v>
      </c>
      <c r="AJ290" s="20">
        <f t="shared" si="14"/>
        <v>15</v>
      </c>
    </row>
    <row r="291" spans="1:36" x14ac:dyDescent="0.2">
      <c r="A291" s="17" t="s">
        <v>4889</v>
      </c>
      <c r="B291" s="17">
        <v>37776</v>
      </c>
      <c r="Q291" s="20">
        <v>13752</v>
      </c>
      <c r="R291" s="20">
        <v>18668</v>
      </c>
      <c r="S291" s="20">
        <v>1633</v>
      </c>
      <c r="T291" s="20">
        <v>6659</v>
      </c>
      <c r="U291" s="20">
        <v>7660</v>
      </c>
      <c r="V291" s="20">
        <v>9</v>
      </c>
      <c r="W291" s="20">
        <f t="shared" si="12"/>
        <v>48381</v>
      </c>
      <c r="X291" s="36">
        <v>-32411</v>
      </c>
      <c r="Y291" s="36"/>
      <c r="Z291" s="36"/>
      <c r="AA291" s="36"/>
      <c r="AB291" s="36"/>
      <c r="AC291" s="36"/>
      <c r="AD291" s="36"/>
      <c r="AE291" s="36">
        <v>-9</v>
      </c>
      <c r="AF291" s="36">
        <v>-591</v>
      </c>
      <c r="AG291" s="36">
        <v>-2057</v>
      </c>
      <c r="AH291" s="36">
        <v>-13299</v>
      </c>
      <c r="AI291" s="20">
        <f t="shared" si="13"/>
        <v>-48367</v>
      </c>
      <c r="AJ291" s="20">
        <f t="shared" si="14"/>
        <v>14</v>
      </c>
    </row>
    <row r="292" spans="1:36" x14ac:dyDescent="0.2">
      <c r="A292" s="17" t="s">
        <v>4890</v>
      </c>
      <c r="B292" s="17">
        <v>37783</v>
      </c>
      <c r="Q292" s="20">
        <v>15123</v>
      </c>
      <c r="R292" s="20">
        <v>17217</v>
      </c>
      <c r="S292" s="20">
        <v>1613</v>
      </c>
      <c r="T292" s="20">
        <v>7567</v>
      </c>
      <c r="U292" s="20">
        <v>7562</v>
      </c>
      <c r="V292" s="20">
        <v>1</v>
      </c>
      <c r="W292" s="20">
        <f t="shared" si="12"/>
        <v>49083</v>
      </c>
      <c r="X292" s="36">
        <v>-32339</v>
      </c>
      <c r="Y292" s="36"/>
      <c r="Z292" s="36"/>
      <c r="AA292" s="36"/>
      <c r="AB292" s="36"/>
      <c r="AC292" s="36"/>
      <c r="AD292" s="36"/>
      <c r="AE292" s="36">
        <v>-1</v>
      </c>
      <c r="AF292" s="36">
        <v>-406</v>
      </c>
      <c r="AG292" s="36">
        <v>-1994</v>
      </c>
      <c r="AH292" s="36">
        <v>-14328</v>
      </c>
      <c r="AI292" s="20">
        <f t="shared" si="13"/>
        <v>-49068</v>
      </c>
      <c r="AJ292" s="20">
        <f t="shared" si="14"/>
        <v>15</v>
      </c>
    </row>
    <row r="293" spans="1:36" x14ac:dyDescent="0.2">
      <c r="A293" s="17" t="s">
        <v>4891</v>
      </c>
      <c r="B293" s="17">
        <v>37790</v>
      </c>
      <c r="Q293" s="20">
        <v>13892</v>
      </c>
      <c r="R293" s="20">
        <v>18438</v>
      </c>
      <c r="S293" s="20">
        <v>1612</v>
      </c>
      <c r="T293" s="20">
        <v>7057</v>
      </c>
      <c r="U293" s="20">
        <v>7491</v>
      </c>
      <c r="V293" s="20">
        <v>3</v>
      </c>
      <c r="W293" s="20">
        <f t="shared" si="12"/>
        <v>48493</v>
      </c>
      <c r="X293" s="36">
        <v>-32327</v>
      </c>
      <c r="Y293" s="36"/>
      <c r="Z293" s="36"/>
      <c r="AA293" s="36"/>
      <c r="AB293" s="36"/>
      <c r="AC293" s="36"/>
      <c r="AD293" s="36"/>
      <c r="AE293" s="36">
        <v>-3</v>
      </c>
      <c r="AF293" s="36">
        <v>-413</v>
      </c>
      <c r="AG293" s="36">
        <v>-2016</v>
      </c>
      <c r="AH293" s="36">
        <v>-13719</v>
      </c>
      <c r="AI293" s="20">
        <f t="shared" si="13"/>
        <v>-48478</v>
      </c>
      <c r="AJ293" s="20">
        <f t="shared" si="14"/>
        <v>15</v>
      </c>
    </row>
    <row r="294" spans="1:36" x14ac:dyDescent="0.2">
      <c r="A294" s="17" t="s">
        <v>4892</v>
      </c>
      <c r="B294" s="17">
        <v>37797</v>
      </c>
      <c r="Q294" s="20">
        <v>14087</v>
      </c>
      <c r="R294" s="20">
        <v>18353</v>
      </c>
      <c r="S294" s="20">
        <v>1612</v>
      </c>
      <c r="T294" s="20">
        <v>7846</v>
      </c>
      <c r="U294" s="20">
        <v>7975</v>
      </c>
      <c r="V294" s="20">
        <v>4</v>
      </c>
      <c r="W294" s="20">
        <f t="shared" si="12"/>
        <v>49877</v>
      </c>
      <c r="X294" s="36">
        <v>-32436</v>
      </c>
      <c r="Y294" s="36"/>
      <c r="Z294" s="36"/>
      <c r="AA294" s="36"/>
      <c r="AB294" s="36"/>
      <c r="AC294" s="36"/>
      <c r="AD294" s="36"/>
      <c r="AE294" s="36">
        <v>-4</v>
      </c>
      <c r="AF294" s="36">
        <v>-475</v>
      </c>
      <c r="AG294" s="36">
        <v>-2730</v>
      </c>
      <c r="AH294" s="36">
        <v>-14217</v>
      </c>
      <c r="AI294" s="20">
        <f t="shared" si="13"/>
        <v>-49862</v>
      </c>
      <c r="AJ294" s="20">
        <f t="shared" si="14"/>
        <v>15</v>
      </c>
    </row>
    <row r="295" spans="1:36" x14ac:dyDescent="0.2">
      <c r="A295" s="17" t="s">
        <v>4893</v>
      </c>
      <c r="B295" s="17">
        <v>37804</v>
      </c>
      <c r="Q295" s="20">
        <v>13492</v>
      </c>
      <c r="R295" s="20">
        <v>19078</v>
      </c>
      <c r="S295" s="20">
        <v>1632</v>
      </c>
      <c r="T295" s="20">
        <v>7155</v>
      </c>
      <c r="U295" s="20">
        <v>7983</v>
      </c>
      <c r="V295" s="20">
        <v>8</v>
      </c>
      <c r="W295" s="20">
        <f t="shared" si="12"/>
        <v>49348</v>
      </c>
      <c r="X295" s="36">
        <v>-32562</v>
      </c>
      <c r="Y295" s="36"/>
      <c r="Z295" s="36"/>
      <c r="AA295" s="36"/>
      <c r="AB295" s="36"/>
      <c r="AC295" s="36"/>
      <c r="AD295" s="36"/>
      <c r="AE295" s="36">
        <v>-8</v>
      </c>
      <c r="AF295" s="36">
        <v>-704</v>
      </c>
      <c r="AG295" s="36">
        <v>-2010</v>
      </c>
      <c r="AH295" s="36">
        <v>-14049</v>
      </c>
      <c r="AI295" s="20">
        <f t="shared" si="13"/>
        <v>-49333</v>
      </c>
      <c r="AJ295" s="20">
        <f t="shared" si="14"/>
        <v>15</v>
      </c>
    </row>
    <row r="296" spans="1:36" x14ac:dyDescent="0.2">
      <c r="A296" s="17" t="s">
        <v>4894</v>
      </c>
      <c r="B296" s="17">
        <v>37811</v>
      </c>
      <c r="Q296" s="20">
        <v>14048</v>
      </c>
      <c r="R296" s="20">
        <v>18572</v>
      </c>
      <c r="S296" s="20">
        <v>1632</v>
      </c>
      <c r="T296" s="20">
        <v>7938</v>
      </c>
      <c r="U296" s="20">
        <v>8021</v>
      </c>
      <c r="V296" s="20">
        <v>10</v>
      </c>
      <c r="W296" s="20">
        <f t="shared" si="12"/>
        <v>50221</v>
      </c>
      <c r="X296" s="36">
        <v>-32610</v>
      </c>
      <c r="Y296" s="36"/>
      <c r="Z296" s="36"/>
      <c r="AA296" s="36"/>
      <c r="AB296" s="36"/>
      <c r="AC296" s="36"/>
      <c r="AD296" s="36"/>
      <c r="AE296" s="36">
        <v>-10</v>
      </c>
      <c r="AF296" s="36">
        <v>-416</v>
      </c>
      <c r="AG296" s="36">
        <v>-2322</v>
      </c>
      <c r="AH296" s="36">
        <v>-14849</v>
      </c>
      <c r="AI296" s="20">
        <f t="shared" si="13"/>
        <v>-50207</v>
      </c>
      <c r="AJ296" s="20">
        <f t="shared" si="14"/>
        <v>14</v>
      </c>
    </row>
    <row r="297" spans="1:36" x14ac:dyDescent="0.2">
      <c r="A297" s="17" t="s">
        <v>4895</v>
      </c>
      <c r="B297" s="17">
        <v>37818</v>
      </c>
      <c r="Q297" s="20">
        <v>13492</v>
      </c>
      <c r="R297" s="20">
        <v>19178</v>
      </c>
      <c r="S297" s="20">
        <v>1632</v>
      </c>
      <c r="T297" s="20">
        <v>7494</v>
      </c>
      <c r="U297" s="20">
        <v>8097</v>
      </c>
      <c r="V297" s="20">
        <v>10</v>
      </c>
      <c r="W297" s="20">
        <f t="shared" si="12"/>
        <v>49903</v>
      </c>
      <c r="X297" s="36">
        <v>-32660</v>
      </c>
      <c r="Y297" s="36"/>
      <c r="Z297" s="36"/>
      <c r="AA297" s="36"/>
      <c r="AB297" s="36"/>
      <c r="AC297" s="36"/>
      <c r="AD297" s="36"/>
      <c r="AE297" s="36">
        <v>-10</v>
      </c>
      <c r="AF297" s="36">
        <v>-498</v>
      </c>
      <c r="AG297" s="36">
        <v>-2080</v>
      </c>
      <c r="AH297" s="36">
        <v>-14640</v>
      </c>
      <c r="AI297" s="20">
        <f t="shared" si="13"/>
        <v>-49888</v>
      </c>
      <c r="AJ297" s="20">
        <f t="shared" si="14"/>
        <v>15</v>
      </c>
    </row>
    <row r="298" spans="1:36" x14ac:dyDescent="0.2">
      <c r="A298" s="17" t="s">
        <v>4896</v>
      </c>
      <c r="B298" s="17">
        <v>37825</v>
      </c>
      <c r="Q298" s="20">
        <v>13492</v>
      </c>
      <c r="R298" s="20">
        <v>19368</v>
      </c>
      <c r="S298" s="20">
        <v>1632</v>
      </c>
      <c r="T298" s="20">
        <v>8848</v>
      </c>
      <c r="U298" s="20">
        <v>8166</v>
      </c>
      <c r="V298" s="20">
        <v>1</v>
      </c>
      <c r="W298" s="20">
        <f t="shared" si="12"/>
        <v>51507</v>
      </c>
      <c r="X298" s="36">
        <v>-32859</v>
      </c>
      <c r="Y298" s="36"/>
      <c r="Z298" s="36"/>
      <c r="AA298" s="36"/>
      <c r="AB298" s="36"/>
      <c r="AC298" s="36"/>
      <c r="AD298" s="36"/>
      <c r="AE298" s="36">
        <v>-1</v>
      </c>
      <c r="AF298" s="36">
        <v>-448</v>
      </c>
      <c r="AG298" s="36">
        <v>-2052</v>
      </c>
      <c r="AH298" s="36">
        <v>-16132</v>
      </c>
      <c r="AI298" s="20">
        <f t="shared" si="13"/>
        <v>-51492</v>
      </c>
      <c r="AJ298" s="20">
        <f t="shared" si="14"/>
        <v>15</v>
      </c>
    </row>
    <row r="299" spans="1:36" x14ac:dyDescent="0.2">
      <c r="A299" s="17" t="s">
        <v>4897</v>
      </c>
      <c r="B299" s="17">
        <v>37832</v>
      </c>
      <c r="Q299" s="20">
        <v>13492</v>
      </c>
      <c r="R299" s="20">
        <v>19608</v>
      </c>
      <c r="S299" s="20">
        <v>1638</v>
      </c>
      <c r="T299" s="20">
        <v>11965</v>
      </c>
      <c r="U299" s="20">
        <v>8576</v>
      </c>
      <c r="V299" s="20">
        <v>4</v>
      </c>
      <c r="W299" s="20">
        <f t="shared" si="12"/>
        <v>55283</v>
      </c>
      <c r="X299" s="36">
        <v>-33096</v>
      </c>
      <c r="Y299" s="36"/>
      <c r="Z299" s="36"/>
      <c r="AA299" s="36"/>
      <c r="AB299" s="36"/>
      <c r="AC299" s="36"/>
      <c r="AD299" s="36"/>
      <c r="AE299" s="36">
        <v>-4</v>
      </c>
      <c r="AF299" s="36">
        <v>-672</v>
      </c>
      <c r="AG299" s="36">
        <v>-2467</v>
      </c>
      <c r="AH299" s="36">
        <v>-19029</v>
      </c>
      <c r="AI299" s="20">
        <f t="shared" si="13"/>
        <v>-55268</v>
      </c>
      <c r="AJ299" s="20">
        <f t="shared" si="14"/>
        <v>15</v>
      </c>
    </row>
    <row r="300" spans="1:36" x14ac:dyDescent="0.2">
      <c r="A300" s="17" t="s">
        <v>4898</v>
      </c>
      <c r="B300" s="17">
        <v>37839</v>
      </c>
      <c r="Q300" s="20">
        <v>13492</v>
      </c>
      <c r="R300" s="20">
        <v>19668</v>
      </c>
      <c r="S300" s="20">
        <v>1670</v>
      </c>
      <c r="T300" s="20">
        <v>8974</v>
      </c>
      <c r="U300" s="20">
        <v>8646</v>
      </c>
      <c r="V300" s="20">
        <v>3</v>
      </c>
      <c r="W300" s="20">
        <f t="shared" si="12"/>
        <v>52453</v>
      </c>
      <c r="X300" s="36">
        <v>-33157</v>
      </c>
      <c r="Y300" s="36"/>
      <c r="Z300" s="36"/>
      <c r="AA300" s="36"/>
      <c r="AB300" s="36"/>
      <c r="AC300" s="36"/>
      <c r="AD300" s="36"/>
      <c r="AE300" s="36">
        <v>-3</v>
      </c>
      <c r="AF300" s="36">
        <v>-816</v>
      </c>
      <c r="AG300" s="36">
        <v>-2050</v>
      </c>
      <c r="AH300" s="36">
        <v>-16413</v>
      </c>
      <c r="AI300" s="20">
        <f t="shared" si="13"/>
        <v>-52439</v>
      </c>
      <c r="AJ300" s="20">
        <f t="shared" si="14"/>
        <v>14</v>
      </c>
    </row>
    <row r="301" spans="1:36" x14ac:dyDescent="0.2">
      <c r="A301" s="17" t="s">
        <v>4899</v>
      </c>
      <c r="B301" s="17">
        <v>37846</v>
      </c>
      <c r="Q301" s="20">
        <v>13618</v>
      </c>
      <c r="R301" s="20">
        <v>19442</v>
      </c>
      <c r="S301" s="20">
        <v>1670</v>
      </c>
      <c r="T301" s="20">
        <v>7710</v>
      </c>
      <c r="U301" s="20">
        <v>8672</v>
      </c>
      <c r="V301" s="20">
        <v>8</v>
      </c>
      <c r="W301" s="20">
        <f t="shared" si="12"/>
        <v>51120</v>
      </c>
      <c r="X301" s="36">
        <v>-33052</v>
      </c>
      <c r="Y301" s="36"/>
      <c r="Z301" s="36"/>
      <c r="AA301" s="36"/>
      <c r="AB301" s="36"/>
      <c r="AC301" s="36"/>
      <c r="AD301" s="36"/>
      <c r="AE301" s="36">
        <v>-8</v>
      </c>
      <c r="AF301" s="36">
        <v>-518</v>
      </c>
      <c r="AG301" s="36">
        <v>-2324</v>
      </c>
      <c r="AH301" s="36">
        <v>-15204</v>
      </c>
      <c r="AI301" s="20">
        <f t="shared" si="13"/>
        <v>-51106</v>
      </c>
      <c r="AJ301" s="20">
        <f t="shared" si="14"/>
        <v>14</v>
      </c>
    </row>
    <row r="302" spans="1:36" x14ac:dyDescent="0.2">
      <c r="A302" s="17" t="s">
        <v>4900</v>
      </c>
      <c r="B302" s="17">
        <v>37853</v>
      </c>
      <c r="Q302" s="20">
        <v>14595</v>
      </c>
      <c r="R302" s="20">
        <v>18855</v>
      </c>
      <c r="S302" s="20">
        <v>1676</v>
      </c>
      <c r="T302" s="20">
        <v>8254</v>
      </c>
      <c r="U302" s="20">
        <v>8251</v>
      </c>
      <c r="V302" s="20">
        <v>5</v>
      </c>
      <c r="W302" s="20">
        <f t="shared" si="12"/>
        <v>51636</v>
      </c>
      <c r="X302" s="36">
        <v>-33445</v>
      </c>
      <c r="Y302" s="36"/>
      <c r="Z302" s="36"/>
      <c r="AA302" s="36"/>
      <c r="AB302" s="36"/>
      <c r="AC302" s="36"/>
      <c r="AD302" s="36"/>
      <c r="AE302" s="36">
        <v>-5</v>
      </c>
      <c r="AF302" s="36">
        <v>-583</v>
      </c>
      <c r="AG302" s="36">
        <v>-2219</v>
      </c>
      <c r="AH302" s="36">
        <v>-15370</v>
      </c>
      <c r="AI302" s="20">
        <f t="shared" si="13"/>
        <v>-51622</v>
      </c>
      <c r="AJ302" s="20">
        <f t="shared" si="14"/>
        <v>14</v>
      </c>
    </row>
    <row r="303" spans="1:36" x14ac:dyDescent="0.2">
      <c r="A303" s="17" t="s">
        <v>4901</v>
      </c>
      <c r="B303" s="17">
        <v>37860</v>
      </c>
      <c r="Q303" s="20">
        <v>15044</v>
      </c>
      <c r="R303" s="20">
        <v>18996</v>
      </c>
      <c r="S303" s="20">
        <v>1676</v>
      </c>
      <c r="T303" s="20">
        <v>8963</v>
      </c>
      <c r="U303" s="20">
        <v>8155</v>
      </c>
      <c r="V303" s="20">
        <v>8</v>
      </c>
      <c r="W303" s="20">
        <f t="shared" si="12"/>
        <v>52842</v>
      </c>
      <c r="X303" s="36">
        <v>-34032</v>
      </c>
      <c r="Y303" s="36"/>
      <c r="Z303" s="36"/>
      <c r="AA303" s="36"/>
      <c r="AB303" s="36"/>
      <c r="AC303" s="36"/>
      <c r="AD303" s="36"/>
      <c r="AE303" s="36">
        <v>-8</v>
      </c>
      <c r="AF303" s="36">
        <v>-698</v>
      </c>
      <c r="AG303" s="36">
        <v>-1903</v>
      </c>
      <c r="AH303" s="36">
        <v>-16187</v>
      </c>
      <c r="AI303" s="20">
        <f t="shared" si="13"/>
        <v>-52828</v>
      </c>
      <c r="AJ303" s="20">
        <f t="shared" si="14"/>
        <v>14</v>
      </c>
    </row>
    <row r="304" spans="1:36" x14ac:dyDescent="0.2">
      <c r="A304" s="17" t="s">
        <v>4902</v>
      </c>
      <c r="B304" s="17">
        <v>37867</v>
      </c>
      <c r="Q304" s="20">
        <v>13598</v>
      </c>
      <c r="R304" s="20">
        <v>19792</v>
      </c>
      <c r="S304" s="20">
        <v>1676</v>
      </c>
      <c r="T304" s="20">
        <v>7621</v>
      </c>
      <c r="U304" s="20">
        <v>8417</v>
      </c>
      <c r="V304" s="20">
        <v>6</v>
      </c>
      <c r="W304" s="20">
        <f t="shared" si="12"/>
        <v>51110</v>
      </c>
      <c r="X304" s="36">
        <v>-33384</v>
      </c>
      <c r="Y304" s="36"/>
      <c r="Z304" s="36"/>
      <c r="AA304" s="36"/>
      <c r="AB304" s="36"/>
      <c r="AC304" s="36"/>
      <c r="AD304" s="36"/>
      <c r="AE304" s="36">
        <v>-6</v>
      </c>
      <c r="AF304" s="36">
        <v>-797</v>
      </c>
      <c r="AG304" s="36">
        <v>-2064</v>
      </c>
      <c r="AH304" s="36">
        <v>-14844</v>
      </c>
      <c r="AI304" s="20">
        <f t="shared" si="13"/>
        <v>-51095</v>
      </c>
      <c r="AJ304" s="20">
        <f t="shared" si="14"/>
        <v>15</v>
      </c>
    </row>
    <row r="305" spans="1:36" x14ac:dyDescent="0.2">
      <c r="A305" s="17" t="s">
        <v>4903</v>
      </c>
      <c r="B305" s="17">
        <v>37874</v>
      </c>
      <c r="Q305" s="20">
        <v>13484</v>
      </c>
      <c r="R305" s="20">
        <v>19636</v>
      </c>
      <c r="S305" s="20">
        <v>1676</v>
      </c>
      <c r="T305" s="20">
        <v>7790</v>
      </c>
      <c r="U305" s="20">
        <v>8277</v>
      </c>
      <c r="V305" s="20">
        <v>4</v>
      </c>
      <c r="W305" s="20">
        <f t="shared" si="12"/>
        <v>50867</v>
      </c>
      <c r="X305" s="36">
        <v>-33116</v>
      </c>
      <c r="Y305" s="36"/>
      <c r="Z305" s="36"/>
      <c r="AA305" s="36"/>
      <c r="AB305" s="36"/>
      <c r="AC305" s="36"/>
      <c r="AD305" s="36"/>
      <c r="AE305" s="36">
        <v>-4</v>
      </c>
      <c r="AF305" s="36">
        <v>-560</v>
      </c>
      <c r="AG305" s="36">
        <v>-1912</v>
      </c>
      <c r="AH305" s="36">
        <v>-15259</v>
      </c>
      <c r="AI305" s="20">
        <f t="shared" si="13"/>
        <v>-50851</v>
      </c>
      <c r="AJ305" s="20">
        <f t="shared" si="14"/>
        <v>16</v>
      </c>
    </row>
    <row r="306" spans="1:36" x14ac:dyDescent="0.2">
      <c r="A306" s="17" t="s">
        <v>4904</v>
      </c>
      <c r="B306" s="17">
        <v>37881</v>
      </c>
      <c r="Q306" s="20">
        <v>13483</v>
      </c>
      <c r="R306" s="20">
        <v>19717</v>
      </c>
      <c r="S306" s="20">
        <v>1675</v>
      </c>
      <c r="T306" s="20">
        <v>6833</v>
      </c>
      <c r="U306" s="20">
        <v>8226</v>
      </c>
      <c r="V306" s="20">
        <v>4</v>
      </c>
      <c r="W306" s="20">
        <f t="shared" si="12"/>
        <v>49938</v>
      </c>
      <c r="X306" s="36">
        <v>-33196</v>
      </c>
      <c r="Y306" s="36"/>
      <c r="Z306" s="36"/>
      <c r="AA306" s="36"/>
      <c r="AB306" s="36"/>
      <c r="AC306" s="36"/>
      <c r="AD306" s="36"/>
      <c r="AE306" s="36">
        <v>-4</v>
      </c>
      <c r="AF306" s="36">
        <v>-576</v>
      </c>
      <c r="AG306" s="36">
        <v>-1963</v>
      </c>
      <c r="AH306" s="36">
        <v>-14186</v>
      </c>
      <c r="AI306" s="20">
        <f t="shared" si="13"/>
        <v>-49925</v>
      </c>
      <c r="AJ306" s="20">
        <f t="shared" si="14"/>
        <v>13</v>
      </c>
    </row>
    <row r="307" spans="1:36" x14ac:dyDescent="0.2">
      <c r="A307" s="17" t="s">
        <v>4905</v>
      </c>
      <c r="B307" s="17">
        <v>37888</v>
      </c>
      <c r="Q307" s="20">
        <v>15052</v>
      </c>
      <c r="R307" s="20">
        <v>18098</v>
      </c>
      <c r="S307" s="20">
        <v>1675</v>
      </c>
      <c r="T307" s="20">
        <v>7157</v>
      </c>
      <c r="U307" s="20">
        <v>8275</v>
      </c>
      <c r="V307" s="20">
        <v>2</v>
      </c>
      <c r="W307" s="20">
        <f t="shared" si="12"/>
        <v>50259</v>
      </c>
      <c r="X307" s="36">
        <v>-33148</v>
      </c>
      <c r="Y307" s="36"/>
      <c r="Z307" s="36"/>
      <c r="AA307" s="36"/>
      <c r="AB307" s="36"/>
      <c r="AC307" s="36"/>
      <c r="AD307" s="36"/>
      <c r="AE307" s="36">
        <v>-2</v>
      </c>
      <c r="AF307" s="36">
        <v>-990</v>
      </c>
      <c r="AG307" s="36">
        <v>-1905</v>
      </c>
      <c r="AH307" s="36">
        <v>-14200</v>
      </c>
      <c r="AI307" s="20">
        <f t="shared" si="13"/>
        <v>-50245</v>
      </c>
      <c r="AJ307" s="20">
        <f t="shared" si="14"/>
        <v>14</v>
      </c>
    </row>
    <row r="308" spans="1:36" x14ac:dyDescent="0.2">
      <c r="A308" s="17" t="s">
        <v>4906</v>
      </c>
      <c r="B308" s="17">
        <v>37895</v>
      </c>
      <c r="Q308" s="20">
        <v>13942</v>
      </c>
      <c r="R308" s="20">
        <v>19318</v>
      </c>
      <c r="S308" s="20">
        <v>1675</v>
      </c>
      <c r="T308" s="20">
        <v>7330</v>
      </c>
      <c r="U308" s="20">
        <v>8547</v>
      </c>
      <c r="V308" s="20">
        <v>1</v>
      </c>
      <c r="W308" s="20">
        <f t="shared" si="12"/>
        <v>50813</v>
      </c>
      <c r="X308" s="36">
        <v>-33259</v>
      </c>
      <c r="Y308" s="36"/>
      <c r="Z308" s="36"/>
      <c r="AA308" s="36"/>
      <c r="AB308" s="36"/>
      <c r="AC308" s="36"/>
      <c r="AD308" s="36"/>
      <c r="AE308" s="36">
        <v>-1</v>
      </c>
      <c r="AF308" s="36">
        <v>-984</v>
      </c>
      <c r="AG308" s="36">
        <v>-1941</v>
      </c>
      <c r="AH308" s="36">
        <v>-14612</v>
      </c>
      <c r="AI308" s="20">
        <f t="shared" si="13"/>
        <v>-50797</v>
      </c>
      <c r="AJ308" s="20">
        <f t="shared" si="14"/>
        <v>16</v>
      </c>
    </row>
    <row r="309" spans="1:36" x14ac:dyDescent="0.2">
      <c r="A309" s="17" t="s">
        <v>4907</v>
      </c>
      <c r="B309" s="17">
        <v>37902</v>
      </c>
      <c r="Q309" s="20">
        <v>13613</v>
      </c>
      <c r="R309" s="20">
        <v>19487</v>
      </c>
      <c r="S309" s="20">
        <v>1675</v>
      </c>
      <c r="T309" s="20">
        <v>6642</v>
      </c>
      <c r="U309" s="20">
        <v>8777</v>
      </c>
      <c r="V309" s="20">
        <v>5</v>
      </c>
      <c r="W309" s="20">
        <f t="shared" si="12"/>
        <v>50199</v>
      </c>
      <c r="X309" s="36">
        <v>-33095</v>
      </c>
      <c r="Y309" s="36"/>
      <c r="Z309" s="36"/>
      <c r="AA309" s="36"/>
      <c r="AB309" s="36"/>
      <c r="AC309" s="36"/>
      <c r="AD309" s="36"/>
      <c r="AE309" s="36">
        <v>-5</v>
      </c>
      <c r="AF309" s="36">
        <v>-548</v>
      </c>
      <c r="AG309" s="36">
        <v>-1947</v>
      </c>
      <c r="AH309" s="36">
        <v>-14589</v>
      </c>
      <c r="AI309" s="20">
        <f t="shared" si="13"/>
        <v>-50184</v>
      </c>
      <c r="AJ309" s="20">
        <f t="shared" si="14"/>
        <v>15</v>
      </c>
    </row>
    <row r="310" spans="1:36" x14ac:dyDescent="0.2">
      <c r="A310" s="17" t="s">
        <v>4908</v>
      </c>
      <c r="B310" s="17">
        <v>37909</v>
      </c>
      <c r="Q310" s="20">
        <v>13485</v>
      </c>
      <c r="R310" s="20">
        <v>19625</v>
      </c>
      <c r="S310" s="20">
        <v>1674</v>
      </c>
      <c r="T310" s="20">
        <v>7542</v>
      </c>
      <c r="U310" s="20">
        <v>8176</v>
      </c>
      <c r="V310" s="20">
        <v>7</v>
      </c>
      <c r="W310" s="20">
        <f t="shared" si="12"/>
        <v>50509</v>
      </c>
      <c r="X310" s="36">
        <v>-33103</v>
      </c>
      <c r="Y310" s="36"/>
      <c r="Z310" s="36"/>
      <c r="AA310" s="36"/>
      <c r="AB310" s="36"/>
      <c r="AC310" s="36"/>
      <c r="AD310" s="36"/>
      <c r="AE310" s="36">
        <v>-7</v>
      </c>
      <c r="AF310" s="36">
        <v>-514</v>
      </c>
      <c r="AG310" s="36">
        <v>-2002</v>
      </c>
      <c r="AH310" s="36">
        <v>-14869</v>
      </c>
      <c r="AI310" s="20">
        <f t="shared" si="13"/>
        <v>-50495</v>
      </c>
      <c r="AJ310" s="20">
        <f t="shared" si="14"/>
        <v>14</v>
      </c>
    </row>
    <row r="311" spans="1:36" x14ac:dyDescent="0.2">
      <c r="A311" s="17" t="s">
        <v>4909</v>
      </c>
      <c r="B311" s="17">
        <v>37916</v>
      </c>
      <c r="Q311" s="20">
        <v>13485</v>
      </c>
      <c r="R311" s="20">
        <v>19635</v>
      </c>
      <c r="S311" s="20">
        <v>1674</v>
      </c>
      <c r="T311" s="20">
        <v>6700</v>
      </c>
      <c r="U311" s="20">
        <v>8241</v>
      </c>
      <c r="V311" s="20">
        <v>1</v>
      </c>
      <c r="W311" s="20">
        <f t="shared" si="12"/>
        <v>49736</v>
      </c>
      <c r="X311" s="36">
        <v>-33119</v>
      </c>
      <c r="Y311" s="36"/>
      <c r="Z311" s="36"/>
      <c r="AA311" s="36"/>
      <c r="AB311" s="36"/>
      <c r="AC311" s="36"/>
      <c r="AD311" s="36"/>
      <c r="AE311" s="36">
        <v>-1</v>
      </c>
      <c r="AF311" s="36">
        <v>-581</v>
      </c>
      <c r="AG311" s="36">
        <v>-2005</v>
      </c>
      <c r="AH311" s="36">
        <v>-14015</v>
      </c>
      <c r="AI311" s="20">
        <f t="shared" si="13"/>
        <v>-49721</v>
      </c>
      <c r="AJ311" s="20">
        <f t="shared" si="14"/>
        <v>15</v>
      </c>
    </row>
    <row r="312" spans="1:36" x14ac:dyDescent="0.2">
      <c r="A312" s="17" t="s">
        <v>4910</v>
      </c>
      <c r="B312" s="17">
        <v>37923</v>
      </c>
      <c r="Q312" s="20">
        <v>13956</v>
      </c>
      <c r="R312" s="20">
        <v>19404</v>
      </c>
      <c r="S312" s="20">
        <v>1674</v>
      </c>
      <c r="T312" s="20">
        <v>6783</v>
      </c>
      <c r="U312" s="20">
        <v>8294</v>
      </c>
      <c r="V312" s="20">
        <v>4</v>
      </c>
      <c r="W312" s="20">
        <f t="shared" si="12"/>
        <v>50115</v>
      </c>
      <c r="X312" s="36">
        <v>-33356</v>
      </c>
      <c r="Y312" s="36"/>
      <c r="Z312" s="36"/>
      <c r="AA312" s="36"/>
      <c r="AB312" s="36"/>
      <c r="AC312" s="36"/>
      <c r="AD312" s="36"/>
      <c r="AE312" s="36">
        <v>-4</v>
      </c>
      <c r="AF312" s="36">
        <v>-754</v>
      </c>
      <c r="AG312" s="36">
        <v>-2029</v>
      </c>
      <c r="AH312" s="36">
        <v>-13958</v>
      </c>
      <c r="AI312" s="20">
        <f t="shared" si="13"/>
        <v>-50101</v>
      </c>
      <c r="AJ312" s="20">
        <f t="shared" si="14"/>
        <v>14</v>
      </c>
    </row>
    <row r="313" spans="1:36" x14ac:dyDescent="0.2">
      <c r="A313" s="17" t="s">
        <v>4911</v>
      </c>
      <c r="B313" s="17">
        <v>37930</v>
      </c>
      <c r="Q313" s="20">
        <v>13901</v>
      </c>
      <c r="R313" s="20">
        <v>19559</v>
      </c>
      <c r="S313" s="20">
        <v>1674</v>
      </c>
      <c r="T313" s="20">
        <v>6854</v>
      </c>
      <c r="U313" s="20">
        <v>8715</v>
      </c>
      <c r="V313" s="20">
        <v>9</v>
      </c>
      <c r="W313" s="20">
        <f t="shared" si="12"/>
        <v>50712</v>
      </c>
      <c r="X313" s="36">
        <v>-33451</v>
      </c>
      <c r="Y313" s="36"/>
      <c r="Z313" s="36"/>
      <c r="AA313" s="36"/>
      <c r="AB313" s="36"/>
      <c r="AC313" s="36"/>
      <c r="AD313" s="36"/>
      <c r="AE313" s="36">
        <v>-9</v>
      </c>
      <c r="AF313" s="36">
        <v>-1268</v>
      </c>
      <c r="AG313" s="36">
        <v>-1894</v>
      </c>
      <c r="AH313" s="36">
        <v>-14076</v>
      </c>
      <c r="AI313" s="20">
        <f t="shared" si="13"/>
        <v>-50698</v>
      </c>
      <c r="AJ313" s="20">
        <f t="shared" si="14"/>
        <v>14</v>
      </c>
    </row>
    <row r="314" spans="1:36" x14ac:dyDescent="0.2">
      <c r="A314" s="17" t="s">
        <v>4912</v>
      </c>
      <c r="B314" s="17">
        <v>37937</v>
      </c>
      <c r="Q314" s="20">
        <v>14187</v>
      </c>
      <c r="R314" s="20">
        <v>19393</v>
      </c>
      <c r="S314" s="20">
        <v>1674</v>
      </c>
      <c r="T314" s="20">
        <v>7847</v>
      </c>
      <c r="U314" s="20">
        <v>7581</v>
      </c>
      <c r="V314" s="20">
        <v>4</v>
      </c>
      <c r="W314" s="20">
        <f t="shared" si="12"/>
        <v>50686</v>
      </c>
      <c r="X314" s="36">
        <v>-33576</v>
      </c>
      <c r="Y314" s="36"/>
      <c r="Z314" s="36"/>
      <c r="AA314" s="36"/>
      <c r="AB314" s="36"/>
      <c r="AC314" s="36"/>
      <c r="AD314" s="36"/>
      <c r="AE314" s="36">
        <v>-4</v>
      </c>
      <c r="AF314" s="36">
        <v>-524</v>
      </c>
      <c r="AG314" s="36">
        <v>-1918</v>
      </c>
      <c r="AH314" s="36">
        <v>-14649</v>
      </c>
      <c r="AI314" s="20">
        <f t="shared" si="13"/>
        <v>-50671</v>
      </c>
      <c r="AJ314" s="20">
        <f t="shared" si="14"/>
        <v>15</v>
      </c>
    </row>
    <row r="315" spans="1:36" x14ac:dyDescent="0.2">
      <c r="A315" s="17" t="s">
        <v>4913</v>
      </c>
      <c r="B315" s="17">
        <v>37944</v>
      </c>
      <c r="Q315" s="20">
        <v>13507</v>
      </c>
      <c r="R315" s="20">
        <v>20303</v>
      </c>
      <c r="S315" s="20">
        <v>1673</v>
      </c>
      <c r="T315" s="20">
        <v>7495</v>
      </c>
      <c r="U315" s="20">
        <v>7326</v>
      </c>
      <c r="V315" s="20">
        <v>7</v>
      </c>
      <c r="W315" s="20">
        <f t="shared" si="12"/>
        <v>50311</v>
      </c>
      <c r="X315" s="36">
        <v>-33803</v>
      </c>
      <c r="Y315" s="36"/>
      <c r="Z315" s="36"/>
      <c r="AA315" s="36"/>
      <c r="AB315" s="36"/>
      <c r="AC315" s="36"/>
      <c r="AD315" s="36"/>
      <c r="AE315" s="36">
        <v>-7</v>
      </c>
      <c r="AF315" s="36">
        <v>-543</v>
      </c>
      <c r="AG315" s="36">
        <v>-1899</v>
      </c>
      <c r="AH315" s="36">
        <v>-14045</v>
      </c>
      <c r="AI315" s="20">
        <f t="shared" si="13"/>
        <v>-50297</v>
      </c>
      <c r="AJ315" s="20">
        <f t="shared" si="14"/>
        <v>14</v>
      </c>
    </row>
    <row r="316" spans="1:36" x14ac:dyDescent="0.2">
      <c r="A316" s="17" t="s">
        <v>4914</v>
      </c>
      <c r="B316" s="17">
        <v>37951</v>
      </c>
      <c r="Q316" s="20">
        <v>13513</v>
      </c>
      <c r="R316" s="20">
        <v>20807</v>
      </c>
      <c r="S316" s="20">
        <v>1673</v>
      </c>
      <c r="T316" s="20">
        <v>8112</v>
      </c>
      <c r="U316" s="20">
        <v>7455</v>
      </c>
      <c r="V316" s="20">
        <v>3</v>
      </c>
      <c r="W316" s="20">
        <f t="shared" si="12"/>
        <v>51563</v>
      </c>
      <c r="X316" s="36">
        <v>-34317</v>
      </c>
      <c r="Y316" s="36"/>
      <c r="Z316" s="36"/>
      <c r="AA316" s="36"/>
      <c r="AB316" s="36"/>
      <c r="AC316" s="36"/>
      <c r="AD316" s="36"/>
      <c r="AE316" s="36">
        <v>-3</v>
      </c>
      <c r="AF316" s="36">
        <v>-597</v>
      </c>
      <c r="AG316" s="36">
        <v>-2217</v>
      </c>
      <c r="AH316" s="36">
        <v>-14414</v>
      </c>
      <c r="AI316" s="20">
        <f t="shared" si="13"/>
        <v>-51548</v>
      </c>
      <c r="AJ316" s="20">
        <f t="shared" si="14"/>
        <v>15</v>
      </c>
    </row>
    <row r="317" spans="1:36" x14ac:dyDescent="0.2">
      <c r="A317" s="17" t="s">
        <v>4915</v>
      </c>
      <c r="B317" s="17">
        <v>37958</v>
      </c>
      <c r="Q317" s="20">
        <v>13484</v>
      </c>
      <c r="R317" s="20">
        <v>21236</v>
      </c>
      <c r="S317" s="20">
        <v>1673</v>
      </c>
      <c r="T317" s="20">
        <v>7817</v>
      </c>
      <c r="U317" s="20">
        <v>7561</v>
      </c>
      <c r="V317" s="20">
        <v>10</v>
      </c>
      <c r="W317" s="20">
        <f t="shared" si="12"/>
        <v>51781</v>
      </c>
      <c r="X317" s="36">
        <v>-34710</v>
      </c>
      <c r="Y317" s="36"/>
      <c r="Z317" s="36"/>
      <c r="AA317" s="36"/>
      <c r="AB317" s="36"/>
      <c r="AC317" s="36"/>
      <c r="AD317" s="36"/>
      <c r="AE317" s="36">
        <v>-10</v>
      </c>
      <c r="AF317" s="36">
        <v>-813</v>
      </c>
      <c r="AG317" s="36">
        <v>-1993</v>
      </c>
      <c r="AH317" s="36">
        <v>-14241</v>
      </c>
      <c r="AI317" s="20">
        <f t="shared" si="13"/>
        <v>-51767</v>
      </c>
      <c r="AJ317" s="20">
        <f t="shared" si="14"/>
        <v>14</v>
      </c>
    </row>
    <row r="318" spans="1:36" x14ac:dyDescent="0.2">
      <c r="A318" s="17" t="s">
        <v>4916</v>
      </c>
      <c r="B318" s="17">
        <v>37965</v>
      </c>
      <c r="Q318" s="20">
        <v>13734</v>
      </c>
      <c r="R318" s="20">
        <v>21186</v>
      </c>
      <c r="S318" s="20">
        <v>1673</v>
      </c>
      <c r="T318" s="20">
        <v>9055</v>
      </c>
      <c r="U318" s="20">
        <v>7195</v>
      </c>
      <c r="V318" s="20">
        <v>5</v>
      </c>
      <c r="W318" s="20">
        <f t="shared" si="12"/>
        <v>52848</v>
      </c>
      <c r="X318" s="36">
        <v>-34915</v>
      </c>
      <c r="Y318" s="36"/>
      <c r="Z318" s="36"/>
      <c r="AA318" s="36"/>
      <c r="AB318" s="36"/>
      <c r="AC318" s="36"/>
      <c r="AD318" s="36"/>
      <c r="AE318" s="36">
        <v>-5</v>
      </c>
      <c r="AF318" s="36">
        <v>-543</v>
      </c>
      <c r="AG318" s="36">
        <v>-1991</v>
      </c>
      <c r="AH318" s="36">
        <v>-15379</v>
      </c>
      <c r="AI318" s="20">
        <f t="shared" si="13"/>
        <v>-52833</v>
      </c>
      <c r="AJ318" s="20">
        <f t="shared" si="14"/>
        <v>15</v>
      </c>
    </row>
    <row r="319" spans="1:36" x14ac:dyDescent="0.2">
      <c r="A319" s="17" t="s">
        <v>4917</v>
      </c>
      <c r="B319" s="17">
        <v>37972</v>
      </c>
      <c r="Q319" s="20">
        <v>13573</v>
      </c>
      <c r="R319" s="20">
        <v>21957</v>
      </c>
      <c r="S319" s="20">
        <v>1672</v>
      </c>
      <c r="T319" s="20">
        <v>9173</v>
      </c>
      <c r="U319" s="20">
        <v>7214</v>
      </c>
      <c r="V319" s="20">
        <v>7</v>
      </c>
      <c r="W319" s="20">
        <f t="shared" si="12"/>
        <v>53596</v>
      </c>
      <c r="X319" s="36">
        <v>-35524</v>
      </c>
      <c r="Y319" s="36"/>
      <c r="Z319" s="36"/>
      <c r="AA319" s="36"/>
      <c r="AB319" s="36"/>
      <c r="AC319" s="36"/>
      <c r="AD319" s="36"/>
      <c r="AE319" s="36">
        <v>-6</v>
      </c>
      <c r="AF319" s="36">
        <v>-542</v>
      </c>
      <c r="AG319" s="36">
        <v>-2320</v>
      </c>
      <c r="AH319" s="36">
        <v>-15190</v>
      </c>
      <c r="AI319" s="20">
        <f t="shared" si="13"/>
        <v>-53582</v>
      </c>
      <c r="AJ319" s="20">
        <f t="shared" si="14"/>
        <v>14</v>
      </c>
    </row>
    <row r="320" spans="1:36" x14ac:dyDescent="0.2">
      <c r="A320" s="17" t="s">
        <v>4917</v>
      </c>
      <c r="B320" s="17">
        <v>37979</v>
      </c>
      <c r="Q320" s="20">
        <v>13632</v>
      </c>
      <c r="R320" s="20">
        <v>26478</v>
      </c>
      <c r="S320" s="20">
        <v>1672</v>
      </c>
      <c r="T320" s="20">
        <v>8460</v>
      </c>
      <c r="U320" s="20">
        <v>7313</v>
      </c>
      <c r="V320" s="20">
        <v>3</v>
      </c>
      <c r="W320" s="20">
        <f t="shared" si="12"/>
        <v>57558</v>
      </c>
      <c r="X320" s="36">
        <v>-40107</v>
      </c>
      <c r="Y320" s="36"/>
      <c r="Z320" s="36"/>
      <c r="AA320" s="36"/>
      <c r="AB320" s="36"/>
      <c r="AC320" s="36"/>
      <c r="AD320" s="36"/>
      <c r="AE320" s="36">
        <v>-3</v>
      </c>
      <c r="AF320" s="36">
        <v>-689</v>
      </c>
      <c r="AG320" s="36">
        <v>-2021</v>
      </c>
      <c r="AH320" s="36">
        <v>-14724</v>
      </c>
      <c r="AI320" s="20">
        <f t="shared" si="13"/>
        <v>-57544</v>
      </c>
      <c r="AJ320" s="20">
        <f t="shared" si="14"/>
        <v>14</v>
      </c>
    </row>
    <row r="321" spans="1:36" x14ac:dyDescent="0.2">
      <c r="A321" s="21" t="s">
        <v>4918</v>
      </c>
      <c r="B321" s="17">
        <v>37986</v>
      </c>
      <c r="Q321" s="20">
        <v>13593</v>
      </c>
      <c r="R321" s="20">
        <v>23017</v>
      </c>
      <c r="S321" s="20">
        <v>1672</v>
      </c>
      <c r="T321" s="20">
        <v>8481</v>
      </c>
      <c r="U321" s="20">
        <v>7362</v>
      </c>
      <c r="V321" s="20">
        <v>4</v>
      </c>
      <c r="W321" s="20">
        <f t="shared" si="12"/>
        <v>54129</v>
      </c>
      <c r="X321" s="36">
        <v>-36606</v>
      </c>
      <c r="Y321" s="36"/>
      <c r="Z321" s="36"/>
      <c r="AA321" s="36"/>
      <c r="AB321" s="36"/>
      <c r="AC321" s="36"/>
      <c r="AD321" s="36"/>
      <c r="AE321" s="36">
        <v>-4</v>
      </c>
      <c r="AF321" s="36">
        <v>-918</v>
      </c>
      <c r="AG321" s="36">
        <v>-2028</v>
      </c>
      <c r="AH321" s="36">
        <v>-14559</v>
      </c>
      <c r="AI321" s="20">
        <f t="shared" si="13"/>
        <v>-54115</v>
      </c>
      <c r="AJ321" s="20">
        <f t="shared" si="14"/>
        <v>14</v>
      </c>
    </row>
    <row r="322" spans="1:36" x14ac:dyDescent="0.2">
      <c r="A322" s="17" t="s">
        <v>4919</v>
      </c>
      <c r="B322" s="17">
        <v>37993</v>
      </c>
      <c r="Q322" s="20">
        <v>13680</v>
      </c>
      <c r="R322" s="20">
        <v>21250</v>
      </c>
      <c r="S322" s="20">
        <v>1672</v>
      </c>
      <c r="T322" s="20">
        <v>8773</v>
      </c>
      <c r="U322" s="20">
        <v>6995</v>
      </c>
      <c r="V322" s="20">
        <v>3</v>
      </c>
      <c r="W322" s="20">
        <f t="shared" si="12"/>
        <v>52373</v>
      </c>
      <c r="X322" s="36">
        <v>-34927</v>
      </c>
      <c r="Y322" s="36"/>
      <c r="Z322" s="36"/>
      <c r="AA322" s="36"/>
      <c r="AB322" s="36"/>
      <c r="AC322" s="36"/>
      <c r="AD322" s="36"/>
      <c r="AE322" s="36">
        <v>-3</v>
      </c>
      <c r="AF322" s="36">
        <v>-561</v>
      </c>
      <c r="AG322" s="36">
        <v>-2265</v>
      </c>
      <c r="AH322" s="36">
        <v>-14602</v>
      </c>
      <c r="AI322" s="20">
        <f t="shared" si="13"/>
        <v>-52358</v>
      </c>
      <c r="AJ322" s="20">
        <f t="shared" si="14"/>
        <v>15</v>
      </c>
    </row>
    <row r="323" spans="1:36" x14ac:dyDescent="0.2">
      <c r="A323" s="17" t="s">
        <v>4920</v>
      </c>
      <c r="B323" s="17">
        <v>38000</v>
      </c>
      <c r="Q323" s="20">
        <v>13602</v>
      </c>
      <c r="R323" s="20">
        <v>20178</v>
      </c>
      <c r="S323" s="20">
        <v>1671</v>
      </c>
      <c r="T323" s="20">
        <v>9703</v>
      </c>
      <c r="U323" s="20">
        <v>7192</v>
      </c>
      <c r="V323" s="20">
        <v>6</v>
      </c>
      <c r="W323" s="20">
        <f t="shared" si="12"/>
        <v>52352</v>
      </c>
      <c r="X323" s="36">
        <v>-33774</v>
      </c>
      <c r="Y323" s="36"/>
      <c r="Z323" s="36"/>
      <c r="AA323" s="36"/>
      <c r="AB323" s="36"/>
      <c r="AC323" s="36"/>
      <c r="AD323" s="36"/>
      <c r="AE323" s="36">
        <v>-6</v>
      </c>
      <c r="AF323" s="36">
        <v>-562</v>
      </c>
      <c r="AG323" s="36">
        <v>-2439</v>
      </c>
      <c r="AH323" s="36">
        <v>-15558</v>
      </c>
      <c r="AI323" s="20">
        <f t="shared" si="13"/>
        <v>-52339</v>
      </c>
      <c r="AJ323" s="20">
        <f t="shared" si="14"/>
        <v>13</v>
      </c>
    </row>
    <row r="324" spans="1:36" x14ac:dyDescent="0.2">
      <c r="A324" s="17" t="s">
        <v>4921</v>
      </c>
      <c r="B324" s="17">
        <v>38007</v>
      </c>
      <c r="Q324" s="20">
        <v>15449</v>
      </c>
      <c r="R324" s="20">
        <v>18031</v>
      </c>
      <c r="S324" s="20">
        <v>1726</v>
      </c>
      <c r="T324" s="20">
        <v>9914</v>
      </c>
      <c r="U324" s="20">
        <v>7695</v>
      </c>
      <c r="V324" s="20">
        <v>9</v>
      </c>
      <c r="W324" s="20">
        <f t="shared" si="12"/>
        <v>52824</v>
      </c>
      <c r="X324" s="36">
        <v>-33471</v>
      </c>
      <c r="Y324" s="36"/>
      <c r="Z324" s="36"/>
      <c r="AA324" s="36"/>
      <c r="AB324" s="36"/>
      <c r="AC324" s="36"/>
      <c r="AD324" s="36"/>
      <c r="AE324" s="36">
        <v>-9</v>
      </c>
      <c r="AF324" s="36">
        <v>-345</v>
      </c>
      <c r="AG324" s="36">
        <v>-3040</v>
      </c>
      <c r="AH324" s="36">
        <v>-15945</v>
      </c>
      <c r="AI324" s="20">
        <f t="shared" si="13"/>
        <v>-52810</v>
      </c>
      <c r="AJ324" s="20">
        <f t="shared" si="14"/>
        <v>14</v>
      </c>
    </row>
    <row r="325" spans="1:36" x14ac:dyDescent="0.2">
      <c r="A325" s="17" t="s">
        <v>4922</v>
      </c>
      <c r="B325" s="17">
        <v>38014</v>
      </c>
      <c r="Q325" s="20">
        <v>16807</v>
      </c>
      <c r="R325" s="20">
        <v>16523</v>
      </c>
      <c r="S325" s="20">
        <v>1671</v>
      </c>
      <c r="T325" s="20">
        <v>9813</v>
      </c>
      <c r="U325" s="20">
        <v>7673</v>
      </c>
      <c r="V325" s="20">
        <v>1</v>
      </c>
      <c r="W325" s="20">
        <f t="shared" si="12"/>
        <v>52488</v>
      </c>
      <c r="X325" s="36">
        <v>-33329</v>
      </c>
      <c r="Y325" s="36"/>
      <c r="Z325" s="36"/>
      <c r="AA325" s="36"/>
      <c r="AB325" s="36"/>
      <c r="AC325" s="36"/>
      <c r="AD325" s="36"/>
      <c r="AE325" s="36">
        <v>-1</v>
      </c>
      <c r="AF325" s="36">
        <v>-572</v>
      </c>
      <c r="AG325" s="36">
        <v>-2839</v>
      </c>
      <c r="AH325" s="36">
        <v>-15732</v>
      </c>
      <c r="AI325" s="20">
        <f t="shared" si="13"/>
        <v>-52473</v>
      </c>
      <c r="AJ325" s="20">
        <f t="shared" si="14"/>
        <v>15</v>
      </c>
    </row>
    <row r="326" spans="1:36" x14ac:dyDescent="0.2">
      <c r="A326" s="17" t="s">
        <v>4923</v>
      </c>
      <c r="B326" s="17">
        <v>38021</v>
      </c>
      <c r="Q326" s="20">
        <v>14885</v>
      </c>
      <c r="R326" s="20">
        <v>18495</v>
      </c>
      <c r="S326" s="20">
        <v>1698</v>
      </c>
      <c r="T326" s="20">
        <v>8103</v>
      </c>
      <c r="U326" s="20">
        <v>7496</v>
      </c>
      <c r="V326" s="20">
        <v>10</v>
      </c>
      <c r="W326" s="20">
        <f t="shared" si="12"/>
        <v>50687</v>
      </c>
      <c r="X326" s="36">
        <v>-33370</v>
      </c>
      <c r="Y326" s="36"/>
      <c r="Z326" s="36"/>
      <c r="AA326" s="36"/>
      <c r="AB326" s="36"/>
      <c r="AC326" s="36"/>
      <c r="AD326" s="36"/>
      <c r="AE326" s="36">
        <v>-10</v>
      </c>
      <c r="AF326" s="36">
        <v>-719</v>
      </c>
      <c r="AG326" s="36">
        <v>-2147</v>
      </c>
      <c r="AH326" s="36">
        <v>-14426</v>
      </c>
      <c r="AI326" s="20">
        <f t="shared" si="13"/>
        <v>-50672</v>
      </c>
      <c r="AJ326" s="20">
        <f t="shared" si="14"/>
        <v>15</v>
      </c>
    </row>
    <row r="327" spans="1:36" x14ac:dyDescent="0.2">
      <c r="A327" s="17" t="s">
        <v>4924</v>
      </c>
      <c r="B327" s="17">
        <v>38028</v>
      </c>
      <c r="Q327" s="20">
        <v>13526</v>
      </c>
      <c r="R327" s="20">
        <v>19604</v>
      </c>
      <c r="S327" s="20">
        <v>1712</v>
      </c>
      <c r="T327" s="20">
        <v>7231</v>
      </c>
      <c r="U327" s="20">
        <v>7341</v>
      </c>
      <c r="V327" s="20">
        <v>10</v>
      </c>
      <c r="W327" s="20">
        <f t="shared" ref="W327:W390" si="15">SUM(Q327:V327)</f>
        <v>49424</v>
      </c>
      <c r="X327" s="36">
        <v>-33120</v>
      </c>
      <c r="Y327" s="36"/>
      <c r="Z327" s="36"/>
      <c r="AA327" s="36"/>
      <c r="AB327" s="36"/>
      <c r="AC327" s="36"/>
      <c r="AD327" s="36"/>
      <c r="AE327" s="36">
        <v>-10</v>
      </c>
      <c r="AF327" s="36">
        <v>-517</v>
      </c>
      <c r="AG327" s="36">
        <v>-1929</v>
      </c>
      <c r="AH327" s="36">
        <v>-13833</v>
      </c>
      <c r="AI327" s="20">
        <f t="shared" ref="AI327:AI390" si="16">SUM(X327,AE327:AH327)</f>
        <v>-49409</v>
      </c>
      <c r="AJ327" s="20">
        <f t="shared" ref="AJ327:AJ390" si="17">W327+AI327</f>
        <v>15</v>
      </c>
    </row>
    <row r="328" spans="1:36" x14ac:dyDescent="0.2">
      <c r="A328" s="17" t="s">
        <v>4925</v>
      </c>
      <c r="B328" s="17">
        <v>38035</v>
      </c>
      <c r="Q328" s="20">
        <v>14700</v>
      </c>
      <c r="R328" s="20">
        <v>18320</v>
      </c>
      <c r="S328" s="20">
        <v>1726</v>
      </c>
      <c r="T328" s="20">
        <v>6552</v>
      </c>
      <c r="U328" s="20">
        <v>7260</v>
      </c>
      <c r="V328" s="20">
        <v>7</v>
      </c>
      <c r="W328" s="20">
        <f t="shared" si="15"/>
        <v>48565</v>
      </c>
      <c r="X328" s="36">
        <v>-33013</v>
      </c>
      <c r="Y328" s="36"/>
      <c r="Z328" s="36"/>
      <c r="AA328" s="36"/>
      <c r="AB328" s="36"/>
      <c r="AC328" s="36"/>
      <c r="AD328" s="36"/>
      <c r="AE328" s="36">
        <v>-7</v>
      </c>
      <c r="AF328" s="36">
        <v>-650</v>
      </c>
      <c r="AG328" s="36">
        <v>-1929</v>
      </c>
      <c r="AH328" s="36">
        <v>-12951</v>
      </c>
      <c r="AI328" s="20">
        <f t="shared" si="16"/>
        <v>-48550</v>
      </c>
      <c r="AJ328" s="20">
        <f t="shared" si="17"/>
        <v>15</v>
      </c>
    </row>
    <row r="329" spans="1:36" x14ac:dyDescent="0.2">
      <c r="A329" s="17" t="s">
        <v>4926</v>
      </c>
      <c r="B329" s="17">
        <v>38042</v>
      </c>
      <c r="Q329" s="20">
        <v>14845</v>
      </c>
      <c r="R329" s="20">
        <v>18415</v>
      </c>
      <c r="S329" s="20">
        <v>1760</v>
      </c>
      <c r="T329" s="20">
        <v>6183</v>
      </c>
      <c r="U329" s="20">
        <v>7211</v>
      </c>
      <c r="V329" s="20">
        <v>2</v>
      </c>
      <c r="W329" s="20">
        <f t="shared" si="15"/>
        <v>48416</v>
      </c>
      <c r="X329" s="36">
        <v>-33258</v>
      </c>
      <c r="Y329" s="36"/>
      <c r="Z329" s="36"/>
      <c r="AA329" s="36"/>
      <c r="AB329" s="36"/>
      <c r="AC329" s="36"/>
      <c r="AD329" s="36"/>
      <c r="AE329" s="36">
        <v>-2</v>
      </c>
      <c r="AF329" s="36">
        <v>-656</v>
      </c>
      <c r="AG329" s="36">
        <v>-1848</v>
      </c>
      <c r="AH329" s="36">
        <v>-12637</v>
      </c>
      <c r="AI329" s="20">
        <f t="shared" si="16"/>
        <v>-48401</v>
      </c>
      <c r="AJ329" s="20">
        <f t="shared" si="17"/>
        <v>15</v>
      </c>
    </row>
    <row r="330" spans="1:36" x14ac:dyDescent="0.2">
      <c r="A330" s="17" t="s">
        <v>4927</v>
      </c>
      <c r="B330" s="17">
        <v>38049</v>
      </c>
      <c r="Q330" s="20">
        <v>13740</v>
      </c>
      <c r="R330" s="20">
        <v>19590</v>
      </c>
      <c r="S330" s="20">
        <v>1760</v>
      </c>
      <c r="T330" s="20">
        <v>6198</v>
      </c>
      <c r="U330" s="20">
        <v>7265</v>
      </c>
      <c r="V330" s="20">
        <v>4</v>
      </c>
      <c r="W330" s="20">
        <f t="shared" si="15"/>
        <v>48557</v>
      </c>
      <c r="X330" s="36">
        <v>-33326</v>
      </c>
      <c r="Y330" s="36"/>
      <c r="Z330" s="36"/>
      <c r="AA330" s="36"/>
      <c r="AB330" s="36"/>
      <c r="AC330" s="36"/>
      <c r="AD330" s="36"/>
      <c r="AE330" s="36">
        <v>-4</v>
      </c>
      <c r="AF330" s="36">
        <v>-708</v>
      </c>
      <c r="AG330" s="36">
        <v>-1906</v>
      </c>
      <c r="AH330" s="36">
        <v>-12598</v>
      </c>
      <c r="AI330" s="20">
        <f t="shared" si="16"/>
        <v>-48542</v>
      </c>
      <c r="AJ330" s="20">
        <f t="shared" si="17"/>
        <v>15</v>
      </c>
    </row>
    <row r="331" spans="1:36" x14ac:dyDescent="0.2">
      <c r="A331" s="17" t="s">
        <v>4928</v>
      </c>
      <c r="B331" s="17">
        <v>38056</v>
      </c>
      <c r="Q331" s="20">
        <v>13752</v>
      </c>
      <c r="R331" s="20">
        <v>19518</v>
      </c>
      <c r="S331" s="20">
        <v>1760</v>
      </c>
      <c r="T331" s="20">
        <v>7728</v>
      </c>
      <c r="U331" s="20">
        <v>7437</v>
      </c>
      <c r="V331" s="20">
        <v>10</v>
      </c>
      <c r="W331" s="20">
        <f t="shared" si="15"/>
        <v>50205</v>
      </c>
      <c r="X331" s="36">
        <v>-33260</v>
      </c>
      <c r="Y331" s="36"/>
      <c r="Z331" s="36"/>
      <c r="AA331" s="36"/>
      <c r="AB331" s="36"/>
      <c r="AC331" s="36"/>
      <c r="AD331" s="36"/>
      <c r="AE331" s="36">
        <v>-10</v>
      </c>
      <c r="AF331" s="36">
        <v>-511</v>
      </c>
      <c r="AG331" s="36">
        <v>-2095</v>
      </c>
      <c r="AH331" s="36">
        <v>-14313</v>
      </c>
      <c r="AI331" s="20">
        <f t="shared" si="16"/>
        <v>-50189</v>
      </c>
      <c r="AJ331" s="20">
        <f t="shared" si="17"/>
        <v>16</v>
      </c>
    </row>
    <row r="332" spans="1:36" x14ac:dyDescent="0.2">
      <c r="A332" s="17" t="s">
        <v>4929</v>
      </c>
      <c r="B332" s="17">
        <v>38063</v>
      </c>
      <c r="Q332" s="20">
        <v>13480</v>
      </c>
      <c r="R332" s="20">
        <v>19890</v>
      </c>
      <c r="S332" s="20">
        <v>1759</v>
      </c>
      <c r="T332" s="20">
        <v>8051</v>
      </c>
      <c r="U332" s="20">
        <v>8012</v>
      </c>
      <c r="V332" s="20">
        <v>3</v>
      </c>
      <c r="W332" s="20">
        <f t="shared" si="15"/>
        <v>51195</v>
      </c>
      <c r="X332" s="36">
        <v>-33367</v>
      </c>
      <c r="Y332" s="36"/>
      <c r="Z332" s="36"/>
      <c r="AA332" s="36"/>
      <c r="AB332" s="36"/>
      <c r="AC332" s="36"/>
      <c r="AD332" s="36"/>
      <c r="AE332" s="36">
        <v>-3</v>
      </c>
      <c r="AF332" s="36">
        <v>-524</v>
      </c>
      <c r="AG332" s="36">
        <v>-2613</v>
      </c>
      <c r="AH332" s="36">
        <v>-14673</v>
      </c>
      <c r="AI332" s="20">
        <f t="shared" si="16"/>
        <v>-51180</v>
      </c>
      <c r="AJ332" s="20">
        <f t="shared" si="17"/>
        <v>15</v>
      </c>
    </row>
    <row r="333" spans="1:36" x14ac:dyDescent="0.2">
      <c r="A333" s="17" t="s">
        <v>4930</v>
      </c>
      <c r="B333" s="17">
        <v>38070</v>
      </c>
      <c r="Q333" s="20">
        <v>13724</v>
      </c>
      <c r="R333" s="20">
        <v>19806</v>
      </c>
      <c r="S333" s="20">
        <v>1774</v>
      </c>
      <c r="T333" s="20">
        <v>7003</v>
      </c>
      <c r="U333" s="20">
        <v>7771</v>
      </c>
      <c r="V333" s="20">
        <v>9</v>
      </c>
      <c r="W333" s="20">
        <f t="shared" si="15"/>
        <v>50087</v>
      </c>
      <c r="X333" s="36">
        <v>-33521</v>
      </c>
      <c r="Y333" s="36"/>
      <c r="Z333" s="36"/>
      <c r="AA333" s="36"/>
      <c r="AB333" s="36"/>
      <c r="AC333" s="36"/>
      <c r="AD333" s="36"/>
      <c r="AE333" s="36">
        <v>-9</v>
      </c>
      <c r="AF333" s="36">
        <v>-503</v>
      </c>
      <c r="AG333" s="36">
        <v>-1926</v>
      </c>
      <c r="AH333" s="36">
        <v>-14115</v>
      </c>
      <c r="AI333" s="20">
        <f t="shared" si="16"/>
        <v>-50074</v>
      </c>
      <c r="AJ333" s="20">
        <f t="shared" si="17"/>
        <v>13</v>
      </c>
    </row>
    <row r="334" spans="1:36" x14ac:dyDescent="0.2">
      <c r="A334" s="17" t="s">
        <v>4931</v>
      </c>
      <c r="B334" s="17">
        <v>38077</v>
      </c>
      <c r="Q334" s="20">
        <v>14710</v>
      </c>
      <c r="R334" s="20">
        <v>19160</v>
      </c>
      <c r="S334" s="20">
        <v>1774</v>
      </c>
      <c r="T334" s="20">
        <v>7148</v>
      </c>
      <c r="U334" s="20">
        <v>8245</v>
      </c>
      <c r="V334" s="20">
        <v>1</v>
      </c>
      <c r="W334" s="20">
        <f t="shared" si="15"/>
        <v>51038</v>
      </c>
      <c r="X334" s="36">
        <v>-33869</v>
      </c>
      <c r="Y334" s="36"/>
      <c r="Z334" s="36"/>
      <c r="AA334" s="36"/>
      <c r="AB334" s="36"/>
      <c r="AC334" s="36"/>
      <c r="AD334" s="36"/>
      <c r="AE334" s="36">
        <v>-1</v>
      </c>
      <c r="AF334" s="36">
        <v>-849</v>
      </c>
      <c r="AG334" s="36">
        <v>-2042</v>
      </c>
      <c r="AH334" s="36">
        <v>-14263</v>
      </c>
      <c r="AI334" s="20">
        <f t="shared" si="16"/>
        <v>-51024</v>
      </c>
      <c r="AJ334" s="20">
        <f t="shared" si="17"/>
        <v>14</v>
      </c>
    </row>
    <row r="335" spans="1:36" x14ac:dyDescent="0.2">
      <c r="A335" s="17" t="s">
        <v>4932</v>
      </c>
      <c r="B335" s="17">
        <v>38084</v>
      </c>
      <c r="Q335" s="20">
        <v>14439</v>
      </c>
      <c r="R335" s="20">
        <v>20281</v>
      </c>
      <c r="S335" s="20">
        <v>1774</v>
      </c>
      <c r="T335" s="20">
        <v>7567</v>
      </c>
      <c r="U335" s="20">
        <v>7750</v>
      </c>
      <c r="V335" s="20">
        <v>1</v>
      </c>
      <c r="W335" s="20">
        <f t="shared" si="15"/>
        <v>51812</v>
      </c>
      <c r="X335" s="36">
        <v>-34719</v>
      </c>
      <c r="Y335" s="36"/>
      <c r="Z335" s="36"/>
      <c r="AA335" s="36"/>
      <c r="AB335" s="36"/>
      <c r="AC335" s="36"/>
      <c r="AD335" s="36"/>
      <c r="AE335" s="36">
        <v>-1</v>
      </c>
      <c r="AF335" s="36">
        <v>-556</v>
      </c>
      <c r="AG335" s="36">
        <v>-1868</v>
      </c>
      <c r="AH335" s="36">
        <v>-14653</v>
      </c>
      <c r="AI335" s="20">
        <f t="shared" si="16"/>
        <v>-51797</v>
      </c>
      <c r="AJ335" s="20">
        <f t="shared" si="17"/>
        <v>15</v>
      </c>
    </row>
    <row r="336" spans="1:36" x14ac:dyDescent="0.2">
      <c r="A336" s="17" t="s">
        <v>4933</v>
      </c>
      <c r="B336" s="17">
        <v>38091</v>
      </c>
      <c r="Q336" s="20">
        <v>14700</v>
      </c>
      <c r="R336" s="20">
        <v>20390</v>
      </c>
      <c r="S336" s="20">
        <v>1773</v>
      </c>
      <c r="T336" s="20">
        <v>8533</v>
      </c>
      <c r="U336" s="20">
        <v>7781</v>
      </c>
      <c r="V336" s="20">
        <v>5</v>
      </c>
      <c r="W336" s="20">
        <f t="shared" si="15"/>
        <v>53182</v>
      </c>
      <c r="X336" s="36">
        <v>-35085</v>
      </c>
      <c r="Y336" s="36"/>
      <c r="Z336" s="36"/>
      <c r="AA336" s="36"/>
      <c r="AB336" s="36"/>
      <c r="AC336" s="36"/>
      <c r="AD336" s="36"/>
      <c r="AE336" s="36">
        <v>-5</v>
      </c>
      <c r="AF336" s="36">
        <v>-517</v>
      </c>
      <c r="AG336" s="36">
        <v>-1822</v>
      </c>
      <c r="AH336" s="36">
        <v>-15738</v>
      </c>
      <c r="AI336" s="20">
        <f t="shared" si="16"/>
        <v>-53167</v>
      </c>
      <c r="AJ336" s="20">
        <f t="shared" si="17"/>
        <v>15</v>
      </c>
    </row>
    <row r="337" spans="1:36" x14ac:dyDescent="0.2">
      <c r="A337" s="17" t="s">
        <v>4934</v>
      </c>
      <c r="B337" s="17">
        <v>38098</v>
      </c>
      <c r="Q337" s="20">
        <v>14253</v>
      </c>
      <c r="R337" s="20">
        <v>19707</v>
      </c>
      <c r="S337" s="20">
        <v>1773</v>
      </c>
      <c r="T337" s="20">
        <v>7935</v>
      </c>
      <c r="U337" s="20">
        <v>7925</v>
      </c>
      <c r="V337" s="20">
        <v>4</v>
      </c>
      <c r="W337" s="20">
        <f t="shared" si="15"/>
        <v>51597</v>
      </c>
      <c r="X337" s="36">
        <v>-33956</v>
      </c>
      <c r="Y337" s="36"/>
      <c r="Z337" s="36"/>
      <c r="AA337" s="36"/>
      <c r="AB337" s="36"/>
      <c r="AC337" s="36"/>
      <c r="AD337" s="36"/>
      <c r="AE337" s="36">
        <v>-4</v>
      </c>
      <c r="AF337" s="36">
        <v>-561</v>
      </c>
      <c r="AG337" s="36">
        <v>-1906</v>
      </c>
      <c r="AH337" s="36">
        <v>-15155</v>
      </c>
      <c r="AI337" s="20">
        <f t="shared" si="16"/>
        <v>-51582</v>
      </c>
      <c r="AJ337" s="20">
        <f t="shared" si="17"/>
        <v>15</v>
      </c>
    </row>
    <row r="338" spans="1:36" x14ac:dyDescent="0.2">
      <c r="A338" s="17" t="s">
        <v>4935</v>
      </c>
      <c r="B338" s="17">
        <v>38105</v>
      </c>
      <c r="Q338" s="20">
        <v>13824</v>
      </c>
      <c r="R338" s="20">
        <v>20386</v>
      </c>
      <c r="S338" s="20">
        <v>1788</v>
      </c>
      <c r="T338" s="20">
        <v>7816</v>
      </c>
      <c r="U338" s="20">
        <v>8042</v>
      </c>
      <c r="V338" s="20">
        <v>9</v>
      </c>
      <c r="W338" s="20">
        <f t="shared" si="15"/>
        <v>51865</v>
      </c>
      <c r="X338" s="36">
        <v>-34201</v>
      </c>
      <c r="Y338" s="36"/>
      <c r="Z338" s="36"/>
      <c r="AA338" s="36"/>
      <c r="AB338" s="36"/>
      <c r="AC338" s="36"/>
      <c r="AD338" s="36"/>
      <c r="AE338" s="36">
        <v>-9</v>
      </c>
      <c r="AF338" s="36">
        <v>-771</v>
      </c>
      <c r="AG338" s="36">
        <v>-1807</v>
      </c>
      <c r="AH338" s="36">
        <v>-15063</v>
      </c>
      <c r="AI338" s="20">
        <f t="shared" si="16"/>
        <v>-51851</v>
      </c>
      <c r="AJ338" s="20">
        <f t="shared" si="17"/>
        <v>14</v>
      </c>
    </row>
    <row r="339" spans="1:36" x14ac:dyDescent="0.2">
      <c r="A339" s="17" t="s">
        <v>4936</v>
      </c>
      <c r="B339" s="17">
        <v>38112</v>
      </c>
      <c r="Q339" s="20">
        <v>13457</v>
      </c>
      <c r="R339" s="20">
        <v>21273</v>
      </c>
      <c r="S339" s="20">
        <v>1787</v>
      </c>
      <c r="T339" s="20">
        <v>8143</v>
      </c>
      <c r="U339" s="20">
        <v>8358</v>
      </c>
      <c r="V339" s="20">
        <v>2</v>
      </c>
      <c r="W339" s="20">
        <f t="shared" si="15"/>
        <v>53020</v>
      </c>
      <c r="X339" s="36">
        <v>-34728</v>
      </c>
      <c r="Y339" s="36"/>
      <c r="Z339" s="36"/>
      <c r="AA339" s="36"/>
      <c r="AB339" s="36"/>
      <c r="AC339" s="36"/>
      <c r="AD339" s="36"/>
      <c r="AE339" s="36">
        <v>-2</v>
      </c>
      <c r="AF339" s="36">
        <v>-980</v>
      </c>
      <c r="AG339" s="36">
        <v>-1811</v>
      </c>
      <c r="AH339" s="36">
        <v>-15485</v>
      </c>
      <c r="AI339" s="20">
        <f t="shared" si="16"/>
        <v>-53006</v>
      </c>
      <c r="AJ339" s="20">
        <f t="shared" si="17"/>
        <v>14</v>
      </c>
    </row>
    <row r="340" spans="1:36" x14ac:dyDescent="0.2">
      <c r="A340" s="17" t="s">
        <v>4937</v>
      </c>
      <c r="B340" s="17">
        <v>38119</v>
      </c>
      <c r="Q340" s="20">
        <v>13457</v>
      </c>
      <c r="R340" s="20">
        <v>20583</v>
      </c>
      <c r="S340" s="20">
        <v>1787</v>
      </c>
      <c r="T340" s="20">
        <v>8387</v>
      </c>
      <c r="U340" s="20">
        <v>7873</v>
      </c>
      <c r="V340" s="20">
        <v>6</v>
      </c>
      <c r="W340" s="20">
        <f t="shared" si="15"/>
        <v>52093</v>
      </c>
      <c r="X340" s="36">
        <v>-34034</v>
      </c>
      <c r="Y340" s="36"/>
      <c r="Z340" s="36"/>
      <c r="AA340" s="36"/>
      <c r="AB340" s="36"/>
      <c r="AC340" s="36"/>
      <c r="AD340" s="36"/>
      <c r="AE340" s="36">
        <v>-6</v>
      </c>
      <c r="AF340" s="36">
        <v>-501</v>
      </c>
      <c r="AG340" s="36">
        <v>-1858</v>
      </c>
      <c r="AH340" s="36">
        <v>-15680</v>
      </c>
      <c r="AI340" s="20">
        <f t="shared" si="16"/>
        <v>-52079</v>
      </c>
      <c r="AJ340" s="20">
        <f t="shared" si="17"/>
        <v>14</v>
      </c>
    </row>
    <row r="341" spans="1:36" x14ac:dyDescent="0.2">
      <c r="A341" s="17" t="s">
        <v>4938</v>
      </c>
      <c r="B341" s="17">
        <v>38126</v>
      </c>
      <c r="Q341" s="20">
        <v>13629</v>
      </c>
      <c r="R341" s="20">
        <v>20491</v>
      </c>
      <c r="S341" s="20">
        <v>1787</v>
      </c>
      <c r="T341" s="20">
        <v>7700</v>
      </c>
      <c r="U341" s="20">
        <v>7912</v>
      </c>
      <c r="V341" s="20">
        <v>2</v>
      </c>
      <c r="W341" s="20">
        <f t="shared" si="15"/>
        <v>51521</v>
      </c>
      <c r="X341" s="36">
        <v>-34118</v>
      </c>
      <c r="Y341" s="36"/>
      <c r="Z341" s="36"/>
      <c r="AA341" s="36"/>
      <c r="AB341" s="36"/>
      <c r="AC341" s="36"/>
      <c r="AD341" s="36"/>
      <c r="AE341" s="36">
        <v>-2</v>
      </c>
      <c r="AF341" s="36">
        <v>-550</v>
      </c>
      <c r="AG341" s="36">
        <v>-1874</v>
      </c>
      <c r="AH341" s="36">
        <v>-14963</v>
      </c>
      <c r="AI341" s="20">
        <f t="shared" si="16"/>
        <v>-51507</v>
      </c>
      <c r="AJ341" s="20">
        <f t="shared" si="17"/>
        <v>14</v>
      </c>
    </row>
    <row r="342" spans="1:36" x14ac:dyDescent="0.2">
      <c r="A342" s="17" t="s">
        <v>4939</v>
      </c>
      <c r="B342" s="17">
        <v>38133</v>
      </c>
      <c r="Q342" s="20">
        <v>13547</v>
      </c>
      <c r="R342" s="20">
        <v>20963</v>
      </c>
      <c r="S342" s="20">
        <v>1802</v>
      </c>
      <c r="T342" s="20">
        <v>7276</v>
      </c>
      <c r="U342" s="20">
        <v>7927</v>
      </c>
      <c r="V342" s="20">
        <v>10</v>
      </c>
      <c r="W342" s="20">
        <f t="shared" si="15"/>
        <v>51525</v>
      </c>
      <c r="X342" s="36">
        <v>-34500</v>
      </c>
      <c r="Y342" s="36"/>
      <c r="Z342" s="36"/>
      <c r="AA342" s="36"/>
      <c r="AB342" s="36"/>
      <c r="AC342" s="36"/>
      <c r="AD342" s="36"/>
      <c r="AE342" s="36">
        <v>-10</v>
      </c>
      <c r="AF342" s="36">
        <v>-609</v>
      </c>
      <c r="AG342" s="36">
        <v>-1883</v>
      </c>
      <c r="AH342" s="36">
        <v>-14508</v>
      </c>
      <c r="AI342" s="20">
        <f t="shared" si="16"/>
        <v>-51510</v>
      </c>
      <c r="AJ342" s="20">
        <f t="shared" si="17"/>
        <v>15</v>
      </c>
    </row>
    <row r="343" spans="1:36" x14ac:dyDescent="0.2">
      <c r="A343" s="17" t="s">
        <v>4940</v>
      </c>
      <c r="B343" s="17">
        <v>38140</v>
      </c>
      <c r="Q343" s="20">
        <v>13701</v>
      </c>
      <c r="R343" s="20">
        <v>21509</v>
      </c>
      <c r="S343" s="20">
        <v>1801</v>
      </c>
      <c r="T343" s="20">
        <v>7727</v>
      </c>
      <c r="U343" s="20">
        <v>8248</v>
      </c>
      <c r="V343" s="20">
        <v>1</v>
      </c>
      <c r="W343" s="20">
        <f t="shared" si="15"/>
        <v>52987</v>
      </c>
      <c r="X343" s="36">
        <v>-35209</v>
      </c>
      <c r="Y343" s="36"/>
      <c r="Z343" s="36"/>
      <c r="AA343" s="36"/>
      <c r="AB343" s="36"/>
      <c r="AC343" s="36"/>
      <c r="AD343" s="36"/>
      <c r="AE343" s="36">
        <v>-1</v>
      </c>
      <c r="AF343" s="36">
        <v>-941</v>
      </c>
      <c r="AG343" s="36">
        <v>-2011</v>
      </c>
      <c r="AH343" s="36">
        <v>-14810</v>
      </c>
      <c r="AI343" s="20">
        <f t="shared" si="16"/>
        <v>-52972</v>
      </c>
      <c r="AJ343" s="20">
        <f t="shared" si="17"/>
        <v>15</v>
      </c>
    </row>
    <row r="344" spans="1:36" x14ac:dyDescent="0.2">
      <c r="A344" s="17" t="s">
        <v>4941</v>
      </c>
      <c r="B344" s="17">
        <v>38147</v>
      </c>
      <c r="Q344" s="20">
        <v>13455</v>
      </c>
      <c r="R344" s="20">
        <v>21025</v>
      </c>
      <c r="S344" s="20">
        <v>1801</v>
      </c>
      <c r="T344" s="20">
        <v>8471</v>
      </c>
      <c r="U344" s="20">
        <v>7832</v>
      </c>
      <c r="V344" s="20">
        <v>3</v>
      </c>
      <c r="W344" s="20">
        <f t="shared" si="15"/>
        <v>52587</v>
      </c>
      <c r="X344" s="36">
        <v>-34477</v>
      </c>
      <c r="Y344" s="36"/>
      <c r="Z344" s="36"/>
      <c r="AA344" s="36"/>
      <c r="AB344" s="36"/>
      <c r="AC344" s="36"/>
      <c r="AD344" s="36"/>
      <c r="AE344" s="36">
        <v>-3</v>
      </c>
      <c r="AF344" s="36">
        <v>-534</v>
      </c>
      <c r="AG344" s="36">
        <v>-1936</v>
      </c>
      <c r="AH344" s="36">
        <v>-15622</v>
      </c>
      <c r="AI344" s="20">
        <f t="shared" si="16"/>
        <v>-52572</v>
      </c>
      <c r="AJ344" s="20">
        <f t="shared" si="17"/>
        <v>15</v>
      </c>
    </row>
    <row r="345" spans="1:36" x14ac:dyDescent="0.2">
      <c r="A345" s="17" t="s">
        <v>4942</v>
      </c>
      <c r="B345" s="17">
        <v>38154</v>
      </c>
      <c r="Q345" s="20">
        <v>13455</v>
      </c>
      <c r="R345" s="20">
        <v>20955</v>
      </c>
      <c r="S345" s="20">
        <v>1801</v>
      </c>
      <c r="T345" s="20">
        <v>8284</v>
      </c>
      <c r="U345" s="20">
        <v>7731</v>
      </c>
      <c r="V345" s="20">
        <v>6</v>
      </c>
      <c r="W345" s="20">
        <f t="shared" si="15"/>
        <v>52232</v>
      </c>
      <c r="X345" s="36">
        <v>-34404</v>
      </c>
      <c r="Y345" s="36"/>
      <c r="Z345" s="36"/>
      <c r="AA345" s="36"/>
      <c r="AB345" s="36"/>
      <c r="AC345" s="36"/>
      <c r="AD345" s="36"/>
      <c r="AE345" s="36">
        <v>-6</v>
      </c>
      <c r="AF345" s="36">
        <v>-546</v>
      </c>
      <c r="AG345" s="36">
        <v>-1953</v>
      </c>
      <c r="AH345" s="36">
        <v>-15308</v>
      </c>
      <c r="AI345" s="20">
        <f t="shared" si="16"/>
        <v>-52217</v>
      </c>
      <c r="AJ345" s="20">
        <f t="shared" si="17"/>
        <v>15</v>
      </c>
    </row>
    <row r="346" spans="1:36" x14ac:dyDescent="0.2">
      <c r="A346" s="17" t="s">
        <v>4943</v>
      </c>
      <c r="B346" s="17">
        <v>38161</v>
      </c>
      <c r="Q346" s="20">
        <v>14314</v>
      </c>
      <c r="R346" s="20">
        <v>20126</v>
      </c>
      <c r="S346" s="20">
        <v>1816</v>
      </c>
      <c r="T346" s="20">
        <v>8337</v>
      </c>
      <c r="U346" s="20">
        <v>7854</v>
      </c>
      <c r="V346" s="20">
        <v>6</v>
      </c>
      <c r="W346" s="20">
        <f t="shared" si="15"/>
        <v>52453</v>
      </c>
      <c r="X346" s="36">
        <v>-34435</v>
      </c>
      <c r="Y346" s="36"/>
      <c r="Z346" s="36"/>
      <c r="AA346" s="36"/>
      <c r="AB346" s="36"/>
      <c r="AC346" s="36"/>
      <c r="AD346" s="36"/>
      <c r="AE346" s="36">
        <v>-5</v>
      </c>
      <c r="AF346" s="36">
        <v>-584</v>
      </c>
      <c r="AG346" s="36">
        <v>-2020</v>
      </c>
      <c r="AH346" s="36">
        <v>-15393</v>
      </c>
      <c r="AI346" s="20">
        <f t="shared" si="16"/>
        <v>-52437</v>
      </c>
      <c r="AJ346" s="20">
        <f t="shared" si="17"/>
        <v>16</v>
      </c>
    </row>
    <row r="347" spans="1:36" x14ac:dyDescent="0.2">
      <c r="A347" s="17" t="s">
        <v>4944</v>
      </c>
      <c r="B347" s="17">
        <v>38168</v>
      </c>
      <c r="Q347" s="20">
        <v>13664</v>
      </c>
      <c r="R347" s="20">
        <v>20976</v>
      </c>
      <c r="S347" s="20">
        <v>1816</v>
      </c>
      <c r="T347" s="20">
        <v>8480</v>
      </c>
      <c r="U347" s="20">
        <v>8271</v>
      </c>
      <c r="V347" s="20">
        <v>9</v>
      </c>
      <c r="W347" s="20">
        <f t="shared" si="15"/>
        <v>53216</v>
      </c>
      <c r="X347" s="36">
        <v>-34632</v>
      </c>
      <c r="Y347" s="36"/>
      <c r="Z347" s="36"/>
      <c r="AA347" s="36"/>
      <c r="AB347" s="36"/>
      <c r="AC347" s="36"/>
      <c r="AD347" s="36"/>
      <c r="AE347" s="36">
        <v>-8</v>
      </c>
      <c r="AF347" s="36">
        <v>-1024</v>
      </c>
      <c r="AG347" s="36">
        <v>-1972</v>
      </c>
      <c r="AH347" s="36">
        <v>-15565</v>
      </c>
      <c r="AI347" s="20">
        <f t="shared" si="16"/>
        <v>-53201</v>
      </c>
      <c r="AJ347" s="20">
        <f t="shared" si="17"/>
        <v>15</v>
      </c>
    </row>
    <row r="348" spans="1:36" x14ac:dyDescent="0.2">
      <c r="A348" s="17" t="s">
        <v>4945</v>
      </c>
      <c r="B348" s="17">
        <v>38175</v>
      </c>
      <c r="Q348" s="20">
        <v>13608</v>
      </c>
      <c r="R348" s="20">
        <v>21052</v>
      </c>
      <c r="S348" s="20">
        <v>1816</v>
      </c>
      <c r="T348" s="20">
        <v>8308</v>
      </c>
      <c r="U348" s="20">
        <v>8051</v>
      </c>
      <c r="V348" s="20">
        <v>5</v>
      </c>
      <c r="W348" s="20">
        <f t="shared" si="15"/>
        <v>52840</v>
      </c>
      <c r="X348" s="36">
        <v>-34655</v>
      </c>
      <c r="Y348" s="36"/>
      <c r="Z348" s="36"/>
      <c r="AA348" s="36"/>
      <c r="AB348" s="36"/>
      <c r="AC348" s="36"/>
      <c r="AD348" s="36"/>
      <c r="AE348" s="36">
        <v>-5</v>
      </c>
      <c r="AF348" s="36">
        <v>-574</v>
      </c>
      <c r="AG348" s="36">
        <v>-1946</v>
      </c>
      <c r="AH348" s="36">
        <v>-15645</v>
      </c>
      <c r="AI348" s="20">
        <f t="shared" si="16"/>
        <v>-52825</v>
      </c>
      <c r="AJ348" s="20">
        <f t="shared" si="17"/>
        <v>15</v>
      </c>
    </row>
    <row r="349" spans="1:36" x14ac:dyDescent="0.2">
      <c r="A349" s="17" t="s">
        <v>4946</v>
      </c>
      <c r="B349" s="17">
        <v>38182</v>
      </c>
      <c r="Q349" s="20">
        <v>14001</v>
      </c>
      <c r="R349" s="20">
        <v>20699</v>
      </c>
      <c r="S349" s="20">
        <v>1816</v>
      </c>
      <c r="T349" s="20">
        <v>9339</v>
      </c>
      <c r="U349" s="20">
        <v>7807</v>
      </c>
      <c r="V349" s="20">
        <v>5</v>
      </c>
      <c r="W349" s="20">
        <f t="shared" si="15"/>
        <v>53667</v>
      </c>
      <c r="X349" s="36">
        <v>-34695</v>
      </c>
      <c r="Y349" s="36"/>
      <c r="Z349" s="36"/>
      <c r="AA349" s="36"/>
      <c r="AB349" s="36"/>
      <c r="AC349" s="36"/>
      <c r="AD349" s="36"/>
      <c r="AE349" s="36">
        <v>-5</v>
      </c>
      <c r="AF349" s="36">
        <v>-611</v>
      </c>
      <c r="AG349" s="36">
        <v>-1943</v>
      </c>
      <c r="AH349" s="36">
        <v>-16397</v>
      </c>
      <c r="AI349" s="20">
        <f t="shared" si="16"/>
        <v>-53651</v>
      </c>
      <c r="AJ349" s="20">
        <f t="shared" si="17"/>
        <v>16</v>
      </c>
    </row>
    <row r="350" spans="1:36" x14ac:dyDescent="0.2">
      <c r="A350" s="17" t="s">
        <v>4947</v>
      </c>
      <c r="B350" s="17">
        <v>38189</v>
      </c>
      <c r="Q350" s="20">
        <v>14463</v>
      </c>
      <c r="R350" s="20">
        <v>20297</v>
      </c>
      <c r="S350" s="20">
        <v>1815</v>
      </c>
      <c r="T350" s="20">
        <v>9189</v>
      </c>
      <c r="U350" s="20">
        <v>7833</v>
      </c>
      <c r="V350" s="20">
        <v>7</v>
      </c>
      <c r="W350" s="20">
        <f t="shared" si="15"/>
        <v>53604</v>
      </c>
      <c r="X350" s="36">
        <v>-34754</v>
      </c>
      <c r="Y350" s="36"/>
      <c r="Z350" s="36"/>
      <c r="AA350" s="36"/>
      <c r="AB350" s="36"/>
      <c r="AC350" s="36"/>
      <c r="AD350" s="36"/>
      <c r="AE350" s="36">
        <v>-6</v>
      </c>
      <c r="AF350" s="36">
        <v>-636</v>
      </c>
      <c r="AG350" s="36">
        <v>-2042</v>
      </c>
      <c r="AH350" s="36">
        <v>-16151</v>
      </c>
      <c r="AI350" s="20">
        <f t="shared" si="16"/>
        <v>-53589</v>
      </c>
      <c r="AJ350" s="20">
        <f t="shared" si="17"/>
        <v>15</v>
      </c>
    </row>
    <row r="351" spans="1:36" x14ac:dyDescent="0.2">
      <c r="A351" s="17" t="s">
        <v>4948</v>
      </c>
      <c r="B351" s="17">
        <v>38196</v>
      </c>
      <c r="Q351" s="20">
        <v>15097</v>
      </c>
      <c r="R351" s="20">
        <v>19863</v>
      </c>
      <c r="S351" s="20">
        <v>1831</v>
      </c>
      <c r="T351" s="20">
        <v>9125</v>
      </c>
      <c r="U351" s="20">
        <v>7983</v>
      </c>
      <c r="V351" s="20">
        <v>6</v>
      </c>
      <c r="W351" s="20">
        <f t="shared" si="15"/>
        <v>53905</v>
      </c>
      <c r="X351" s="36">
        <v>-34954</v>
      </c>
      <c r="Y351" s="36"/>
      <c r="Z351" s="36"/>
      <c r="AA351" s="36"/>
      <c r="AB351" s="36"/>
      <c r="AC351" s="36"/>
      <c r="AD351" s="36"/>
      <c r="AE351" s="36">
        <v>-6</v>
      </c>
      <c r="AF351" s="36">
        <v>-846</v>
      </c>
      <c r="AG351" s="36">
        <v>-1948</v>
      </c>
      <c r="AH351" s="36">
        <v>-16136</v>
      </c>
      <c r="AI351" s="20">
        <f t="shared" si="16"/>
        <v>-53890</v>
      </c>
      <c r="AJ351" s="20">
        <f t="shared" si="17"/>
        <v>15</v>
      </c>
    </row>
    <row r="352" spans="1:36" x14ac:dyDescent="0.2">
      <c r="A352" s="17" t="s">
        <v>4949</v>
      </c>
      <c r="B352" s="17">
        <v>38203</v>
      </c>
      <c r="Q352" s="20">
        <v>13648</v>
      </c>
      <c r="R352" s="20">
        <v>21462</v>
      </c>
      <c r="S352" s="20">
        <v>1831</v>
      </c>
      <c r="T352" s="20">
        <v>10099</v>
      </c>
      <c r="U352" s="20">
        <v>7936</v>
      </c>
      <c r="V352" s="20">
        <v>7</v>
      </c>
      <c r="W352" s="20">
        <f t="shared" si="15"/>
        <v>54983</v>
      </c>
      <c r="X352" s="36">
        <v>-35103</v>
      </c>
      <c r="Y352" s="36"/>
      <c r="Z352" s="36"/>
      <c r="AA352" s="36"/>
      <c r="AB352" s="36"/>
      <c r="AC352" s="36"/>
      <c r="AD352" s="36"/>
      <c r="AE352" s="36">
        <v>-7</v>
      </c>
      <c r="AF352" s="36">
        <v>-810</v>
      </c>
      <c r="AG352" s="36">
        <v>-1952</v>
      </c>
      <c r="AH352" s="36">
        <v>-17096</v>
      </c>
      <c r="AI352" s="20">
        <f t="shared" si="16"/>
        <v>-54968</v>
      </c>
      <c r="AJ352" s="20">
        <f t="shared" si="17"/>
        <v>15</v>
      </c>
    </row>
    <row r="353" spans="1:36" x14ac:dyDescent="0.2">
      <c r="A353" s="17" t="s">
        <v>4950</v>
      </c>
      <c r="B353" s="17">
        <v>38210</v>
      </c>
      <c r="Q353" s="20">
        <v>13461</v>
      </c>
      <c r="R353" s="20">
        <v>21519</v>
      </c>
      <c r="S353" s="20">
        <v>1830</v>
      </c>
      <c r="T353" s="20">
        <v>9722</v>
      </c>
      <c r="U353" s="20">
        <v>7750</v>
      </c>
      <c r="V353" s="20">
        <v>7</v>
      </c>
      <c r="W353" s="20">
        <f t="shared" si="15"/>
        <v>54289</v>
      </c>
      <c r="X353" s="36">
        <v>-34973</v>
      </c>
      <c r="Y353" s="36"/>
      <c r="Z353" s="36"/>
      <c r="AA353" s="36"/>
      <c r="AB353" s="36"/>
      <c r="AC353" s="36"/>
      <c r="AD353" s="36"/>
      <c r="AE353" s="36">
        <v>-7</v>
      </c>
      <c r="AF353" s="36">
        <v>-576</v>
      </c>
      <c r="AG353" s="36">
        <v>-1987</v>
      </c>
      <c r="AH353" s="36">
        <v>-16733</v>
      </c>
      <c r="AI353" s="20">
        <f t="shared" si="16"/>
        <v>-54276</v>
      </c>
      <c r="AJ353" s="20">
        <f t="shared" si="17"/>
        <v>13</v>
      </c>
    </row>
    <row r="354" spans="1:36" x14ac:dyDescent="0.2">
      <c r="A354" s="17" t="s">
        <v>4951</v>
      </c>
      <c r="B354" s="17">
        <v>38217</v>
      </c>
      <c r="Q354" s="20">
        <v>14476</v>
      </c>
      <c r="R354" s="20">
        <v>20474</v>
      </c>
      <c r="S354" s="20">
        <v>1830</v>
      </c>
      <c r="T354" s="20">
        <v>10040</v>
      </c>
      <c r="U354" s="20">
        <v>7204</v>
      </c>
      <c r="V354" s="20">
        <v>8</v>
      </c>
      <c r="W354" s="20">
        <f t="shared" si="15"/>
        <v>54032</v>
      </c>
      <c r="X354" s="36">
        <v>-34942</v>
      </c>
      <c r="Y354" s="36"/>
      <c r="Z354" s="36"/>
      <c r="AA354" s="36"/>
      <c r="AB354" s="36"/>
      <c r="AC354" s="36"/>
      <c r="AD354" s="36"/>
      <c r="AE354" s="36">
        <v>-8</v>
      </c>
      <c r="AF354" s="36">
        <v>-533</v>
      </c>
      <c r="AG354" s="36">
        <v>-2012</v>
      </c>
      <c r="AH354" s="36">
        <v>-16523</v>
      </c>
      <c r="AI354" s="20">
        <f t="shared" si="16"/>
        <v>-54018</v>
      </c>
      <c r="AJ354" s="20">
        <f t="shared" si="17"/>
        <v>14</v>
      </c>
    </row>
    <row r="355" spans="1:36" x14ac:dyDescent="0.2">
      <c r="A355" s="17" t="s">
        <v>4952</v>
      </c>
      <c r="B355" s="17">
        <v>38224</v>
      </c>
      <c r="Q355" s="20">
        <v>13456</v>
      </c>
      <c r="R355" s="20">
        <v>21894</v>
      </c>
      <c r="S355" s="20">
        <v>1830</v>
      </c>
      <c r="T355" s="20">
        <v>10386</v>
      </c>
      <c r="U355" s="20">
        <v>7082</v>
      </c>
      <c r="V355" s="20">
        <v>3</v>
      </c>
      <c r="W355" s="20">
        <f t="shared" si="15"/>
        <v>54651</v>
      </c>
      <c r="X355" s="36">
        <v>-35347</v>
      </c>
      <c r="Y355" s="36"/>
      <c r="Z355" s="36"/>
      <c r="AA355" s="36"/>
      <c r="AB355" s="36"/>
      <c r="AC355" s="36"/>
      <c r="AD355" s="36"/>
      <c r="AE355" s="36">
        <v>-3</v>
      </c>
      <c r="AF355" s="36">
        <v>-666</v>
      </c>
      <c r="AG355" s="36">
        <v>-1989</v>
      </c>
      <c r="AH355" s="36">
        <v>-16631</v>
      </c>
      <c r="AI355" s="20">
        <f t="shared" si="16"/>
        <v>-54636</v>
      </c>
      <c r="AJ355" s="20">
        <f t="shared" si="17"/>
        <v>15</v>
      </c>
    </row>
    <row r="356" spans="1:36" x14ac:dyDescent="0.2">
      <c r="A356" s="17" t="s">
        <v>4953</v>
      </c>
      <c r="B356" s="17">
        <v>38231</v>
      </c>
      <c r="Q356" s="20">
        <v>13456</v>
      </c>
      <c r="R356" s="20">
        <v>22494</v>
      </c>
      <c r="S356" s="20">
        <v>1846</v>
      </c>
      <c r="T356" s="20">
        <v>10975</v>
      </c>
      <c r="U356" s="20">
        <v>7228</v>
      </c>
      <c r="V356" s="20">
        <v>1</v>
      </c>
      <c r="W356" s="20">
        <f t="shared" si="15"/>
        <v>56000</v>
      </c>
      <c r="X356" s="36">
        <v>-35949</v>
      </c>
      <c r="Y356" s="36"/>
      <c r="Z356" s="36"/>
      <c r="AA356" s="36"/>
      <c r="AB356" s="36"/>
      <c r="AC356" s="36"/>
      <c r="AD356" s="36"/>
      <c r="AE356" s="36">
        <v>-1</v>
      </c>
      <c r="AF356" s="36">
        <v>-973</v>
      </c>
      <c r="AG356" s="36">
        <v>-1997</v>
      </c>
      <c r="AH356" s="36">
        <v>-17066</v>
      </c>
      <c r="AI356" s="20">
        <f t="shared" si="16"/>
        <v>-55986</v>
      </c>
      <c r="AJ356" s="20">
        <f t="shared" si="17"/>
        <v>14</v>
      </c>
    </row>
    <row r="357" spans="1:36" x14ac:dyDescent="0.2">
      <c r="A357" s="17" t="s">
        <v>4954</v>
      </c>
      <c r="B357" s="17">
        <v>38238</v>
      </c>
      <c r="Q357" s="20">
        <v>13582</v>
      </c>
      <c r="R357" s="20">
        <v>21578</v>
      </c>
      <c r="S357" s="20">
        <v>1845</v>
      </c>
      <c r="T357" s="20">
        <v>11078</v>
      </c>
      <c r="U357" s="20">
        <v>6745</v>
      </c>
      <c r="V357" s="20">
        <v>6</v>
      </c>
      <c r="W357" s="20">
        <f t="shared" si="15"/>
        <v>54834</v>
      </c>
      <c r="X357" s="36">
        <v>-35154</v>
      </c>
      <c r="Y357" s="36"/>
      <c r="Z357" s="36"/>
      <c r="AA357" s="36"/>
      <c r="AB357" s="36"/>
      <c r="AC357" s="36"/>
      <c r="AD357" s="36"/>
      <c r="AE357" s="36">
        <v>-6</v>
      </c>
      <c r="AF357" s="36">
        <v>-734</v>
      </c>
      <c r="AG357" s="36">
        <v>-1917</v>
      </c>
      <c r="AH357" s="36">
        <v>-17008</v>
      </c>
      <c r="AI357" s="20">
        <f t="shared" si="16"/>
        <v>-54819</v>
      </c>
      <c r="AJ357" s="20">
        <f t="shared" si="17"/>
        <v>15</v>
      </c>
    </row>
    <row r="358" spans="1:36" x14ac:dyDescent="0.2">
      <c r="A358" s="17" t="s">
        <v>4955</v>
      </c>
      <c r="B358" s="17">
        <v>38245</v>
      </c>
      <c r="Q358" s="20">
        <v>13456</v>
      </c>
      <c r="R358" s="20">
        <v>21674</v>
      </c>
      <c r="S358" s="20">
        <v>1845</v>
      </c>
      <c r="T358" s="20">
        <v>11931</v>
      </c>
      <c r="U358" s="20">
        <v>6450</v>
      </c>
      <c r="V358" s="20">
        <v>9</v>
      </c>
      <c r="W358" s="20">
        <f t="shared" si="15"/>
        <v>55365</v>
      </c>
      <c r="X358" s="36">
        <v>-35121</v>
      </c>
      <c r="Y358" s="36"/>
      <c r="Z358" s="36"/>
      <c r="AA358" s="36"/>
      <c r="AB358" s="36"/>
      <c r="AC358" s="36"/>
      <c r="AD358" s="36"/>
      <c r="AE358" s="36">
        <v>-9</v>
      </c>
      <c r="AF358" s="36">
        <v>-585</v>
      </c>
      <c r="AG358" s="36">
        <v>-2144</v>
      </c>
      <c r="AH358" s="36">
        <v>-17491</v>
      </c>
      <c r="AI358" s="20">
        <f t="shared" si="16"/>
        <v>-55350</v>
      </c>
      <c r="AJ358" s="20">
        <f t="shared" si="17"/>
        <v>15</v>
      </c>
    </row>
    <row r="359" spans="1:36" x14ac:dyDescent="0.2">
      <c r="A359" s="17" t="s">
        <v>4956</v>
      </c>
      <c r="B359" s="17">
        <v>38252</v>
      </c>
      <c r="Q359" s="20">
        <v>13997</v>
      </c>
      <c r="R359" s="20">
        <v>21093</v>
      </c>
      <c r="S359" s="20">
        <v>1845</v>
      </c>
      <c r="T359" s="20">
        <v>11441</v>
      </c>
      <c r="U359" s="20">
        <v>6600</v>
      </c>
      <c r="V359" s="20">
        <v>7</v>
      </c>
      <c r="W359" s="20">
        <f t="shared" si="15"/>
        <v>54983</v>
      </c>
      <c r="X359" s="36">
        <v>-35083</v>
      </c>
      <c r="Y359" s="36"/>
      <c r="Z359" s="36"/>
      <c r="AA359" s="36"/>
      <c r="AB359" s="36"/>
      <c r="AC359" s="36"/>
      <c r="AD359" s="36"/>
      <c r="AE359" s="36">
        <v>-7</v>
      </c>
      <c r="AF359" s="36">
        <v>-678</v>
      </c>
      <c r="AG359" s="36">
        <v>-1962</v>
      </c>
      <c r="AH359" s="36">
        <v>-17238</v>
      </c>
      <c r="AI359" s="20">
        <f t="shared" si="16"/>
        <v>-54968</v>
      </c>
      <c r="AJ359" s="20">
        <f t="shared" si="17"/>
        <v>15</v>
      </c>
    </row>
    <row r="360" spans="1:36" x14ac:dyDescent="0.2">
      <c r="A360" s="17" t="s">
        <v>4957</v>
      </c>
      <c r="B360" s="17">
        <v>38259</v>
      </c>
      <c r="Q360" s="20">
        <v>13722</v>
      </c>
      <c r="R360" s="20">
        <v>21548</v>
      </c>
      <c r="S360" s="20">
        <v>1861</v>
      </c>
      <c r="T360" s="20">
        <v>11662</v>
      </c>
      <c r="U360" s="20">
        <v>6637</v>
      </c>
      <c r="V360" s="20">
        <v>3</v>
      </c>
      <c r="W360" s="20">
        <f t="shared" si="15"/>
        <v>55433</v>
      </c>
      <c r="X360" s="36">
        <v>-35267</v>
      </c>
      <c r="Y360" s="36"/>
      <c r="Z360" s="36"/>
      <c r="AA360" s="36"/>
      <c r="AB360" s="36"/>
      <c r="AC360" s="36"/>
      <c r="AD360" s="36"/>
      <c r="AE360" s="36">
        <v>-3</v>
      </c>
      <c r="AF360" s="36">
        <v>-818</v>
      </c>
      <c r="AG360" s="36">
        <v>-1966</v>
      </c>
      <c r="AH360" s="36">
        <v>-17365</v>
      </c>
      <c r="AI360" s="20">
        <f t="shared" si="16"/>
        <v>-55419</v>
      </c>
      <c r="AJ360" s="20">
        <f t="shared" si="17"/>
        <v>14</v>
      </c>
    </row>
    <row r="361" spans="1:36" x14ac:dyDescent="0.2">
      <c r="A361" s="17" t="s">
        <v>4958</v>
      </c>
      <c r="B361" s="17">
        <v>38266</v>
      </c>
      <c r="Q361" s="20">
        <v>13731</v>
      </c>
      <c r="R361" s="20">
        <v>21499</v>
      </c>
      <c r="S361" s="20">
        <v>1860</v>
      </c>
      <c r="T361" s="20">
        <v>12030</v>
      </c>
      <c r="U361" s="20">
        <v>6523</v>
      </c>
      <c r="V361" s="20">
        <v>5</v>
      </c>
      <c r="W361" s="20">
        <f t="shared" si="15"/>
        <v>55648</v>
      </c>
      <c r="X361" s="36">
        <v>-35225</v>
      </c>
      <c r="Y361" s="36"/>
      <c r="Z361" s="36"/>
      <c r="AA361" s="36"/>
      <c r="AB361" s="36"/>
      <c r="AC361" s="36"/>
      <c r="AD361" s="36"/>
      <c r="AE361" s="36">
        <v>-5</v>
      </c>
      <c r="AF361" s="36">
        <v>-615</v>
      </c>
      <c r="AG361" s="36">
        <v>-1978</v>
      </c>
      <c r="AH361" s="36">
        <v>-17812</v>
      </c>
      <c r="AI361" s="20">
        <f t="shared" si="16"/>
        <v>-55635</v>
      </c>
      <c r="AJ361" s="20">
        <f t="shared" si="17"/>
        <v>13</v>
      </c>
    </row>
    <row r="362" spans="1:36" x14ac:dyDescent="0.2">
      <c r="A362" s="17" t="s">
        <v>4959</v>
      </c>
      <c r="B362" s="17">
        <v>38273</v>
      </c>
      <c r="Q362" s="20">
        <v>13529</v>
      </c>
      <c r="R362" s="20">
        <v>21671</v>
      </c>
      <c r="S362" s="20">
        <v>1860</v>
      </c>
      <c r="T362" s="20">
        <v>12963</v>
      </c>
      <c r="U362" s="20">
        <v>6463</v>
      </c>
      <c r="V362" s="20">
        <v>8</v>
      </c>
      <c r="W362" s="20">
        <f t="shared" si="15"/>
        <v>56494</v>
      </c>
      <c r="X362" s="36">
        <v>-35192</v>
      </c>
      <c r="Y362" s="36"/>
      <c r="Z362" s="36"/>
      <c r="AA362" s="36"/>
      <c r="AB362" s="36"/>
      <c r="AC362" s="36"/>
      <c r="AD362" s="36"/>
      <c r="AE362" s="36">
        <v>-8</v>
      </c>
      <c r="AF362" s="36">
        <v>-562</v>
      </c>
      <c r="AG362" s="36">
        <v>-1947</v>
      </c>
      <c r="AH362" s="36">
        <v>-18770</v>
      </c>
      <c r="AI362" s="20">
        <f t="shared" si="16"/>
        <v>-56479</v>
      </c>
      <c r="AJ362" s="20">
        <f t="shared" si="17"/>
        <v>15</v>
      </c>
    </row>
    <row r="363" spans="1:36" x14ac:dyDescent="0.2">
      <c r="A363" s="17" t="s">
        <v>4960</v>
      </c>
      <c r="B363" s="17">
        <v>38280</v>
      </c>
      <c r="Q363" s="20">
        <v>13457</v>
      </c>
      <c r="R363" s="20">
        <v>21793</v>
      </c>
      <c r="S363" s="20">
        <v>1860</v>
      </c>
      <c r="T363" s="20">
        <v>11080</v>
      </c>
      <c r="U363" s="20">
        <v>6468</v>
      </c>
      <c r="V363" s="20">
        <v>4</v>
      </c>
      <c r="W363" s="20">
        <f t="shared" si="15"/>
        <v>54662</v>
      </c>
      <c r="X363" s="36">
        <v>-35246</v>
      </c>
      <c r="Y363" s="36"/>
      <c r="Z363" s="36"/>
      <c r="AA363" s="36"/>
      <c r="AB363" s="36"/>
      <c r="AC363" s="36"/>
      <c r="AD363" s="36"/>
      <c r="AE363" s="36">
        <v>-4</v>
      </c>
      <c r="AF363" s="36">
        <v>-525</v>
      </c>
      <c r="AG363" s="36">
        <v>-2059</v>
      </c>
      <c r="AH363" s="36">
        <v>-16813</v>
      </c>
      <c r="AI363" s="20">
        <f t="shared" si="16"/>
        <v>-54647</v>
      </c>
      <c r="AJ363" s="20">
        <f t="shared" si="17"/>
        <v>15</v>
      </c>
    </row>
    <row r="364" spans="1:36" x14ac:dyDescent="0.2">
      <c r="A364" s="17" t="s">
        <v>4961</v>
      </c>
      <c r="B364" s="17">
        <v>38287</v>
      </c>
      <c r="Q364" s="20">
        <v>13761</v>
      </c>
      <c r="R364" s="20">
        <v>21659</v>
      </c>
      <c r="S364" s="20">
        <v>1796</v>
      </c>
      <c r="T364" s="20">
        <v>10630</v>
      </c>
      <c r="U364" s="20">
        <v>6600</v>
      </c>
      <c r="V364" s="20">
        <v>1</v>
      </c>
      <c r="W364" s="20">
        <f t="shared" si="15"/>
        <v>54447</v>
      </c>
      <c r="X364" s="36">
        <v>-35419</v>
      </c>
      <c r="Y364" s="36"/>
      <c r="Z364" s="36"/>
      <c r="AA364" s="36"/>
      <c r="AB364" s="36"/>
      <c r="AC364" s="36"/>
      <c r="AD364" s="36"/>
      <c r="AE364" s="36">
        <v>-1</v>
      </c>
      <c r="AF364" s="36">
        <v>-688</v>
      </c>
      <c r="AG364" s="36">
        <v>-1976</v>
      </c>
      <c r="AH364" s="36">
        <v>-16348</v>
      </c>
      <c r="AI364" s="20">
        <f t="shared" si="16"/>
        <v>-54432</v>
      </c>
      <c r="AJ364" s="20">
        <f t="shared" si="17"/>
        <v>15</v>
      </c>
    </row>
    <row r="365" spans="1:36" x14ac:dyDescent="0.2">
      <c r="A365" s="17" t="s">
        <v>4962</v>
      </c>
      <c r="B365" s="17">
        <v>38294</v>
      </c>
      <c r="Q365" s="20">
        <v>13754</v>
      </c>
      <c r="R365" s="20">
        <v>21676</v>
      </c>
      <c r="S365" s="20">
        <v>1796</v>
      </c>
      <c r="T365" s="20">
        <v>11055</v>
      </c>
      <c r="U365" s="20">
        <v>6698</v>
      </c>
      <c r="V365" s="20">
        <v>10</v>
      </c>
      <c r="W365" s="20">
        <f t="shared" si="15"/>
        <v>54989</v>
      </c>
      <c r="X365" s="36">
        <v>-35420</v>
      </c>
      <c r="Y365" s="36"/>
      <c r="Z365" s="36"/>
      <c r="AA365" s="36"/>
      <c r="AB365" s="36"/>
      <c r="AC365" s="36"/>
      <c r="AD365" s="36"/>
      <c r="AE365" s="36">
        <v>-10</v>
      </c>
      <c r="AF365" s="36">
        <v>-795</v>
      </c>
      <c r="AG365" s="36">
        <v>-2013</v>
      </c>
      <c r="AH365" s="36">
        <v>-16737</v>
      </c>
      <c r="AI365" s="20">
        <f t="shared" si="16"/>
        <v>-54975</v>
      </c>
      <c r="AJ365" s="20">
        <f t="shared" si="17"/>
        <v>14</v>
      </c>
    </row>
    <row r="366" spans="1:36" x14ac:dyDescent="0.2">
      <c r="A366" s="17" t="s">
        <v>4963</v>
      </c>
      <c r="B366" s="17">
        <v>38301</v>
      </c>
      <c r="Q366" s="20">
        <v>13455</v>
      </c>
      <c r="R366" s="20">
        <v>21995</v>
      </c>
      <c r="S366" s="20">
        <v>1796</v>
      </c>
      <c r="T366" s="20">
        <v>11584</v>
      </c>
      <c r="U366" s="20">
        <v>6409</v>
      </c>
      <c r="V366" s="20">
        <v>4</v>
      </c>
      <c r="W366" s="20">
        <f t="shared" si="15"/>
        <v>55243</v>
      </c>
      <c r="X366" s="36">
        <v>-35446</v>
      </c>
      <c r="Y366" s="36"/>
      <c r="Z366" s="36"/>
      <c r="AA366" s="36"/>
      <c r="AB366" s="36"/>
      <c r="AC366" s="36"/>
      <c r="AD366" s="36"/>
      <c r="AE366" s="36">
        <v>-4</v>
      </c>
      <c r="AF366" s="36">
        <v>-505</v>
      </c>
      <c r="AG366" s="36">
        <v>-1967</v>
      </c>
      <c r="AH366" s="36">
        <v>-17307</v>
      </c>
      <c r="AI366" s="20">
        <f t="shared" si="16"/>
        <v>-55229</v>
      </c>
      <c r="AJ366" s="20">
        <f t="shared" si="17"/>
        <v>14</v>
      </c>
    </row>
    <row r="367" spans="1:36" x14ac:dyDescent="0.2">
      <c r="A367" s="17" t="s">
        <v>4964</v>
      </c>
      <c r="B367" s="17">
        <v>38308</v>
      </c>
      <c r="Q367" s="20">
        <v>13455</v>
      </c>
      <c r="R367" s="20">
        <v>22295</v>
      </c>
      <c r="S367" s="20">
        <v>1795</v>
      </c>
      <c r="T367" s="20">
        <v>11063</v>
      </c>
      <c r="U367" s="20">
        <v>6655</v>
      </c>
      <c r="V367" s="20">
        <v>9</v>
      </c>
      <c r="W367" s="20">
        <f t="shared" si="15"/>
        <v>55272</v>
      </c>
      <c r="X367" s="36">
        <v>-35741</v>
      </c>
      <c r="Y367" s="36"/>
      <c r="Z367" s="36"/>
      <c r="AA367" s="36"/>
      <c r="AB367" s="36"/>
      <c r="AC367" s="36"/>
      <c r="AD367" s="36"/>
      <c r="AE367" s="36">
        <v>-9</v>
      </c>
      <c r="AF367" s="36">
        <v>-575</v>
      </c>
      <c r="AG367" s="36">
        <v>-1973</v>
      </c>
      <c r="AH367" s="36">
        <v>-16960</v>
      </c>
      <c r="AI367" s="20">
        <f t="shared" si="16"/>
        <v>-55258</v>
      </c>
      <c r="AJ367" s="20">
        <f t="shared" si="17"/>
        <v>14</v>
      </c>
    </row>
    <row r="368" spans="1:36" x14ac:dyDescent="0.2">
      <c r="A368" s="17" t="s">
        <v>4965</v>
      </c>
      <c r="B368" s="17">
        <v>38315</v>
      </c>
      <c r="Q368" s="20">
        <v>13455</v>
      </c>
      <c r="R368" s="20">
        <v>22755</v>
      </c>
      <c r="S368" s="20">
        <v>1795</v>
      </c>
      <c r="T368" s="20">
        <v>11601</v>
      </c>
      <c r="U368" s="20">
        <v>6558</v>
      </c>
      <c r="V368" s="20">
        <v>10</v>
      </c>
      <c r="W368" s="20">
        <f t="shared" si="15"/>
        <v>56174</v>
      </c>
      <c r="X368" s="36">
        <v>-36200</v>
      </c>
      <c r="Y368" s="36"/>
      <c r="Z368" s="36"/>
      <c r="AA368" s="36"/>
      <c r="AB368" s="36"/>
      <c r="AC368" s="36"/>
      <c r="AD368" s="36"/>
      <c r="AE368" s="36">
        <v>-10</v>
      </c>
      <c r="AF368" s="36">
        <v>-584</v>
      </c>
      <c r="AG368" s="36">
        <v>-1974</v>
      </c>
      <c r="AH368" s="36">
        <v>-17393</v>
      </c>
      <c r="AI368" s="20">
        <f t="shared" si="16"/>
        <v>-56161</v>
      </c>
      <c r="AJ368" s="20">
        <f t="shared" si="17"/>
        <v>13</v>
      </c>
    </row>
    <row r="369" spans="1:36" x14ac:dyDescent="0.2">
      <c r="A369" s="17" t="s">
        <v>4966</v>
      </c>
      <c r="B369" s="17">
        <v>38322</v>
      </c>
      <c r="Q369" s="20">
        <v>13459</v>
      </c>
      <c r="R369" s="20">
        <v>23151</v>
      </c>
      <c r="S369" s="20">
        <v>1811</v>
      </c>
      <c r="T369" s="20">
        <v>11908</v>
      </c>
      <c r="U369" s="20">
        <v>6910</v>
      </c>
      <c r="V369" s="20">
        <v>1</v>
      </c>
      <c r="W369" s="20">
        <f t="shared" si="15"/>
        <v>57240</v>
      </c>
      <c r="X369" s="36">
        <v>-36609</v>
      </c>
      <c r="Y369" s="36"/>
      <c r="Z369" s="36"/>
      <c r="AA369" s="36"/>
      <c r="AB369" s="36"/>
      <c r="AC369" s="36"/>
      <c r="AD369" s="36"/>
      <c r="AE369" s="36">
        <v>-1</v>
      </c>
      <c r="AF369" s="36">
        <v>-1051</v>
      </c>
      <c r="AG369" s="36">
        <v>-2079</v>
      </c>
      <c r="AH369" s="36">
        <v>-17486</v>
      </c>
      <c r="AI369" s="20">
        <f t="shared" si="16"/>
        <v>-57226</v>
      </c>
      <c r="AJ369" s="20">
        <f t="shared" si="17"/>
        <v>14</v>
      </c>
    </row>
    <row r="370" spans="1:36" x14ac:dyDescent="0.2">
      <c r="A370" s="17" t="s">
        <v>4967</v>
      </c>
      <c r="B370" s="17">
        <v>38329</v>
      </c>
      <c r="Q370" s="20">
        <v>13459</v>
      </c>
      <c r="R370" s="20">
        <v>23301</v>
      </c>
      <c r="S370" s="20">
        <v>1811</v>
      </c>
      <c r="T370" s="20">
        <v>11799</v>
      </c>
      <c r="U370" s="20">
        <v>6374</v>
      </c>
      <c r="V370" s="20">
        <v>5</v>
      </c>
      <c r="W370" s="20">
        <f t="shared" si="15"/>
        <v>56749</v>
      </c>
      <c r="X370" s="36">
        <v>-36755</v>
      </c>
      <c r="Y370" s="36"/>
      <c r="Z370" s="36"/>
      <c r="AA370" s="36"/>
      <c r="AB370" s="36"/>
      <c r="AC370" s="36"/>
      <c r="AD370" s="36"/>
      <c r="AE370" s="36">
        <v>-5</v>
      </c>
      <c r="AF370" s="36">
        <v>-519</v>
      </c>
      <c r="AG370" s="36">
        <v>-2287</v>
      </c>
      <c r="AH370" s="36">
        <v>-17167</v>
      </c>
      <c r="AI370" s="20">
        <f t="shared" si="16"/>
        <v>-56733</v>
      </c>
      <c r="AJ370" s="20">
        <f t="shared" si="17"/>
        <v>16</v>
      </c>
    </row>
    <row r="371" spans="1:36" x14ac:dyDescent="0.2">
      <c r="A371" s="17" t="s">
        <v>4968</v>
      </c>
      <c r="B371" s="17">
        <v>38336</v>
      </c>
      <c r="Q371" s="20">
        <v>14870</v>
      </c>
      <c r="R371" s="20">
        <v>22350</v>
      </c>
      <c r="S371" s="20">
        <v>1810</v>
      </c>
      <c r="T371" s="20">
        <v>12093</v>
      </c>
      <c r="U371" s="20">
        <v>6550</v>
      </c>
      <c r="V371" s="20">
        <v>8</v>
      </c>
      <c r="W371" s="20">
        <f t="shared" si="15"/>
        <v>57681</v>
      </c>
      <c r="X371" s="36">
        <v>-37212</v>
      </c>
      <c r="Y371" s="36"/>
      <c r="Z371" s="36"/>
      <c r="AA371" s="36"/>
      <c r="AB371" s="36"/>
      <c r="AC371" s="36"/>
      <c r="AD371" s="36"/>
      <c r="AE371" s="36">
        <v>-8</v>
      </c>
      <c r="AF371" s="36">
        <v>-517</v>
      </c>
      <c r="AG371" s="36">
        <v>-2162</v>
      </c>
      <c r="AH371" s="36">
        <v>-17767</v>
      </c>
      <c r="AI371" s="20">
        <f t="shared" si="16"/>
        <v>-57666</v>
      </c>
      <c r="AJ371" s="20">
        <f t="shared" si="17"/>
        <v>15</v>
      </c>
    </row>
    <row r="372" spans="1:36" x14ac:dyDescent="0.2">
      <c r="A372" s="17" t="s">
        <v>4969</v>
      </c>
      <c r="B372" s="17">
        <v>38343</v>
      </c>
      <c r="Q372" s="20">
        <v>15570</v>
      </c>
      <c r="R372" s="20">
        <v>22960</v>
      </c>
      <c r="S372" s="20">
        <v>1810</v>
      </c>
      <c r="T372" s="20">
        <v>11960</v>
      </c>
      <c r="U372" s="20">
        <v>6475</v>
      </c>
      <c r="V372" s="20">
        <v>2</v>
      </c>
      <c r="W372" s="20">
        <f t="shared" si="15"/>
        <v>58777</v>
      </c>
      <c r="X372" s="36">
        <v>-38528</v>
      </c>
      <c r="Y372" s="36"/>
      <c r="Z372" s="36"/>
      <c r="AA372" s="36"/>
      <c r="AB372" s="36"/>
      <c r="AC372" s="36"/>
      <c r="AD372" s="36"/>
      <c r="AE372" s="36">
        <v>-2</v>
      </c>
      <c r="AF372" s="36">
        <v>-806</v>
      </c>
      <c r="AG372" s="36">
        <v>-2190</v>
      </c>
      <c r="AH372" s="36">
        <v>-17237</v>
      </c>
      <c r="AI372" s="20">
        <f t="shared" si="16"/>
        <v>-58763</v>
      </c>
      <c r="AJ372" s="20">
        <f t="shared" si="17"/>
        <v>14</v>
      </c>
    </row>
    <row r="373" spans="1:36" x14ac:dyDescent="0.2">
      <c r="A373" s="17" t="s">
        <v>4970</v>
      </c>
      <c r="B373" s="17">
        <v>38350</v>
      </c>
      <c r="Q373" s="20">
        <v>14936</v>
      </c>
      <c r="R373" s="20">
        <v>24194</v>
      </c>
      <c r="S373" s="20">
        <v>1810</v>
      </c>
      <c r="T373" s="20">
        <v>12132</v>
      </c>
      <c r="U373" s="20">
        <v>6504</v>
      </c>
      <c r="V373" s="20">
        <v>5</v>
      </c>
      <c r="W373" s="20">
        <f t="shared" si="15"/>
        <v>59581</v>
      </c>
      <c r="X373" s="36">
        <v>-39125</v>
      </c>
      <c r="Y373" s="36"/>
      <c r="Z373" s="36"/>
      <c r="AA373" s="36"/>
      <c r="AB373" s="36"/>
      <c r="AC373" s="36"/>
      <c r="AD373" s="36"/>
      <c r="AE373" s="36">
        <v>-5</v>
      </c>
      <c r="AF373" s="36">
        <v>-803</v>
      </c>
      <c r="AG373" s="36">
        <v>-2161</v>
      </c>
      <c r="AH373" s="36">
        <v>-17472</v>
      </c>
      <c r="AI373" s="20">
        <f t="shared" si="16"/>
        <v>-59566</v>
      </c>
      <c r="AJ373" s="20">
        <f t="shared" si="17"/>
        <v>15</v>
      </c>
    </row>
    <row r="374" spans="1:36" x14ac:dyDescent="0.2">
      <c r="A374" s="17" t="s">
        <v>4971</v>
      </c>
      <c r="B374" s="17">
        <v>38357</v>
      </c>
      <c r="Q374" s="20">
        <v>13779</v>
      </c>
      <c r="R374" s="20">
        <v>24121</v>
      </c>
      <c r="S374" s="20">
        <v>1809</v>
      </c>
      <c r="T374" s="20">
        <v>12759</v>
      </c>
      <c r="U374" s="20">
        <v>6585</v>
      </c>
      <c r="V374" s="20">
        <v>4</v>
      </c>
      <c r="W374" s="20">
        <f t="shared" si="15"/>
        <v>59057</v>
      </c>
      <c r="X374" s="36">
        <v>-37896</v>
      </c>
      <c r="Y374" s="36"/>
      <c r="Z374" s="36"/>
      <c r="AA374" s="36"/>
      <c r="AB374" s="36"/>
      <c r="AC374" s="36"/>
      <c r="AD374" s="36"/>
      <c r="AE374" s="36">
        <v>-4</v>
      </c>
      <c r="AF374" s="36">
        <v>-698</v>
      </c>
      <c r="AG374" s="36">
        <v>-2173</v>
      </c>
      <c r="AH374" s="36">
        <v>-18271</v>
      </c>
      <c r="AI374" s="20">
        <f t="shared" si="16"/>
        <v>-59042</v>
      </c>
      <c r="AJ374" s="20">
        <f t="shared" si="17"/>
        <v>15</v>
      </c>
    </row>
    <row r="375" spans="1:36" x14ac:dyDescent="0.2">
      <c r="A375" s="17" t="s">
        <v>4972</v>
      </c>
      <c r="B375" s="17">
        <v>38364</v>
      </c>
      <c r="Q375" s="20">
        <v>13945</v>
      </c>
      <c r="R375" s="20">
        <v>21935</v>
      </c>
      <c r="S375" s="20">
        <v>1809</v>
      </c>
      <c r="T375" s="20">
        <v>13216</v>
      </c>
      <c r="U375" s="20">
        <v>6466</v>
      </c>
      <c r="V375" s="20">
        <v>10</v>
      </c>
      <c r="W375" s="20">
        <f t="shared" si="15"/>
        <v>57381</v>
      </c>
      <c r="X375" s="36">
        <v>-35870</v>
      </c>
      <c r="Y375" s="36"/>
      <c r="Z375" s="36"/>
      <c r="AA375" s="36"/>
      <c r="AB375" s="36"/>
      <c r="AC375" s="36"/>
      <c r="AD375" s="36"/>
      <c r="AE375" s="36">
        <v>-10</v>
      </c>
      <c r="AF375" s="36">
        <v>-815</v>
      </c>
      <c r="AG375" s="36">
        <v>-2466</v>
      </c>
      <c r="AH375" s="36">
        <v>-18205</v>
      </c>
      <c r="AI375" s="20">
        <f t="shared" si="16"/>
        <v>-57366</v>
      </c>
      <c r="AJ375" s="20">
        <f t="shared" si="17"/>
        <v>15</v>
      </c>
    </row>
    <row r="376" spans="1:36" x14ac:dyDescent="0.2">
      <c r="A376" s="17" t="s">
        <v>4973</v>
      </c>
      <c r="B376" s="17">
        <v>38371</v>
      </c>
      <c r="Q376" s="20">
        <v>13370</v>
      </c>
      <c r="R376" s="20">
        <v>21880</v>
      </c>
      <c r="S376" s="20">
        <v>1809</v>
      </c>
      <c r="T376" s="20">
        <v>13447</v>
      </c>
      <c r="U376" s="20">
        <v>6921</v>
      </c>
      <c r="V376" s="20">
        <v>6</v>
      </c>
      <c r="W376" s="20">
        <f t="shared" si="15"/>
        <v>57433</v>
      </c>
      <c r="X376" s="36">
        <v>-35244</v>
      </c>
      <c r="Y376" s="36"/>
      <c r="Z376" s="36"/>
      <c r="AA376" s="36"/>
      <c r="AB376" s="36"/>
      <c r="AC376" s="36"/>
      <c r="AD376" s="36"/>
      <c r="AE376" s="36">
        <v>-6</v>
      </c>
      <c r="AF376" s="36">
        <v>-554</v>
      </c>
      <c r="AG376" s="36">
        <v>-2635</v>
      </c>
      <c r="AH376" s="36">
        <v>-18979</v>
      </c>
      <c r="AI376" s="20">
        <f t="shared" si="16"/>
        <v>-57418</v>
      </c>
      <c r="AJ376" s="20">
        <f t="shared" si="17"/>
        <v>15</v>
      </c>
    </row>
    <row r="377" spans="1:36" x14ac:dyDescent="0.2">
      <c r="A377" s="17" t="s">
        <v>4974</v>
      </c>
      <c r="B377" s="17">
        <v>38378</v>
      </c>
      <c r="Q377" s="20">
        <v>13370</v>
      </c>
      <c r="R377" s="20">
        <v>21830</v>
      </c>
      <c r="S377" s="20">
        <v>1808</v>
      </c>
      <c r="T377" s="20">
        <v>13788</v>
      </c>
      <c r="U377" s="20">
        <v>7124</v>
      </c>
      <c r="V377" s="20">
        <v>9</v>
      </c>
      <c r="W377" s="20">
        <f t="shared" si="15"/>
        <v>57929</v>
      </c>
      <c r="X377" s="36">
        <v>-35192</v>
      </c>
      <c r="Y377" s="36"/>
      <c r="Z377" s="36"/>
      <c r="AA377" s="36"/>
      <c r="AB377" s="36"/>
      <c r="AC377" s="36"/>
      <c r="AD377" s="36"/>
      <c r="AE377" s="36">
        <v>-8</v>
      </c>
      <c r="AF377" s="36">
        <v>-769</v>
      </c>
      <c r="AG377" s="36">
        <v>-2586</v>
      </c>
      <c r="AH377" s="36">
        <v>-19359</v>
      </c>
      <c r="AI377" s="20">
        <f t="shared" si="16"/>
        <v>-57914</v>
      </c>
      <c r="AJ377" s="20">
        <f t="shared" si="17"/>
        <v>15</v>
      </c>
    </row>
    <row r="378" spans="1:36" x14ac:dyDescent="0.2">
      <c r="A378" s="17" t="s">
        <v>4975</v>
      </c>
      <c r="B378" s="17">
        <v>38385</v>
      </c>
      <c r="Q378" s="20">
        <v>13370</v>
      </c>
      <c r="R378" s="20">
        <v>21870</v>
      </c>
      <c r="S378" s="20">
        <v>1824</v>
      </c>
      <c r="T378" s="20">
        <v>12139</v>
      </c>
      <c r="U378" s="20">
        <v>7398</v>
      </c>
      <c r="V378" s="20">
        <v>3</v>
      </c>
      <c r="W378" s="20">
        <f t="shared" si="15"/>
        <v>56604</v>
      </c>
      <c r="X378" s="36">
        <v>-35237</v>
      </c>
      <c r="Y378" s="36"/>
      <c r="Z378" s="36"/>
      <c r="AA378" s="36"/>
      <c r="AB378" s="36"/>
      <c r="AC378" s="36"/>
      <c r="AD378" s="36"/>
      <c r="AE378" s="36">
        <v>-3</v>
      </c>
      <c r="AF378" s="36">
        <v>-1098</v>
      </c>
      <c r="AG378" s="36">
        <v>-2016</v>
      </c>
      <c r="AH378" s="36">
        <v>-18235</v>
      </c>
      <c r="AI378" s="20">
        <f t="shared" si="16"/>
        <v>-56589</v>
      </c>
      <c r="AJ378" s="20">
        <f t="shared" si="17"/>
        <v>15</v>
      </c>
    </row>
    <row r="379" spans="1:36" x14ac:dyDescent="0.2">
      <c r="A379" s="17" t="s">
        <v>4976</v>
      </c>
      <c r="B379" s="17">
        <v>38392</v>
      </c>
      <c r="Q379" s="20">
        <v>13860</v>
      </c>
      <c r="R379" s="20">
        <v>21220</v>
      </c>
      <c r="S379" s="20">
        <v>1824</v>
      </c>
      <c r="T379" s="20">
        <v>13207</v>
      </c>
      <c r="U379" s="20">
        <v>6493</v>
      </c>
      <c r="V379" s="20">
        <v>9</v>
      </c>
      <c r="W379" s="20">
        <f t="shared" si="15"/>
        <v>56613</v>
      </c>
      <c r="X379" s="36">
        <v>-35071</v>
      </c>
      <c r="Y379" s="36"/>
      <c r="Z379" s="36"/>
      <c r="AA379" s="36"/>
      <c r="AB379" s="36"/>
      <c r="AC379" s="36"/>
      <c r="AD379" s="36"/>
      <c r="AE379" s="36">
        <v>-9</v>
      </c>
      <c r="AF379" s="36">
        <v>-588</v>
      </c>
      <c r="AG379" s="36">
        <v>-2026</v>
      </c>
      <c r="AH379" s="36">
        <v>-18905</v>
      </c>
      <c r="AI379" s="20">
        <f t="shared" si="16"/>
        <v>-56599</v>
      </c>
      <c r="AJ379" s="20">
        <f t="shared" si="17"/>
        <v>14</v>
      </c>
    </row>
    <row r="380" spans="1:36" x14ac:dyDescent="0.2">
      <c r="A380" s="17" t="s">
        <v>4977</v>
      </c>
      <c r="B380" s="17">
        <v>38399</v>
      </c>
      <c r="Q380" s="20">
        <v>13370</v>
      </c>
      <c r="R380" s="20">
        <v>21660</v>
      </c>
      <c r="S380" s="20">
        <v>1823</v>
      </c>
      <c r="T380" s="20">
        <v>12230</v>
      </c>
      <c r="U380" s="20">
        <v>6622</v>
      </c>
      <c r="V380" s="20">
        <v>9</v>
      </c>
      <c r="W380" s="20">
        <f t="shared" si="15"/>
        <v>55714</v>
      </c>
      <c r="X380" s="36">
        <v>-35021</v>
      </c>
      <c r="Y380" s="36"/>
      <c r="Z380" s="36"/>
      <c r="AA380" s="36"/>
      <c r="AB380" s="36"/>
      <c r="AC380" s="36"/>
      <c r="AD380" s="36"/>
      <c r="AE380" s="36">
        <v>-9</v>
      </c>
      <c r="AF380" s="36">
        <v>-561</v>
      </c>
      <c r="AG380" s="36">
        <v>-2008</v>
      </c>
      <c r="AH380" s="36">
        <v>-18102</v>
      </c>
      <c r="AI380" s="20">
        <f t="shared" si="16"/>
        <v>-55701</v>
      </c>
      <c r="AJ380" s="20">
        <f t="shared" si="17"/>
        <v>13</v>
      </c>
    </row>
    <row r="381" spans="1:36" x14ac:dyDescent="0.2">
      <c r="A381" s="17" t="s">
        <v>4978</v>
      </c>
      <c r="B381" s="17">
        <v>38406</v>
      </c>
      <c r="Q381" s="20">
        <v>13477</v>
      </c>
      <c r="R381" s="20">
        <v>21643</v>
      </c>
      <c r="S381" s="20">
        <v>1823</v>
      </c>
      <c r="T381" s="20">
        <v>12525</v>
      </c>
      <c r="U381" s="20">
        <v>6512</v>
      </c>
      <c r="V381" s="20">
        <v>1</v>
      </c>
      <c r="W381" s="20">
        <f t="shared" si="15"/>
        <v>55981</v>
      </c>
      <c r="X381" s="36">
        <v>-35119</v>
      </c>
      <c r="Y381" s="36"/>
      <c r="Z381" s="36"/>
      <c r="AA381" s="36"/>
      <c r="AB381" s="36"/>
      <c r="AC381" s="36"/>
      <c r="AD381" s="36"/>
      <c r="AE381" s="36">
        <v>-1</v>
      </c>
      <c r="AF381" s="36">
        <v>-601</v>
      </c>
      <c r="AG381" s="36">
        <v>-2008</v>
      </c>
      <c r="AH381" s="36">
        <v>-18238</v>
      </c>
      <c r="AI381" s="20">
        <f t="shared" si="16"/>
        <v>-55967</v>
      </c>
      <c r="AJ381" s="20">
        <f t="shared" si="17"/>
        <v>14</v>
      </c>
    </row>
    <row r="382" spans="1:36" x14ac:dyDescent="0.2">
      <c r="A382" s="17" t="s">
        <v>4979</v>
      </c>
      <c r="B382" s="17">
        <v>38413</v>
      </c>
      <c r="Q382" s="20">
        <v>14161</v>
      </c>
      <c r="R382" s="20">
        <v>21019</v>
      </c>
      <c r="S382" s="20">
        <v>1839</v>
      </c>
      <c r="T382" s="20">
        <v>12861</v>
      </c>
      <c r="U382" s="20">
        <v>7104</v>
      </c>
      <c r="V382" s="20">
        <v>5</v>
      </c>
      <c r="W382" s="20">
        <f t="shared" si="15"/>
        <v>56989</v>
      </c>
      <c r="X382" s="36">
        <v>-35175</v>
      </c>
      <c r="Y382" s="36"/>
      <c r="Z382" s="36"/>
      <c r="AA382" s="36"/>
      <c r="AB382" s="36"/>
      <c r="AC382" s="36"/>
      <c r="AD382" s="36"/>
      <c r="AE382" s="36">
        <v>-5</v>
      </c>
      <c r="AF382" s="36">
        <v>-822</v>
      </c>
      <c r="AG382" s="36">
        <v>-2066</v>
      </c>
      <c r="AH382" s="36">
        <v>-18906</v>
      </c>
      <c r="AI382" s="20">
        <f t="shared" si="16"/>
        <v>-56974</v>
      </c>
      <c r="AJ382" s="20">
        <f t="shared" si="17"/>
        <v>15</v>
      </c>
    </row>
    <row r="383" spans="1:36" x14ac:dyDescent="0.2">
      <c r="A383" s="17" t="s">
        <v>4980</v>
      </c>
      <c r="B383" s="17">
        <v>38420</v>
      </c>
      <c r="Q383" s="20">
        <v>13570</v>
      </c>
      <c r="R383" s="20">
        <v>21550</v>
      </c>
      <c r="S383" s="20">
        <v>1838</v>
      </c>
      <c r="T383" s="20">
        <v>12910</v>
      </c>
      <c r="U383" s="20">
        <v>7465</v>
      </c>
      <c r="V383" s="20">
        <v>7</v>
      </c>
      <c r="W383" s="20">
        <f t="shared" si="15"/>
        <v>57340</v>
      </c>
      <c r="X383" s="36">
        <v>-35113</v>
      </c>
      <c r="Y383" s="36"/>
      <c r="Z383" s="36"/>
      <c r="AA383" s="36"/>
      <c r="AB383" s="36"/>
      <c r="AC383" s="36"/>
      <c r="AD383" s="36"/>
      <c r="AE383" s="36">
        <v>-7</v>
      </c>
      <c r="AF383" s="36">
        <v>-472</v>
      </c>
      <c r="AG383" s="36">
        <v>-2328</v>
      </c>
      <c r="AH383" s="36">
        <v>-19406</v>
      </c>
      <c r="AI383" s="20">
        <f t="shared" si="16"/>
        <v>-57326</v>
      </c>
      <c r="AJ383" s="20">
        <f t="shared" si="17"/>
        <v>14</v>
      </c>
    </row>
    <row r="384" spans="1:36" x14ac:dyDescent="0.2">
      <c r="A384" s="17" t="s">
        <v>4981</v>
      </c>
      <c r="B384" s="17">
        <v>38427</v>
      </c>
      <c r="Q384" s="20">
        <v>13370</v>
      </c>
      <c r="R384" s="20">
        <v>21870</v>
      </c>
      <c r="S384" s="20">
        <v>1838</v>
      </c>
      <c r="T384" s="20">
        <v>12875</v>
      </c>
      <c r="U384" s="20">
        <v>7889</v>
      </c>
      <c r="V384" s="20">
        <v>9</v>
      </c>
      <c r="W384" s="20">
        <f t="shared" si="15"/>
        <v>57851</v>
      </c>
      <c r="X384" s="36">
        <v>-35232</v>
      </c>
      <c r="Y384" s="36"/>
      <c r="Z384" s="36"/>
      <c r="AA384" s="36"/>
      <c r="AB384" s="36"/>
      <c r="AC384" s="36"/>
      <c r="AD384" s="36"/>
      <c r="AE384" s="36">
        <v>-8</v>
      </c>
      <c r="AF384" s="36">
        <v>-499</v>
      </c>
      <c r="AG384" s="36">
        <v>-2410</v>
      </c>
      <c r="AH384" s="36">
        <v>-19688</v>
      </c>
      <c r="AI384" s="20">
        <f t="shared" si="16"/>
        <v>-57837</v>
      </c>
      <c r="AJ384" s="20">
        <f t="shared" si="17"/>
        <v>14</v>
      </c>
    </row>
    <row r="385" spans="1:36" x14ac:dyDescent="0.2">
      <c r="A385" s="17" t="s">
        <v>4982</v>
      </c>
      <c r="B385" s="17">
        <v>38434</v>
      </c>
      <c r="Q385" s="20">
        <v>13370</v>
      </c>
      <c r="R385" s="20">
        <v>22930</v>
      </c>
      <c r="S385" s="20">
        <v>1838</v>
      </c>
      <c r="T385" s="20">
        <v>12490</v>
      </c>
      <c r="U385" s="20">
        <v>7916</v>
      </c>
      <c r="V385" s="20">
        <v>1</v>
      </c>
      <c r="W385" s="20">
        <f t="shared" si="15"/>
        <v>58545</v>
      </c>
      <c r="X385" s="36">
        <v>-36299</v>
      </c>
      <c r="Y385" s="36"/>
      <c r="Z385" s="36"/>
      <c r="AA385" s="36"/>
      <c r="AB385" s="36"/>
      <c r="AC385" s="36"/>
      <c r="AD385" s="36"/>
      <c r="AE385" s="36">
        <v>-1</v>
      </c>
      <c r="AF385" s="36">
        <v>-550</v>
      </c>
      <c r="AG385" s="36">
        <v>-1996</v>
      </c>
      <c r="AH385" s="36">
        <v>-19684</v>
      </c>
      <c r="AI385" s="20">
        <f t="shared" si="16"/>
        <v>-58530</v>
      </c>
      <c r="AJ385" s="20">
        <f t="shared" si="17"/>
        <v>15</v>
      </c>
    </row>
    <row r="386" spans="1:36" x14ac:dyDescent="0.2">
      <c r="A386" s="17" t="s">
        <v>4983</v>
      </c>
      <c r="B386" s="17">
        <v>38441</v>
      </c>
      <c r="Q386" s="20">
        <v>13370</v>
      </c>
      <c r="R386" s="20">
        <v>23480</v>
      </c>
      <c r="S386" s="20">
        <v>1838</v>
      </c>
      <c r="T386" s="20">
        <v>12790</v>
      </c>
      <c r="U386" s="20">
        <v>7895</v>
      </c>
      <c r="V386" s="20">
        <v>6</v>
      </c>
      <c r="W386" s="20">
        <f t="shared" si="15"/>
        <v>59379</v>
      </c>
      <c r="X386" s="36">
        <v>-36844</v>
      </c>
      <c r="Y386" s="36"/>
      <c r="Z386" s="36"/>
      <c r="AA386" s="36"/>
      <c r="AB386" s="36"/>
      <c r="AC386" s="36"/>
      <c r="AD386" s="36"/>
      <c r="AE386" s="36">
        <v>-6</v>
      </c>
      <c r="AF386" s="36">
        <v>-742</v>
      </c>
      <c r="AG386" s="36">
        <v>-2020</v>
      </c>
      <c r="AH386" s="36">
        <v>-19752</v>
      </c>
      <c r="AI386" s="20">
        <f t="shared" si="16"/>
        <v>-59364</v>
      </c>
      <c r="AJ386" s="20">
        <f t="shared" si="17"/>
        <v>15</v>
      </c>
    </row>
    <row r="387" spans="1:36" x14ac:dyDescent="0.2">
      <c r="A387" s="17" t="s">
        <v>4984</v>
      </c>
      <c r="B387" s="17">
        <v>38448</v>
      </c>
      <c r="Q387" s="20">
        <v>13370</v>
      </c>
      <c r="R387" s="20">
        <v>22460</v>
      </c>
      <c r="S387" s="20">
        <v>1869</v>
      </c>
      <c r="T387" s="20">
        <v>12662</v>
      </c>
      <c r="U387" s="20">
        <v>7593</v>
      </c>
      <c r="V387" s="20">
        <v>7</v>
      </c>
      <c r="W387" s="20">
        <f t="shared" si="15"/>
        <v>57961</v>
      </c>
      <c r="X387" s="36">
        <v>-35823</v>
      </c>
      <c r="Y387" s="36"/>
      <c r="Z387" s="36"/>
      <c r="AA387" s="36"/>
      <c r="AB387" s="36"/>
      <c r="AC387" s="36"/>
      <c r="AD387" s="36"/>
      <c r="AE387" s="36">
        <v>-7</v>
      </c>
      <c r="AF387" s="36">
        <v>-629</v>
      </c>
      <c r="AG387" s="36">
        <v>-1912</v>
      </c>
      <c r="AH387" s="36">
        <v>-19575</v>
      </c>
      <c r="AI387" s="20">
        <f t="shared" si="16"/>
        <v>-57946</v>
      </c>
      <c r="AJ387" s="20">
        <f t="shared" si="17"/>
        <v>15</v>
      </c>
    </row>
    <row r="388" spans="1:36" x14ac:dyDescent="0.2">
      <c r="A388" s="17" t="s">
        <v>4985</v>
      </c>
      <c r="B388" s="17">
        <v>38455</v>
      </c>
      <c r="Q388" s="20">
        <v>13370</v>
      </c>
      <c r="R388" s="20">
        <v>22110</v>
      </c>
      <c r="S388" s="20">
        <v>1868</v>
      </c>
      <c r="T388" s="20">
        <v>12526</v>
      </c>
      <c r="U388" s="20">
        <v>7817</v>
      </c>
      <c r="V388" s="20">
        <v>9</v>
      </c>
      <c r="W388" s="20">
        <f t="shared" si="15"/>
        <v>57700</v>
      </c>
      <c r="X388" s="36">
        <v>-35471</v>
      </c>
      <c r="Y388" s="36"/>
      <c r="Z388" s="36"/>
      <c r="AA388" s="36"/>
      <c r="AB388" s="36"/>
      <c r="AC388" s="36"/>
      <c r="AD388" s="36"/>
      <c r="AE388" s="36">
        <v>-9</v>
      </c>
      <c r="AF388" s="36">
        <v>-537</v>
      </c>
      <c r="AG388" s="36">
        <v>-1901</v>
      </c>
      <c r="AH388" s="36">
        <v>-19768</v>
      </c>
      <c r="AI388" s="20">
        <f t="shared" si="16"/>
        <v>-57686</v>
      </c>
      <c r="AJ388" s="20">
        <f t="shared" si="17"/>
        <v>14</v>
      </c>
    </row>
    <row r="389" spans="1:36" x14ac:dyDescent="0.2">
      <c r="A389" s="17" t="s">
        <v>4986</v>
      </c>
      <c r="B389" s="17">
        <v>38462</v>
      </c>
      <c r="Q389" s="20">
        <v>13370</v>
      </c>
      <c r="R389" s="20">
        <v>21920</v>
      </c>
      <c r="S389" s="20">
        <v>1749</v>
      </c>
      <c r="T389" s="20">
        <v>11723</v>
      </c>
      <c r="U389" s="20">
        <v>7980</v>
      </c>
      <c r="V389" s="20">
        <v>3</v>
      </c>
      <c r="W389" s="20">
        <f t="shared" si="15"/>
        <v>56745</v>
      </c>
      <c r="X389" s="36">
        <v>-35287</v>
      </c>
      <c r="Y389" s="36"/>
      <c r="Z389" s="36"/>
      <c r="AA389" s="36"/>
      <c r="AB389" s="36"/>
      <c r="AC389" s="36"/>
      <c r="AD389" s="36"/>
      <c r="AE389" s="36">
        <v>-3</v>
      </c>
      <c r="AF389" s="36">
        <v>-502</v>
      </c>
      <c r="AG389" s="36">
        <v>-1972</v>
      </c>
      <c r="AH389" s="36">
        <v>-18967</v>
      </c>
      <c r="AI389" s="20">
        <f t="shared" si="16"/>
        <v>-56731</v>
      </c>
      <c r="AJ389" s="20">
        <f t="shared" si="17"/>
        <v>14</v>
      </c>
    </row>
    <row r="390" spans="1:36" x14ac:dyDescent="0.2">
      <c r="A390" s="17" t="s">
        <v>4987</v>
      </c>
      <c r="B390" s="17">
        <v>38469</v>
      </c>
      <c r="Q390" s="20">
        <v>13370</v>
      </c>
      <c r="R390" s="20">
        <v>22220</v>
      </c>
      <c r="S390" s="20">
        <v>1780</v>
      </c>
      <c r="T390" s="20">
        <v>12439</v>
      </c>
      <c r="U390" s="20">
        <v>8137</v>
      </c>
      <c r="V390" s="20">
        <v>6</v>
      </c>
      <c r="W390" s="20">
        <f t="shared" si="15"/>
        <v>57952</v>
      </c>
      <c r="X390" s="36">
        <v>-35584</v>
      </c>
      <c r="Y390" s="36"/>
      <c r="Z390" s="36"/>
      <c r="AA390" s="36"/>
      <c r="AB390" s="36"/>
      <c r="AC390" s="36"/>
      <c r="AD390" s="36"/>
      <c r="AE390" s="36">
        <v>-6</v>
      </c>
      <c r="AF390" s="36">
        <v>-725</v>
      </c>
      <c r="AG390" s="36">
        <v>-1949</v>
      </c>
      <c r="AH390" s="36">
        <v>-19675</v>
      </c>
      <c r="AI390" s="20">
        <f t="shared" si="16"/>
        <v>-57939</v>
      </c>
      <c r="AJ390" s="20">
        <f t="shared" si="17"/>
        <v>13</v>
      </c>
    </row>
    <row r="391" spans="1:36" x14ac:dyDescent="0.2">
      <c r="A391" s="17" t="s">
        <v>4988</v>
      </c>
      <c r="B391" s="17">
        <v>38476</v>
      </c>
      <c r="Q391" s="20">
        <v>13370</v>
      </c>
      <c r="R391" s="20">
        <v>22860</v>
      </c>
      <c r="S391" s="20">
        <v>1780</v>
      </c>
      <c r="T391" s="20">
        <v>13300</v>
      </c>
      <c r="U391" s="20">
        <v>8399</v>
      </c>
      <c r="V391" s="20">
        <v>3</v>
      </c>
      <c r="W391" s="20">
        <f t="shared" ref="W391:W442" si="18">SUM(Q391:V391)</f>
        <v>59712</v>
      </c>
      <c r="X391" s="36">
        <v>-36227</v>
      </c>
      <c r="Y391" s="36"/>
      <c r="Z391" s="36"/>
      <c r="AA391" s="36"/>
      <c r="AB391" s="36"/>
      <c r="AC391" s="36"/>
      <c r="AD391" s="36"/>
      <c r="AE391" s="36">
        <v>-3</v>
      </c>
      <c r="AF391" s="36">
        <v>-1012</v>
      </c>
      <c r="AG391" s="36">
        <v>-1923</v>
      </c>
      <c r="AH391" s="36">
        <v>-20533</v>
      </c>
      <c r="AI391" s="20">
        <f t="shared" ref="AI391:AI442" si="19">SUM(X391,AE391:AH391)</f>
        <v>-59698</v>
      </c>
      <c r="AJ391" s="20">
        <f t="shared" ref="AJ391:AJ442" si="20">W391+AI391</f>
        <v>14</v>
      </c>
    </row>
    <row r="392" spans="1:36" x14ac:dyDescent="0.2">
      <c r="A392" s="17" t="s">
        <v>4989</v>
      </c>
      <c r="B392" s="17">
        <v>38483</v>
      </c>
      <c r="Q392" s="20">
        <v>13370</v>
      </c>
      <c r="R392" s="20">
        <v>22150</v>
      </c>
      <c r="S392" s="20">
        <v>1780</v>
      </c>
      <c r="T392" s="20">
        <v>14677</v>
      </c>
      <c r="U392" s="20">
        <v>7992</v>
      </c>
      <c r="V392" s="20">
        <v>7</v>
      </c>
      <c r="W392" s="20">
        <f t="shared" si="18"/>
        <v>59976</v>
      </c>
      <c r="X392" s="36">
        <v>-35513</v>
      </c>
      <c r="Y392" s="36"/>
      <c r="Z392" s="36"/>
      <c r="AA392" s="36"/>
      <c r="AB392" s="36"/>
      <c r="AC392" s="36"/>
      <c r="AD392" s="36"/>
      <c r="AE392" s="36">
        <v>-7</v>
      </c>
      <c r="AF392" s="36">
        <v>-504</v>
      </c>
      <c r="AG392" s="36">
        <v>-2031</v>
      </c>
      <c r="AH392" s="36">
        <v>-21905</v>
      </c>
      <c r="AI392" s="20">
        <f t="shared" si="19"/>
        <v>-59960</v>
      </c>
      <c r="AJ392" s="20">
        <f t="shared" si="20"/>
        <v>16</v>
      </c>
    </row>
    <row r="393" spans="1:36" x14ac:dyDescent="0.2">
      <c r="A393" s="17" t="s">
        <v>4990</v>
      </c>
      <c r="B393" s="17">
        <v>38490</v>
      </c>
      <c r="Q393" s="20">
        <v>13370</v>
      </c>
      <c r="R393" s="20">
        <v>22040</v>
      </c>
      <c r="S393" s="20">
        <v>1779</v>
      </c>
      <c r="T393" s="20">
        <v>14639</v>
      </c>
      <c r="U393" s="20">
        <v>8068</v>
      </c>
      <c r="V393" s="20">
        <v>1</v>
      </c>
      <c r="W393" s="20">
        <f t="shared" si="18"/>
        <v>59897</v>
      </c>
      <c r="X393" s="36">
        <v>-35409</v>
      </c>
      <c r="Y393" s="36"/>
      <c r="Z393" s="36"/>
      <c r="AA393" s="36"/>
      <c r="AB393" s="36"/>
      <c r="AC393" s="36"/>
      <c r="AD393" s="36"/>
      <c r="AE393" s="36">
        <v>-1</v>
      </c>
      <c r="AF393" s="36">
        <v>-535</v>
      </c>
      <c r="AG393" s="36">
        <v>-1941</v>
      </c>
      <c r="AH393" s="36">
        <v>-21997</v>
      </c>
      <c r="AI393" s="20">
        <f t="shared" si="19"/>
        <v>-59883</v>
      </c>
      <c r="AJ393" s="20">
        <f t="shared" si="20"/>
        <v>14</v>
      </c>
    </row>
    <row r="394" spans="1:36" x14ac:dyDescent="0.2">
      <c r="A394" s="17" t="s">
        <v>4991</v>
      </c>
      <c r="B394" s="17">
        <v>38497</v>
      </c>
      <c r="Q394" s="20">
        <v>13370</v>
      </c>
      <c r="R394" s="20">
        <v>22350</v>
      </c>
      <c r="S394" s="20">
        <v>1779</v>
      </c>
      <c r="T394" s="20">
        <v>14316</v>
      </c>
      <c r="U394" s="20">
        <v>8080</v>
      </c>
      <c r="V394" s="20">
        <v>1</v>
      </c>
      <c r="W394" s="20">
        <f t="shared" si="18"/>
        <v>59896</v>
      </c>
      <c r="X394" s="36">
        <v>-35719</v>
      </c>
      <c r="Y394" s="36"/>
      <c r="Z394" s="36"/>
      <c r="AA394" s="36"/>
      <c r="AB394" s="36"/>
      <c r="AC394" s="36"/>
      <c r="AD394" s="36"/>
      <c r="AE394" s="36">
        <v>-1</v>
      </c>
      <c r="AF394" s="36">
        <v>-541</v>
      </c>
      <c r="AG394" s="36">
        <v>-1900</v>
      </c>
      <c r="AH394" s="36">
        <v>-21720</v>
      </c>
      <c r="AI394" s="20">
        <f t="shared" si="19"/>
        <v>-59881</v>
      </c>
      <c r="AJ394" s="20">
        <f t="shared" si="20"/>
        <v>15</v>
      </c>
    </row>
    <row r="395" spans="1:36" x14ac:dyDescent="0.2">
      <c r="A395" s="17" t="s">
        <v>4992</v>
      </c>
      <c r="B395" s="17">
        <v>38504</v>
      </c>
      <c r="Q395" s="20">
        <v>13370</v>
      </c>
      <c r="R395" s="20">
        <v>23180</v>
      </c>
      <c r="S395" s="20">
        <v>1810</v>
      </c>
      <c r="T395" s="20">
        <v>14501</v>
      </c>
      <c r="U395" s="20">
        <v>8490</v>
      </c>
      <c r="V395" s="20">
        <v>7</v>
      </c>
      <c r="W395" s="20">
        <f t="shared" si="18"/>
        <v>61358</v>
      </c>
      <c r="X395" s="36">
        <v>-36543</v>
      </c>
      <c r="Y395" s="36"/>
      <c r="Z395" s="36"/>
      <c r="AA395" s="36"/>
      <c r="AB395" s="36"/>
      <c r="AC395" s="36"/>
      <c r="AD395" s="36"/>
      <c r="AE395" s="36">
        <v>-7</v>
      </c>
      <c r="AF395" s="36">
        <v>-1006</v>
      </c>
      <c r="AG395" s="36">
        <v>-1973</v>
      </c>
      <c r="AH395" s="36">
        <v>-21814</v>
      </c>
      <c r="AI395" s="20">
        <f t="shared" si="19"/>
        <v>-61343</v>
      </c>
      <c r="AJ395" s="20">
        <f t="shared" si="20"/>
        <v>15</v>
      </c>
    </row>
    <row r="396" spans="1:36" x14ac:dyDescent="0.2">
      <c r="A396" s="17" t="s">
        <v>4993</v>
      </c>
      <c r="B396" s="17">
        <v>38511</v>
      </c>
      <c r="Q396" s="20">
        <v>13370</v>
      </c>
      <c r="R396" s="20">
        <v>22550</v>
      </c>
      <c r="S396" s="20">
        <v>1810</v>
      </c>
      <c r="T396" s="20">
        <v>14572</v>
      </c>
      <c r="U396" s="20">
        <v>7924</v>
      </c>
      <c r="V396" s="20">
        <v>6</v>
      </c>
      <c r="W396" s="20">
        <f t="shared" si="18"/>
        <v>60232</v>
      </c>
      <c r="X396" s="36">
        <v>-35914</v>
      </c>
      <c r="Y396" s="36"/>
      <c r="Z396" s="36"/>
      <c r="AA396" s="36"/>
      <c r="AB396" s="36"/>
      <c r="AC396" s="36"/>
      <c r="AD396" s="36"/>
      <c r="AE396" s="36">
        <v>-6</v>
      </c>
      <c r="AF396" s="36">
        <v>-500</v>
      </c>
      <c r="AG396" s="36">
        <v>-2041</v>
      </c>
      <c r="AH396" s="36">
        <v>-21755</v>
      </c>
      <c r="AI396" s="20">
        <f t="shared" si="19"/>
        <v>-60216</v>
      </c>
      <c r="AJ396" s="20">
        <f t="shared" si="20"/>
        <v>16</v>
      </c>
    </row>
    <row r="397" spans="1:36" x14ac:dyDescent="0.2">
      <c r="A397" s="17" t="s">
        <v>4994</v>
      </c>
      <c r="B397" s="17">
        <v>38518</v>
      </c>
      <c r="Q397" s="20">
        <v>13370</v>
      </c>
      <c r="R397" s="20">
        <v>22360</v>
      </c>
      <c r="S397" s="20">
        <v>1809</v>
      </c>
      <c r="T397" s="20">
        <v>14769</v>
      </c>
      <c r="U397" s="20">
        <v>7849</v>
      </c>
      <c r="V397" s="20">
        <v>8</v>
      </c>
      <c r="W397" s="20">
        <f t="shared" si="18"/>
        <v>60165</v>
      </c>
      <c r="X397" s="36">
        <v>-35722</v>
      </c>
      <c r="Y397" s="36"/>
      <c r="Z397" s="36"/>
      <c r="AA397" s="36"/>
      <c r="AB397" s="36"/>
      <c r="AC397" s="36"/>
      <c r="AD397" s="36"/>
      <c r="AE397" s="36">
        <v>-8</v>
      </c>
      <c r="AF397" s="36">
        <v>-491</v>
      </c>
      <c r="AG397" s="36">
        <v>-2003</v>
      </c>
      <c r="AH397" s="36">
        <v>-21927</v>
      </c>
      <c r="AI397" s="20">
        <f t="shared" si="19"/>
        <v>-60151</v>
      </c>
      <c r="AJ397" s="20">
        <f t="shared" si="20"/>
        <v>14</v>
      </c>
    </row>
    <row r="398" spans="1:36" x14ac:dyDescent="0.2">
      <c r="A398" s="17" t="s">
        <v>4995</v>
      </c>
      <c r="B398" s="17">
        <v>38525</v>
      </c>
      <c r="Q398" s="20">
        <v>13370</v>
      </c>
      <c r="R398" s="20">
        <v>22470</v>
      </c>
      <c r="S398" s="20">
        <v>1809</v>
      </c>
      <c r="T398" s="20">
        <v>15422</v>
      </c>
      <c r="U398" s="20">
        <v>7874</v>
      </c>
      <c r="V398" s="20">
        <v>5</v>
      </c>
      <c r="W398" s="20">
        <f t="shared" si="18"/>
        <v>60950</v>
      </c>
      <c r="X398" s="36">
        <v>-35835</v>
      </c>
      <c r="Y398" s="36"/>
      <c r="Z398" s="36"/>
      <c r="AA398" s="36"/>
      <c r="AB398" s="36"/>
      <c r="AC398" s="36"/>
      <c r="AD398" s="36"/>
      <c r="AE398" s="36">
        <v>-5</v>
      </c>
      <c r="AF398" s="36">
        <v>-1132</v>
      </c>
      <c r="AG398" s="36">
        <v>-2618</v>
      </c>
      <c r="AH398" s="36">
        <v>-21346</v>
      </c>
      <c r="AI398" s="20">
        <f t="shared" si="19"/>
        <v>-60936</v>
      </c>
      <c r="AJ398" s="20">
        <f t="shared" si="20"/>
        <v>14</v>
      </c>
    </row>
    <row r="399" spans="1:36" x14ac:dyDescent="0.2">
      <c r="A399" s="17" t="s">
        <v>4996</v>
      </c>
      <c r="B399" s="17">
        <v>38532</v>
      </c>
      <c r="Q399" s="20">
        <v>13370</v>
      </c>
      <c r="R399" s="20">
        <v>22680</v>
      </c>
      <c r="S399" s="20">
        <v>1840</v>
      </c>
      <c r="T399" s="20">
        <v>14961</v>
      </c>
      <c r="U399" s="20">
        <v>8172</v>
      </c>
      <c r="V399" s="20">
        <v>4</v>
      </c>
      <c r="W399" s="20">
        <f t="shared" si="18"/>
        <v>61027</v>
      </c>
      <c r="X399" s="36">
        <v>-36046</v>
      </c>
      <c r="Y399" s="36"/>
      <c r="Z399" s="36"/>
      <c r="AA399" s="36"/>
      <c r="AB399" s="36"/>
      <c r="AC399" s="36"/>
      <c r="AD399" s="36"/>
      <c r="AE399" s="36">
        <v>-4</v>
      </c>
      <c r="AF399" s="36">
        <v>-692</v>
      </c>
      <c r="AG399" s="36">
        <v>-1972</v>
      </c>
      <c r="AH399" s="36">
        <v>-22299</v>
      </c>
      <c r="AI399" s="20">
        <f t="shared" si="19"/>
        <v>-61013</v>
      </c>
      <c r="AJ399" s="20">
        <f t="shared" si="20"/>
        <v>14</v>
      </c>
    </row>
    <row r="400" spans="1:36" x14ac:dyDescent="0.2">
      <c r="A400" s="17" t="s">
        <v>4997</v>
      </c>
      <c r="B400" s="17">
        <v>38539</v>
      </c>
      <c r="Q400" s="20">
        <v>13370</v>
      </c>
      <c r="R400" s="20">
        <v>22710</v>
      </c>
      <c r="S400" s="20">
        <v>1840</v>
      </c>
      <c r="T400" s="20">
        <v>14067</v>
      </c>
      <c r="U400" s="20">
        <v>8027</v>
      </c>
      <c r="V400" s="20">
        <v>2</v>
      </c>
      <c r="W400" s="20">
        <f t="shared" si="18"/>
        <v>60016</v>
      </c>
      <c r="X400" s="36">
        <v>-36078</v>
      </c>
      <c r="Y400" s="36"/>
      <c r="Z400" s="36"/>
      <c r="AA400" s="36"/>
      <c r="AB400" s="36"/>
      <c r="AC400" s="36"/>
      <c r="AD400" s="36"/>
      <c r="AE400" s="36">
        <v>-2</v>
      </c>
      <c r="AF400" s="36">
        <v>-519</v>
      </c>
      <c r="AG400" s="36">
        <v>-2079</v>
      </c>
      <c r="AH400" s="36">
        <v>-21323</v>
      </c>
      <c r="AI400" s="20">
        <f t="shared" si="19"/>
        <v>-60001</v>
      </c>
      <c r="AJ400" s="20">
        <f t="shared" si="20"/>
        <v>15</v>
      </c>
    </row>
    <row r="401" spans="1:36" x14ac:dyDescent="0.2">
      <c r="A401" s="17" t="s">
        <v>4998</v>
      </c>
      <c r="B401" s="17">
        <v>38546</v>
      </c>
      <c r="Q401" s="20">
        <v>13370</v>
      </c>
      <c r="R401" s="20">
        <v>23030</v>
      </c>
      <c r="S401" s="20">
        <v>1839</v>
      </c>
      <c r="T401" s="20">
        <v>14601</v>
      </c>
      <c r="U401" s="20">
        <v>8055</v>
      </c>
      <c r="V401" s="20">
        <v>9</v>
      </c>
      <c r="W401" s="20">
        <f t="shared" si="18"/>
        <v>60904</v>
      </c>
      <c r="X401" s="36">
        <v>-36391</v>
      </c>
      <c r="Y401" s="36"/>
      <c r="Z401" s="36"/>
      <c r="AA401" s="36"/>
      <c r="AB401" s="36"/>
      <c r="AC401" s="36"/>
      <c r="AD401" s="36"/>
      <c r="AE401" s="36">
        <v>-9</v>
      </c>
      <c r="AF401" s="36">
        <v>-461</v>
      </c>
      <c r="AG401" s="36">
        <v>-2087</v>
      </c>
      <c r="AH401" s="36">
        <v>-21941</v>
      </c>
      <c r="AI401" s="20">
        <f t="shared" si="19"/>
        <v>-60889</v>
      </c>
      <c r="AJ401" s="20">
        <f t="shared" si="20"/>
        <v>15</v>
      </c>
    </row>
    <row r="402" spans="1:36" x14ac:dyDescent="0.2">
      <c r="A402" s="17" t="s">
        <v>4999</v>
      </c>
      <c r="B402" s="17">
        <v>38553</v>
      </c>
      <c r="Q402" s="20">
        <v>13370</v>
      </c>
      <c r="R402" s="20">
        <v>23060</v>
      </c>
      <c r="S402" s="20">
        <v>1839</v>
      </c>
      <c r="T402" s="20">
        <v>13381</v>
      </c>
      <c r="U402" s="20">
        <v>8101</v>
      </c>
      <c r="V402" s="20">
        <v>6</v>
      </c>
      <c r="W402" s="20">
        <f t="shared" si="18"/>
        <v>59757</v>
      </c>
      <c r="X402" s="36">
        <v>-36424</v>
      </c>
      <c r="Y402" s="36"/>
      <c r="Z402" s="36"/>
      <c r="AA402" s="36"/>
      <c r="AB402" s="36"/>
      <c r="AC402" s="36"/>
      <c r="AD402" s="36"/>
      <c r="AE402" s="36">
        <v>-6</v>
      </c>
      <c r="AF402" s="36">
        <v>-501</v>
      </c>
      <c r="AG402" s="36">
        <v>-2062</v>
      </c>
      <c r="AH402" s="36">
        <v>-20750</v>
      </c>
      <c r="AI402" s="20">
        <f t="shared" si="19"/>
        <v>-59743</v>
      </c>
      <c r="AJ402" s="20">
        <f t="shared" si="20"/>
        <v>14</v>
      </c>
    </row>
    <row r="403" spans="1:36" x14ac:dyDescent="0.2">
      <c r="A403" s="17" t="s">
        <v>5000</v>
      </c>
      <c r="B403" s="17">
        <v>38560</v>
      </c>
      <c r="Q403" s="20">
        <v>13370</v>
      </c>
      <c r="R403" s="20">
        <v>23330</v>
      </c>
      <c r="S403" s="20">
        <v>1870</v>
      </c>
      <c r="T403" s="20">
        <v>13887</v>
      </c>
      <c r="U403" s="20">
        <v>8283</v>
      </c>
      <c r="V403" s="20">
        <v>5</v>
      </c>
      <c r="W403" s="20">
        <f t="shared" si="18"/>
        <v>60745</v>
      </c>
      <c r="X403" s="36">
        <v>-36696</v>
      </c>
      <c r="Y403" s="36"/>
      <c r="Z403" s="36"/>
      <c r="AA403" s="36"/>
      <c r="AB403" s="36"/>
      <c r="AC403" s="36"/>
      <c r="AD403" s="36"/>
      <c r="AE403" s="36">
        <v>-4</v>
      </c>
      <c r="AF403" s="36">
        <v>-754</v>
      </c>
      <c r="AG403" s="36">
        <v>-2304</v>
      </c>
      <c r="AH403" s="36">
        <v>-20971</v>
      </c>
      <c r="AI403" s="20">
        <f t="shared" si="19"/>
        <v>-60729</v>
      </c>
      <c r="AJ403" s="20">
        <f t="shared" si="20"/>
        <v>16</v>
      </c>
    </row>
    <row r="404" spans="1:36" x14ac:dyDescent="0.2">
      <c r="A404" s="17" t="s">
        <v>5001</v>
      </c>
      <c r="B404" s="17">
        <v>38567</v>
      </c>
      <c r="Q404" s="20">
        <v>13370</v>
      </c>
      <c r="R404" s="20">
        <v>23320</v>
      </c>
      <c r="S404" s="20">
        <v>1870</v>
      </c>
      <c r="T404" s="20">
        <v>13430</v>
      </c>
      <c r="U404" s="20">
        <v>8255</v>
      </c>
      <c r="V404" s="20">
        <v>8</v>
      </c>
      <c r="W404" s="20">
        <f t="shared" si="18"/>
        <v>60253</v>
      </c>
      <c r="X404" s="36">
        <v>-36682</v>
      </c>
      <c r="Y404" s="36"/>
      <c r="Z404" s="36"/>
      <c r="AA404" s="36"/>
      <c r="AB404" s="36"/>
      <c r="AC404" s="36"/>
      <c r="AD404" s="36"/>
      <c r="AE404" s="36">
        <v>-8</v>
      </c>
      <c r="AF404" s="36">
        <v>-740</v>
      </c>
      <c r="AG404" s="36">
        <v>-2309</v>
      </c>
      <c r="AH404" s="36">
        <v>-20500</v>
      </c>
      <c r="AI404" s="20">
        <f t="shared" si="19"/>
        <v>-60239</v>
      </c>
      <c r="AJ404" s="20">
        <f t="shared" si="20"/>
        <v>14</v>
      </c>
    </row>
    <row r="405" spans="1:36" x14ac:dyDescent="0.2">
      <c r="A405" s="17" t="s">
        <v>5002</v>
      </c>
      <c r="B405" s="17">
        <v>38574</v>
      </c>
      <c r="Q405" s="20">
        <v>13370</v>
      </c>
      <c r="R405" s="20">
        <v>23220</v>
      </c>
      <c r="S405" s="20">
        <v>1869</v>
      </c>
      <c r="T405" s="20">
        <v>14418</v>
      </c>
      <c r="U405" s="20">
        <v>7992</v>
      </c>
      <c r="V405" s="20">
        <v>3</v>
      </c>
      <c r="W405" s="20">
        <f t="shared" si="18"/>
        <v>60872</v>
      </c>
      <c r="X405" s="36">
        <v>-36587</v>
      </c>
      <c r="Y405" s="36"/>
      <c r="Z405" s="36"/>
      <c r="AA405" s="36"/>
      <c r="AB405" s="36"/>
      <c r="AC405" s="36"/>
      <c r="AD405" s="36"/>
      <c r="AE405" s="36">
        <v>-3</v>
      </c>
      <c r="AF405" s="36">
        <v>-531</v>
      </c>
      <c r="AG405" s="36">
        <v>-2563</v>
      </c>
      <c r="AH405" s="36">
        <v>-21173</v>
      </c>
      <c r="AI405" s="20">
        <f t="shared" si="19"/>
        <v>-60857</v>
      </c>
      <c r="AJ405" s="20">
        <f t="shared" si="20"/>
        <v>15</v>
      </c>
    </row>
    <row r="406" spans="1:36" x14ac:dyDescent="0.2">
      <c r="A406" s="17" t="s">
        <v>5003</v>
      </c>
      <c r="B406" s="17">
        <v>38581</v>
      </c>
      <c r="Q406" s="20">
        <v>13370</v>
      </c>
      <c r="R406" s="20">
        <v>23240</v>
      </c>
      <c r="S406" s="20">
        <v>1869</v>
      </c>
      <c r="T406" s="20">
        <v>13862</v>
      </c>
      <c r="U406" s="20">
        <v>7949</v>
      </c>
      <c r="V406" s="20">
        <v>5</v>
      </c>
      <c r="W406" s="20">
        <f t="shared" si="18"/>
        <v>60295</v>
      </c>
      <c r="X406" s="36">
        <v>-36605</v>
      </c>
      <c r="Y406" s="36"/>
      <c r="Z406" s="36"/>
      <c r="AA406" s="36"/>
      <c r="AB406" s="36"/>
      <c r="AC406" s="36"/>
      <c r="AD406" s="36"/>
      <c r="AE406" s="36">
        <v>-5</v>
      </c>
      <c r="AF406" s="36">
        <v>-498</v>
      </c>
      <c r="AG406" s="36">
        <v>-2587</v>
      </c>
      <c r="AH406" s="36">
        <v>-20586</v>
      </c>
      <c r="AI406" s="20">
        <f t="shared" si="19"/>
        <v>-60281</v>
      </c>
      <c r="AJ406" s="20">
        <f t="shared" si="20"/>
        <v>14</v>
      </c>
    </row>
    <row r="407" spans="1:36" x14ac:dyDescent="0.2">
      <c r="A407" s="17" t="s">
        <v>5004</v>
      </c>
      <c r="B407" s="17">
        <v>38588</v>
      </c>
      <c r="Q407" s="20">
        <v>13370</v>
      </c>
      <c r="R407" s="20">
        <v>23570</v>
      </c>
      <c r="S407" s="20">
        <v>1869</v>
      </c>
      <c r="T407" s="20">
        <v>13346</v>
      </c>
      <c r="U407" s="20">
        <v>8000</v>
      </c>
      <c r="V407" s="20">
        <v>6</v>
      </c>
      <c r="W407" s="20">
        <f t="shared" si="18"/>
        <v>60161</v>
      </c>
      <c r="X407" s="36">
        <v>-36934</v>
      </c>
      <c r="Y407" s="36"/>
      <c r="Z407" s="36"/>
      <c r="AA407" s="36"/>
      <c r="AB407" s="36"/>
      <c r="AC407" s="36"/>
      <c r="AD407" s="36"/>
      <c r="AE407" s="36">
        <v>-6</v>
      </c>
      <c r="AF407" s="36">
        <v>-542</v>
      </c>
      <c r="AG407" s="36">
        <v>-2544</v>
      </c>
      <c r="AH407" s="36">
        <v>-20120</v>
      </c>
      <c r="AI407" s="20">
        <f t="shared" si="19"/>
        <v>-60146</v>
      </c>
      <c r="AJ407" s="20">
        <f t="shared" si="20"/>
        <v>15</v>
      </c>
    </row>
    <row r="408" spans="1:36" x14ac:dyDescent="0.2">
      <c r="A408" s="17" t="s">
        <v>5005</v>
      </c>
      <c r="B408" s="17">
        <v>38595</v>
      </c>
      <c r="Q408" s="20">
        <v>13370</v>
      </c>
      <c r="R408" s="20">
        <v>24430</v>
      </c>
      <c r="S408" s="20">
        <v>1900</v>
      </c>
      <c r="T408" s="20">
        <v>13816</v>
      </c>
      <c r="U408" s="20">
        <v>8395</v>
      </c>
      <c r="V408" s="20">
        <v>9</v>
      </c>
      <c r="W408" s="20">
        <f t="shared" si="18"/>
        <v>61920</v>
      </c>
      <c r="X408" s="36">
        <v>-37791</v>
      </c>
      <c r="Y408" s="36"/>
      <c r="Z408" s="36"/>
      <c r="AA408" s="36"/>
      <c r="AB408" s="36"/>
      <c r="AC408" s="36"/>
      <c r="AD408" s="36"/>
      <c r="AE408" s="36">
        <v>-9</v>
      </c>
      <c r="AF408" s="36">
        <v>-964</v>
      </c>
      <c r="AG408" s="36">
        <v>-2559</v>
      </c>
      <c r="AH408" s="36">
        <v>-20583</v>
      </c>
      <c r="AI408" s="20">
        <f t="shared" si="19"/>
        <v>-61906</v>
      </c>
      <c r="AJ408" s="20">
        <f t="shared" si="20"/>
        <v>14</v>
      </c>
    </row>
    <row r="409" spans="1:36" x14ac:dyDescent="0.2">
      <c r="A409" s="17" t="s">
        <v>5006</v>
      </c>
      <c r="B409" s="17">
        <v>38602</v>
      </c>
      <c r="Q409" s="20">
        <v>13370</v>
      </c>
      <c r="R409" s="20">
        <v>23470</v>
      </c>
      <c r="S409" s="20">
        <v>1899</v>
      </c>
      <c r="T409" s="20">
        <v>13492</v>
      </c>
      <c r="U409" s="20">
        <v>7908</v>
      </c>
      <c r="V409" s="20">
        <v>7</v>
      </c>
      <c r="W409" s="20">
        <f t="shared" si="18"/>
        <v>60146</v>
      </c>
      <c r="X409" s="36">
        <v>-36833</v>
      </c>
      <c r="Y409" s="36"/>
      <c r="Z409" s="36"/>
      <c r="AA409" s="36"/>
      <c r="AB409" s="36"/>
      <c r="AC409" s="36"/>
      <c r="AD409" s="36"/>
      <c r="AE409" s="36">
        <v>-7</v>
      </c>
      <c r="AF409" s="36">
        <v>-578</v>
      </c>
      <c r="AG409" s="36">
        <v>-2655</v>
      </c>
      <c r="AH409" s="36">
        <v>-20059</v>
      </c>
      <c r="AI409" s="20">
        <f t="shared" si="19"/>
        <v>-60132</v>
      </c>
      <c r="AJ409" s="20">
        <f t="shared" si="20"/>
        <v>14</v>
      </c>
    </row>
    <row r="410" spans="1:36" x14ac:dyDescent="0.2">
      <c r="A410" s="17" t="s">
        <v>5007</v>
      </c>
      <c r="B410" s="17">
        <v>38609</v>
      </c>
      <c r="Q410" s="20">
        <v>13370</v>
      </c>
      <c r="R410" s="20">
        <v>23290</v>
      </c>
      <c r="S410" s="20">
        <v>1899</v>
      </c>
      <c r="T410" s="20">
        <v>14705</v>
      </c>
      <c r="U410" s="20">
        <v>7931</v>
      </c>
      <c r="V410" s="20">
        <v>5</v>
      </c>
      <c r="W410" s="20">
        <f t="shared" si="18"/>
        <v>61200</v>
      </c>
      <c r="X410" s="36">
        <v>-36655</v>
      </c>
      <c r="Y410" s="36"/>
      <c r="Z410" s="36"/>
      <c r="AA410" s="36"/>
      <c r="AB410" s="36"/>
      <c r="AC410" s="36"/>
      <c r="AD410" s="36"/>
      <c r="AE410" s="36">
        <v>-5</v>
      </c>
      <c r="AF410" s="36">
        <v>-599</v>
      </c>
      <c r="AG410" s="36">
        <v>-2761</v>
      </c>
      <c r="AH410" s="36">
        <v>-21166</v>
      </c>
      <c r="AI410" s="20">
        <f t="shared" si="19"/>
        <v>-61186</v>
      </c>
      <c r="AJ410" s="20">
        <f t="shared" si="20"/>
        <v>14</v>
      </c>
    </row>
    <row r="411" spans="1:36" x14ac:dyDescent="0.2">
      <c r="A411" s="17" t="s">
        <v>5008</v>
      </c>
      <c r="B411" s="17">
        <v>38616</v>
      </c>
      <c r="Q411" s="20">
        <v>13370</v>
      </c>
      <c r="R411" s="20">
        <v>23180</v>
      </c>
      <c r="S411" s="20">
        <v>1899</v>
      </c>
      <c r="T411" s="20">
        <v>14816</v>
      </c>
      <c r="U411" s="20">
        <v>7896</v>
      </c>
      <c r="V411" s="20">
        <v>7</v>
      </c>
      <c r="W411" s="20">
        <f t="shared" si="18"/>
        <v>61168</v>
      </c>
      <c r="X411" s="36">
        <v>-36543</v>
      </c>
      <c r="Y411" s="36"/>
      <c r="Z411" s="36"/>
      <c r="AA411" s="36"/>
      <c r="AB411" s="36"/>
      <c r="AC411" s="36"/>
      <c r="AD411" s="36"/>
      <c r="AE411" s="36">
        <v>-7</v>
      </c>
      <c r="AF411" s="36">
        <v>-538</v>
      </c>
      <c r="AG411" s="36">
        <v>-2609</v>
      </c>
      <c r="AH411" s="36">
        <v>-21455</v>
      </c>
      <c r="AI411" s="20">
        <f t="shared" si="19"/>
        <v>-61152</v>
      </c>
      <c r="AJ411" s="20">
        <f t="shared" si="20"/>
        <v>16</v>
      </c>
    </row>
    <row r="412" spans="1:36" x14ac:dyDescent="0.2">
      <c r="A412" s="17" t="s">
        <v>5009</v>
      </c>
      <c r="B412" s="17">
        <v>38623</v>
      </c>
      <c r="Q412" s="20">
        <v>13370</v>
      </c>
      <c r="R412" s="20">
        <v>23250</v>
      </c>
      <c r="S412" s="20">
        <v>1898</v>
      </c>
      <c r="T412" s="20">
        <v>14497</v>
      </c>
      <c r="U412" s="20">
        <v>8122</v>
      </c>
      <c r="V412" s="20">
        <v>1</v>
      </c>
      <c r="W412" s="20">
        <f t="shared" si="18"/>
        <v>61138</v>
      </c>
      <c r="X412" s="36">
        <v>-36619</v>
      </c>
      <c r="Y412" s="36"/>
      <c r="Z412" s="36"/>
      <c r="AA412" s="36"/>
      <c r="AB412" s="36"/>
      <c r="AC412" s="36"/>
      <c r="AD412" s="36"/>
      <c r="AE412" s="36">
        <v>-1</v>
      </c>
      <c r="AF412" s="36">
        <v>-717</v>
      </c>
      <c r="AG412" s="36">
        <v>-2591</v>
      </c>
      <c r="AH412" s="36">
        <v>-21195</v>
      </c>
      <c r="AI412" s="20">
        <f t="shared" si="19"/>
        <v>-61123</v>
      </c>
      <c r="AJ412" s="20">
        <f t="shared" si="20"/>
        <v>15</v>
      </c>
    </row>
    <row r="413" spans="1:36" x14ac:dyDescent="0.2">
      <c r="A413" s="17" t="s">
        <v>5010</v>
      </c>
      <c r="B413" s="17">
        <v>38630</v>
      </c>
      <c r="Q413" s="20">
        <v>13370</v>
      </c>
      <c r="R413" s="20">
        <v>23270</v>
      </c>
      <c r="S413" s="20">
        <v>1929</v>
      </c>
      <c r="T413" s="20">
        <v>14671</v>
      </c>
      <c r="U413" s="20">
        <v>7841</v>
      </c>
      <c r="V413" s="20">
        <v>8</v>
      </c>
      <c r="W413" s="20">
        <f t="shared" si="18"/>
        <v>61089</v>
      </c>
      <c r="X413" s="36">
        <v>-36632</v>
      </c>
      <c r="Y413" s="36"/>
      <c r="Z413" s="36"/>
      <c r="AA413" s="36"/>
      <c r="AB413" s="36"/>
      <c r="AC413" s="36"/>
      <c r="AD413" s="36"/>
      <c r="AE413" s="36">
        <v>-8</v>
      </c>
      <c r="AF413" s="36">
        <v>-583</v>
      </c>
      <c r="AG413" s="36">
        <v>-2631</v>
      </c>
      <c r="AH413" s="36">
        <v>-21221</v>
      </c>
      <c r="AI413" s="20">
        <f t="shared" si="19"/>
        <v>-61075</v>
      </c>
      <c r="AJ413" s="20">
        <f t="shared" si="20"/>
        <v>14</v>
      </c>
    </row>
    <row r="414" spans="1:36" x14ac:dyDescent="0.2">
      <c r="A414" s="17" t="s">
        <v>5011</v>
      </c>
      <c r="B414" s="17">
        <v>38637</v>
      </c>
      <c r="Q414" s="20">
        <v>13370</v>
      </c>
      <c r="R414" s="20">
        <v>23150</v>
      </c>
      <c r="S414" s="20">
        <v>1929</v>
      </c>
      <c r="T414" s="20">
        <v>15645</v>
      </c>
      <c r="U414" s="20">
        <v>7813</v>
      </c>
      <c r="V414" s="20">
        <v>4</v>
      </c>
      <c r="W414" s="20">
        <f t="shared" si="18"/>
        <v>61911</v>
      </c>
      <c r="X414" s="36">
        <v>-36516</v>
      </c>
      <c r="Y414" s="36"/>
      <c r="Z414" s="36"/>
      <c r="AA414" s="36"/>
      <c r="AB414" s="36"/>
      <c r="AC414" s="36"/>
      <c r="AD414" s="36"/>
      <c r="AE414" s="36">
        <v>-4</v>
      </c>
      <c r="AF414" s="36">
        <v>-501</v>
      </c>
      <c r="AG414" s="36">
        <v>-2694</v>
      </c>
      <c r="AH414" s="36">
        <v>-22182</v>
      </c>
      <c r="AI414" s="20">
        <f t="shared" si="19"/>
        <v>-61897</v>
      </c>
      <c r="AJ414" s="20">
        <f t="shared" si="20"/>
        <v>14</v>
      </c>
    </row>
    <row r="415" spans="1:36" x14ac:dyDescent="0.2">
      <c r="A415" s="17" t="s">
        <v>5012</v>
      </c>
      <c r="B415" s="17">
        <v>38644</v>
      </c>
      <c r="Q415" s="20">
        <v>13370</v>
      </c>
      <c r="R415" s="20">
        <v>23110</v>
      </c>
      <c r="S415" s="20">
        <v>1929</v>
      </c>
      <c r="T415" s="20">
        <v>15042</v>
      </c>
      <c r="U415" s="20">
        <v>7619</v>
      </c>
      <c r="V415" s="20">
        <v>7</v>
      </c>
      <c r="W415" s="20">
        <f t="shared" si="18"/>
        <v>61077</v>
      </c>
      <c r="X415" s="36">
        <v>-36473</v>
      </c>
      <c r="Y415" s="36"/>
      <c r="Z415" s="36"/>
      <c r="AA415" s="36"/>
      <c r="AB415" s="36"/>
      <c r="AC415" s="36"/>
      <c r="AD415" s="36"/>
      <c r="AE415" s="36">
        <v>-7</v>
      </c>
      <c r="AF415" s="36">
        <v>-483</v>
      </c>
      <c r="AG415" s="36">
        <v>-2781</v>
      </c>
      <c r="AH415" s="36">
        <v>-21317</v>
      </c>
      <c r="AI415" s="20">
        <f t="shared" si="19"/>
        <v>-61061</v>
      </c>
      <c r="AJ415" s="20">
        <f t="shared" si="20"/>
        <v>16</v>
      </c>
    </row>
    <row r="416" spans="1:36" x14ac:dyDescent="0.2">
      <c r="A416" s="17" t="s">
        <v>5013</v>
      </c>
      <c r="B416" s="17">
        <v>38651</v>
      </c>
      <c r="Q416" s="20">
        <v>13370</v>
      </c>
      <c r="R416" s="20">
        <v>23260</v>
      </c>
      <c r="S416" s="20">
        <v>2052</v>
      </c>
      <c r="T416" s="20">
        <v>14913</v>
      </c>
      <c r="U416" s="20">
        <v>8246</v>
      </c>
      <c r="V416" s="20">
        <v>10</v>
      </c>
      <c r="W416" s="20">
        <f t="shared" si="18"/>
        <v>61851</v>
      </c>
      <c r="X416" s="36">
        <v>-36620</v>
      </c>
      <c r="Y416" s="36"/>
      <c r="Z416" s="36"/>
      <c r="AA416" s="36"/>
      <c r="AB416" s="36"/>
      <c r="AC416" s="36"/>
      <c r="AD416" s="36"/>
      <c r="AE416" s="36">
        <v>-10</v>
      </c>
      <c r="AF416" s="36">
        <v>-625</v>
      </c>
      <c r="AG416" s="36">
        <v>-2780</v>
      </c>
      <c r="AH416" s="36">
        <v>-21801</v>
      </c>
      <c r="AI416" s="20">
        <f t="shared" si="19"/>
        <v>-61836</v>
      </c>
      <c r="AJ416" s="20">
        <f t="shared" si="20"/>
        <v>15</v>
      </c>
    </row>
    <row r="417" spans="1:36" x14ac:dyDescent="0.2">
      <c r="A417" s="17" t="s">
        <v>5014</v>
      </c>
      <c r="B417" s="17">
        <v>38658</v>
      </c>
      <c r="Q417" s="20">
        <v>13370</v>
      </c>
      <c r="R417" s="20">
        <v>23410</v>
      </c>
      <c r="S417" s="20">
        <v>2083</v>
      </c>
      <c r="T417" s="20">
        <v>14825</v>
      </c>
      <c r="U417" s="20">
        <v>8619</v>
      </c>
      <c r="V417" s="20">
        <v>3</v>
      </c>
      <c r="W417" s="20">
        <f t="shared" si="18"/>
        <v>62310</v>
      </c>
      <c r="X417" s="36">
        <v>-36777</v>
      </c>
      <c r="Y417" s="36"/>
      <c r="Z417" s="36"/>
      <c r="AA417" s="36"/>
      <c r="AB417" s="36"/>
      <c r="AC417" s="36"/>
      <c r="AD417" s="36"/>
      <c r="AE417" s="36">
        <v>-3</v>
      </c>
      <c r="AF417" s="36">
        <v>-1019</v>
      </c>
      <c r="AG417" s="36">
        <v>-2801</v>
      </c>
      <c r="AH417" s="36">
        <v>-21695</v>
      </c>
      <c r="AI417" s="20">
        <f t="shared" si="19"/>
        <v>-62295</v>
      </c>
      <c r="AJ417" s="20">
        <f t="shared" si="20"/>
        <v>15</v>
      </c>
    </row>
    <row r="418" spans="1:36" x14ac:dyDescent="0.2">
      <c r="A418" s="17" t="s">
        <v>5015</v>
      </c>
      <c r="B418" s="17">
        <v>38665</v>
      </c>
      <c r="Q418" s="20">
        <v>13370</v>
      </c>
      <c r="R418" s="20">
        <v>23530</v>
      </c>
      <c r="S418" s="20">
        <v>2079</v>
      </c>
      <c r="T418" s="20">
        <v>15697</v>
      </c>
      <c r="U418" s="20">
        <v>7893</v>
      </c>
      <c r="V418" s="20">
        <v>4</v>
      </c>
      <c r="W418" s="20">
        <f t="shared" si="18"/>
        <v>62573</v>
      </c>
      <c r="X418" s="36">
        <v>-36896</v>
      </c>
      <c r="Y418" s="36"/>
      <c r="Z418" s="36"/>
      <c r="AA418" s="36"/>
      <c r="AB418" s="36"/>
      <c r="AC418" s="36"/>
      <c r="AD418" s="36"/>
      <c r="AE418" s="36">
        <v>-4</v>
      </c>
      <c r="AF418" s="36">
        <v>-567</v>
      </c>
      <c r="AG418" s="36">
        <v>-2670</v>
      </c>
      <c r="AH418" s="36">
        <v>-22421</v>
      </c>
      <c r="AI418" s="20">
        <f t="shared" si="19"/>
        <v>-62558</v>
      </c>
      <c r="AJ418" s="20">
        <f t="shared" si="20"/>
        <v>15</v>
      </c>
    </row>
    <row r="419" spans="1:36" x14ac:dyDescent="0.2">
      <c r="A419" s="17" t="s">
        <v>5016</v>
      </c>
      <c r="B419" s="17">
        <v>38672</v>
      </c>
      <c r="Q419" s="20">
        <v>13370</v>
      </c>
      <c r="R419" s="20">
        <v>23630</v>
      </c>
      <c r="S419" s="20">
        <v>2099</v>
      </c>
      <c r="T419" s="20">
        <v>14666</v>
      </c>
      <c r="U419" s="20">
        <v>7932</v>
      </c>
      <c r="V419" s="20">
        <v>3</v>
      </c>
      <c r="W419" s="20">
        <f t="shared" si="18"/>
        <v>61700</v>
      </c>
      <c r="X419" s="36">
        <v>-36997</v>
      </c>
      <c r="Y419" s="36"/>
      <c r="Z419" s="36"/>
      <c r="AA419" s="36"/>
      <c r="AB419" s="36"/>
      <c r="AC419" s="36"/>
      <c r="AD419" s="36"/>
      <c r="AE419" s="36">
        <v>-3</v>
      </c>
      <c r="AF419" s="36">
        <v>-545</v>
      </c>
      <c r="AG419" s="36">
        <v>-2720</v>
      </c>
      <c r="AH419" s="36">
        <v>-21420</v>
      </c>
      <c r="AI419" s="20">
        <f t="shared" si="19"/>
        <v>-61685</v>
      </c>
      <c r="AJ419" s="20">
        <f t="shared" si="20"/>
        <v>15</v>
      </c>
    </row>
    <row r="420" spans="1:36" x14ac:dyDescent="0.2">
      <c r="A420" s="17" t="s">
        <v>5017</v>
      </c>
      <c r="B420" s="17">
        <v>38679</v>
      </c>
      <c r="Q420" s="20">
        <v>13370</v>
      </c>
      <c r="R420" s="20">
        <v>24160</v>
      </c>
      <c r="S420" s="20">
        <v>2096</v>
      </c>
      <c r="T420" s="20">
        <v>14916</v>
      </c>
      <c r="U420" s="20">
        <v>7983</v>
      </c>
      <c r="V420" s="20">
        <v>6</v>
      </c>
      <c r="W420" s="20">
        <f t="shared" si="18"/>
        <v>62531</v>
      </c>
      <c r="X420" s="36">
        <v>-37524</v>
      </c>
      <c r="Y420" s="36"/>
      <c r="Z420" s="36"/>
      <c r="AA420" s="36"/>
      <c r="AB420" s="36"/>
      <c r="AC420" s="36"/>
      <c r="AD420" s="36"/>
      <c r="AE420" s="36">
        <v>-6</v>
      </c>
      <c r="AF420" s="36">
        <v>-613</v>
      </c>
      <c r="AG420" s="36">
        <v>-2674</v>
      </c>
      <c r="AH420" s="36">
        <v>-21698</v>
      </c>
      <c r="AI420" s="20">
        <f t="shared" si="19"/>
        <v>-62515</v>
      </c>
      <c r="AJ420" s="20">
        <f t="shared" si="20"/>
        <v>16</v>
      </c>
    </row>
    <row r="421" spans="1:36" x14ac:dyDescent="0.2">
      <c r="A421" s="17" t="s">
        <v>5018</v>
      </c>
      <c r="B421" s="17">
        <v>38686</v>
      </c>
      <c r="Q421" s="20">
        <v>13370</v>
      </c>
      <c r="R421" s="20">
        <v>24640</v>
      </c>
      <c r="S421" s="20">
        <v>2127</v>
      </c>
      <c r="T421" s="20">
        <v>14757</v>
      </c>
      <c r="U421" s="20">
        <v>8253</v>
      </c>
      <c r="V421" s="20">
        <v>8</v>
      </c>
      <c r="W421" s="20">
        <f t="shared" si="18"/>
        <v>63155</v>
      </c>
      <c r="X421" s="36">
        <v>-38003</v>
      </c>
      <c r="Y421" s="36"/>
      <c r="Z421" s="36"/>
      <c r="AA421" s="36"/>
      <c r="AB421" s="36"/>
      <c r="AC421" s="36"/>
      <c r="AD421" s="36"/>
      <c r="AE421" s="36">
        <v>-7</v>
      </c>
      <c r="AF421" s="36">
        <v>-800</v>
      </c>
      <c r="AG421" s="36">
        <v>-2789</v>
      </c>
      <c r="AH421" s="36">
        <v>-21541</v>
      </c>
      <c r="AI421" s="20">
        <f t="shared" si="19"/>
        <v>-63140</v>
      </c>
      <c r="AJ421" s="20">
        <f t="shared" si="20"/>
        <v>15</v>
      </c>
    </row>
    <row r="422" spans="1:36" x14ac:dyDescent="0.2">
      <c r="A422" s="17" t="s">
        <v>5019</v>
      </c>
      <c r="B422" s="17">
        <v>38693</v>
      </c>
      <c r="Q422" s="20">
        <v>13370</v>
      </c>
      <c r="R422" s="20">
        <v>24870</v>
      </c>
      <c r="S422" s="20">
        <v>2120</v>
      </c>
      <c r="T422" s="20">
        <v>15232</v>
      </c>
      <c r="U422" s="20">
        <v>8000</v>
      </c>
      <c r="V422" s="20">
        <v>4</v>
      </c>
      <c r="W422" s="20">
        <f t="shared" si="18"/>
        <v>63596</v>
      </c>
      <c r="X422" s="36">
        <v>-38236</v>
      </c>
      <c r="Y422" s="36"/>
      <c r="Z422" s="36"/>
      <c r="AA422" s="36"/>
      <c r="AB422" s="36"/>
      <c r="AC422" s="36"/>
      <c r="AD422" s="36"/>
      <c r="AE422" s="36">
        <v>-4</v>
      </c>
      <c r="AF422" s="36">
        <v>-774</v>
      </c>
      <c r="AG422" s="36">
        <v>-3012</v>
      </c>
      <c r="AH422" s="36">
        <v>-21556</v>
      </c>
      <c r="AI422" s="20">
        <f t="shared" si="19"/>
        <v>-63582</v>
      </c>
      <c r="AJ422" s="20">
        <f t="shared" si="20"/>
        <v>14</v>
      </c>
    </row>
    <row r="423" spans="1:36" x14ac:dyDescent="0.2">
      <c r="A423" s="17" t="s">
        <v>5020</v>
      </c>
      <c r="B423" s="17">
        <v>38700</v>
      </c>
      <c r="Q423" s="20">
        <v>13370</v>
      </c>
      <c r="R423" s="20">
        <v>25130</v>
      </c>
      <c r="S423" s="20">
        <v>2119</v>
      </c>
      <c r="T423" s="20">
        <v>15654</v>
      </c>
      <c r="U423" s="20">
        <v>7998</v>
      </c>
      <c r="V423" s="20">
        <v>5</v>
      </c>
      <c r="W423" s="20">
        <f t="shared" si="18"/>
        <v>64276</v>
      </c>
      <c r="X423" s="36">
        <v>-38495</v>
      </c>
      <c r="Y423" s="36"/>
      <c r="Z423" s="36"/>
      <c r="AA423" s="36"/>
      <c r="AB423" s="36"/>
      <c r="AC423" s="36"/>
      <c r="AD423" s="36"/>
      <c r="AE423" s="36">
        <v>-5</v>
      </c>
      <c r="AF423" s="36">
        <v>-682</v>
      </c>
      <c r="AG423" s="36">
        <v>-3173</v>
      </c>
      <c r="AH423" s="36">
        <v>-21907</v>
      </c>
      <c r="AI423" s="20">
        <f t="shared" si="19"/>
        <v>-64262</v>
      </c>
      <c r="AJ423" s="20">
        <f t="shared" si="20"/>
        <v>14</v>
      </c>
    </row>
    <row r="424" spans="1:36" x14ac:dyDescent="0.2">
      <c r="A424" s="17" t="s">
        <v>5021</v>
      </c>
      <c r="B424" s="17">
        <v>38707</v>
      </c>
      <c r="Q424" s="20">
        <v>13370</v>
      </c>
      <c r="R424" s="20">
        <v>25960</v>
      </c>
      <c r="S424" s="20">
        <v>2126</v>
      </c>
      <c r="T424" s="20">
        <v>14977</v>
      </c>
      <c r="U424" s="20">
        <v>7737</v>
      </c>
      <c r="V424" s="20">
        <v>1</v>
      </c>
      <c r="W424" s="20">
        <f t="shared" si="18"/>
        <v>64171</v>
      </c>
      <c r="X424" s="36">
        <v>-39329</v>
      </c>
      <c r="Y424" s="36"/>
      <c r="Z424" s="36"/>
      <c r="AA424" s="36"/>
      <c r="AB424" s="36"/>
      <c r="AC424" s="36"/>
      <c r="AD424" s="36"/>
      <c r="AE424" s="36">
        <v>-1</v>
      </c>
      <c r="AF424" s="36">
        <v>-615</v>
      </c>
      <c r="AG424" s="36">
        <v>-3117</v>
      </c>
      <c r="AH424" s="36">
        <v>-21095</v>
      </c>
      <c r="AI424" s="20">
        <f t="shared" si="19"/>
        <v>-64157</v>
      </c>
      <c r="AJ424" s="20">
        <f t="shared" si="20"/>
        <v>14</v>
      </c>
    </row>
    <row r="425" spans="1:36" x14ac:dyDescent="0.2">
      <c r="A425" s="17" t="s">
        <v>5022</v>
      </c>
      <c r="B425" s="17">
        <v>38714</v>
      </c>
      <c r="Q425" s="20">
        <v>13370</v>
      </c>
      <c r="R425" s="20">
        <v>26910</v>
      </c>
      <c r="S425" s="20">
        <v>2129</v>
      </c>
      <c r="T425" s="20">
        <v>15696</v>
      </c>
      <c r="U425" s="20">
        <v>7690</v>
      </c>
      <c r="V425" s="20">
        <v>8</v>
      </c>
      <c r="W425" s="20">
        <f t="shared" si="18"/>
        <v>65803</v>
      </c>
      <c r="X425" s="36">
        <v>-40272</v>
      </c>
      <c r="Y425" s="36"/>
      <c r="Z425" s="36"/>
      <c r="AA425" s="36"/>
      <c r="AB425" s="36"/>
      <c r="AC425" s="36"/>
      <c r="AD425" s="36"/>
      <c r="AE425" s="36">
        <v>-8</v>
      </c>
      <c r="AF425" s="36">
        <v>-763</v>
      </c>
      <c r="AG425" s="36">
        <v>-3334</v>
      </c>
      <c r="AH425" s="36">
        <v>-21411</v>
      </c>
      <c r="AI425" s="20">
        <f t="shared" si="19"/>
        <v>-65788</v>
      </c>
      <c r="AJ425" s="20">
        <f t="shared" si="20"/>
        <v>15</v>
      </c>
    </row>
    <row r="426" spans="1:36" x14ac:dyDescent="0.2">
      <c r="A426" s="17" t="s">
        <v>5023</v>
      </c>
      <c r="B426" s="17">
        <v>38721</v>
      </c>
      <c r="Q426" s="20">
        <v>13370</v>
      </c>
      <c r="R426" s="20">
        <v>25900</v>
      </c>
      <c r="S426" s="20">
        <v>2137</v>
      </c>
      <c r="T426" s="20">
        <v>15639</v>
      </c>
      <c r="U426" s="20">
        <v>7695</v>
      </c>
      <c r="V426" s="20">
        <v>8</v>
      </c>
      <c r="W426" s="20">
        <f t="shared" si="18"/>
        <v>64749</v>
      </c>
      <c r="X426" s="36">
        <v>-39262</v>
      </c>
      <c r="Y426" s="36"/>
      <c r="Z426" s="36"/>
      <c r="AA426" s="36"/>
      <c r="AB426" s="36"/>
      <c r="AC426" s="36"/>
      <c r="AD426" s="36"/>
      <c r="AE426" s="36">
        <v>-8</v>
      </c>
      <c r="AF426" s="36">
        <v>-648</v>
      </c>
      <c r="AG426" s="36">
        <v>-3222</v>
      </c>
      <c r="AH426" s="36">
        <v>-21595</v>
      </c>
      <c r="AI426" s="20">
        <f t="shared" si="19"/>
        <v>-64735</v>
      </c>
      <c r="AJ426" s="20">
        <f t="shared" si="20"/>
        <v>14</v>
      </c>
    </row>
    <row r="427" spans="1:36" x14ac:dyDescent="0.2">
      <c r="A427" s="17" t="s">
        <v>5024</v>
      </c>
      <c r="B427" s="17">
        <v>38728</v>
      </c>
      <c r="Q427" s="20">
        <v>13370</v>
      </c>
      <c r="R427" s="20">
        <v>24100</v>
      </c>
      <c r="S427" s="20">
        <v>2131</v>
      </c>
      <c r="T427" s="20">
        <v>15979</v>
      </c>
      <c r="U427" s="20">
        <v>7691</v>
      </c>
      <c r="V427" s="20">
        <v>3</v>
      </c>
      <c r="W427" s="20">
        <f t="shared" si="18"/>
        <v>63274</v>
      </c>
      <c r="X427" s="36">
        <v>-37467</v>
      </c>
      <c r="Y427" s="36"/>
      <c r="Z427" s="36"/>
      <c r="AA427" s="36"/>
      <c r="AB427" s="36"/>
      <c r="AC427" s="36"/>
      <c r="AD427" s="36"/>
      <c r="AE427" s="36">
        <v>-3</v>
      </c>
      <c r="AF427" s="36">
        <v>-838</v>
      </c>
      <c r="AG427" s="36">
        <v>-3225</v>
      </c>
      <c r="AH427" s="36">
        <v>-21726</v>
      </c>
      <c r="AI427" s="20">
        <f t="shared" si="19"/>
        <v>-63259</v>
      </c>
      <c r="AJ427" s="20">
        <f t="shared" si="20"/>
        <v>15</v>
      </c>
    </row>
    <row r="428" spans="1:36" x14ac:dyDescent="0.2">
      <c r="A428" s="17" t="s">
        <v>5025</v>
      </c>
      <c r="B428" s="17">
        <v>38735</v>
      </c>
      <c r="Q428" s="20">
        <v>13370</v>
      </c>
      <c r="R428" s="20">
        <v>23480</v>
      </c>
      <c r="S428" s="20">
        <v>2142</v>
      </c>
      <c r="T428" s="20">
        <v>15843</v>
      </c>
      <c r="U428" s="20">
        <v>6922</v>
      </c>
      <c r="V428" s="20">
        <v>2</v>
      </c>
      <c r="W428" s="20">
        <f t="shared" si="18"/>
        <v>61759</v>
      </c>
      <c r="X428" s="36">
        <v>-36848</v>
      </c>
      <c r="Y428" s="36"/>
      <c r="Z428" s="36"/>
      <c r="AA428" s="36"/>
      <c r="AB428" s="36"/>
      <c r="AC428" s="36"/>
      <c r="AD428" s="36"/>
      <c r="AE428" s="36">
        <v>-2</v>
      </c>
      <c r="AF428" s="36">
        <v>-749</v>
      </c>
      <c r="AG428" s="36">
        <v>-3228</v>
      </c>
      <c r="AH428" s="36">
        <v>-20918</v>
      </c>
      <c r="AI428" s="20">
        <f t="shared" si="19"/>
        <v>-61745</v>
      </c>
      <c r="AJ428" s="20">
        <f t="shared" si="20"/>
        <v>14</v>
      </c>
    </row>
    <row r="429" spans="1:36" x14ac:dyDescent="0.2">
      <c r="A429" s="17" t="s">
        <v>5026</v>
      </c>
      <c r="B429" s="17">
        <v>38742</v>
      </c>
      <c r="Q429" s="20">
        <v>13370</v>
      </c>
      <c r="R429" s="20">
        <v>23240</v>
      </c>
      <c r="S429" s="20">
        <v>2127</v>
      </c>
      <c r="T429" s="20">
        <v>17177</v>
      </c>
      <c r="U429" s="20">
        <v>7600</v>
      </c>
      <c r="V429" s="20">
        <v>9</v>
      </c>
      <c r="W429" s="20">
        <f t="shared" si="18"/>
        <v>63523</v>
      </c>
      <c r="X429" s="36">
        <v>-36601</v>
      </c>
      <c r="Y429" s="36"/>
      <c r="Z429" s="36"/>
      <c r="AA429" s="36"/>
      <c r="AB429" s="36"/>
      <c r="AC429" s="36"/>
      <c r="AD429" s="36"/>
      <c r="AE429" s="36">
        <v>-9</v>
      </c>
      <c r="AF429" s="36">
        <v>-709</v>
      </c>
      <c r="AG429" s="36">
        <v>-3216</v>
      </c>
      <c r="AH429" s="36">
        <v>-22975</v>
      </c>
      <c r="AI429" s="20">
        <f t="shared" si="19"/>
        <v>-63510</v>
      </c>
      <c r="AJ429" s="20">
        <f t="shared" si="20"/>
        <v>13</v>
      </c>
    </row>
    <row r="430" spans="1:36" x14ac:dyDescent="0.2">
      <c r="A430" s="17" t="s">
        <v>5027</v>
      </c>
      <c r="B430" s="17">
        <v>38749</v>
      </c>
      <c r="Q430" s="20">
        <v>13370</v>
      </c>
      <c r="R430" s="20">
        <v>23490</v>
      </c>
      <c r="S430" s="20">
        <v>2167</v>
      </c>
      <c r="T430" s="20">
        <v>14500</v>
      </c>
      <c r="U430" s="20">
        <v>8284</v>
      </c>
      <c r="V430" s="20">
        <v>8</v>
      </c>
      <c r="W430" s="20">
        <f t="shared" si="18"/>
        <v>61819</v>
      </c>
      <c r="X430" s="36">
        <v>-36852</v>
      </c>
      <c r="Y430" s="36"/>
      <c r="Z430" s="36"/>
      <c r="AA430" s="36"/>
      <c r="AB430" s="36"/>
      <c r="AC430" s="36"/>
      <c r="AD430" s="36"/>
      <c r="AE430" s="36">
        <v>-8</v>
      </c>
      <c r="AF430" s="36">
        <v>-1608</v>
      </c>
      <c r="AG430" s="36">
        <v>-3023</v>
      </c>
      <c r="AH430" s="36">
        <v>-20313</v>
      </c>
      <c r="AI430" s="20">
        <f t="shared" si="19"/>
        <v>-61804</v>
      </c>
      <c r="AJ430" s="20">
        <f t="shared" si="20"/>
        <v>15</v>
      </c>
    </row>
    <row r="431" spans="1:36" x14ac:dyDescent="0.2">
      <c r="A431" s="17" t="s">
        <v>5028</v>
      </c>
      <c r="B431" s="17">
        <v>38756</v>
      </c>
      <c r="Q431" s="20">
        <v>13370</v>
      </c>
      <c r="R431" s="20">
        <v>23360</v>
      </c>
      <c r="S431" s="20">
        <v>2166</v>
      </c>
      <c r="T431" s="20">
        <v>14244</v>
      </c>
      <c r="U431" s="20">
        <v>7497</v>
      </c>
      <c r="V431" s="20">
        <v>9</v>
      </c>
      <c r="W431" s="20">
        <f t="shared" si="18"/>
        <v>60646</v>
      </c>
      <c r="X431" s="36">
        <v>-36721</v>
      </c>
      <c r="Y431" s="36"/>
      <c r="Z431" s="36"/>
      <c r="AA431" s="36"/>
      <c r="AB431" s="36"/>
      <c r="AC431" s="36"/>
      <c r="AD431" s="36"/>
      <c r="AE431" s="36">
        <v>-9</v>
      </c>
      <c r="AF431" s="36">
        <v>-761</v>
      </c>
      <c r="AG431" s="36">
        <v>-2837</v>
      </c>
      <c r="AH431" s="36">
        <v>-20303</v>
      </c>
      <c r="AI431" s="20">
        <f t="shared" si="19"/>
        <v>-60631</v>
      </c>
      <c r="AJ431" s="20">
        <f t="shared" si="20"/>
        <v>15</v>
      </c>
    </row>
    <row r="432" spans="1:36" x14ac:dyDescent="0.2">
      <c r="A432" s="17" t="s">
        <v>5029</v>
      </c>
      <c r="B432" s="17">
        <v>38763</v>
      </c>
      <c r="Q432" s="20">
        <v>13370</v>
      </c>
      <c r="R432" s="20">
        <v>23430</v>
      </c>
      <c r="S432" s="20">
        <v>2168</v>
      </c>
      <c r="T432" s="20">
        <v>15379</v>
      </c>
      <c r="U432" s="20">
        <v>7445</v>
      </c>
      <c r="V432" s="20">
        <v>7</v>
      </c>
      <c r="W432" s="20">
        <f t="shared" si="18"/>
        <v>61799</v>
      </c>
      <c r="X432" s="36">
        <v>-36793</v>
      </c>
      <c r="Y432" s="36"/>
      <c r="Z432" s="36"/>
      <c r="AA432" s="36"/>
      <c r="AB432" s="36"/>
      <c r="AC432" s="36"/>
      <c r="AD432" s="36"/>
      <c r="AE432" s="36">
        <v>-7</v>
      </c>
      <c r="AF432" s="36">
        <v>-803</v>
      </c>
      <c r="AG432" s="36">
        <v>-2857</v>
      </c>
      <c r="AH432" s="36">
        <v>-21324</v>
      </c>
      <c r="AI432" s="20">
        <f t="shared" si="19"/>
        <v>-61784</v>
      </c>
      <c r="AJ432" s="20">
        <f t="shared" si="20"/>
        <v>15</v>
      </c>
    </row>
    <row r="433" spans="1:36" x14ac:dyDescent="0.2">
      <c r="A433" s="17" t="s">
        <v>5030</v>
      </c>
      <c r="B433" s="17">
        <v>38770</v>
      </c>
      <c r="Q433" s="20">
        <v>13370</v>
      </c>
      <c r="R433" s="20">
        <v>23470</v>
      </c>
      <c r="S433" s="20">
        <v>2173</v>
      </c>
      <c r="T433" s="20">
        <v>15406</v>
      </c>
      <c r="U433" s="20">
        <v>7485</v>
      </c>
      <c r="V433" s="20">
        <v>6</v>
      </c>
      <c r="W433" s="20">
        <f t="shared" si="18"/>
        <v>61910</v>
      </c>
      <c r="X433" s="36">
        <v>-36834</v>
      </c>
      <c r="Y433" s="36"/>
      <c r="Z433" s="36"/>
      <c r="AA433" s="36"/>
      <c r="AB433" s="36"/>
      <c r="AC433" s="36"/>
      <c r="AD433" s="36"/>
      <c r="AE433" s="36">
        <v>-6</v>
      </c>
      <c r="AF433" s="36">
        <v>-788</v>
      </c>
      <c r="AG433" s="36">
        <v>-2884</v>
      </c>
      <c r="AH433" s="36">
        <v>-21383</v>
      </c>
      <c r="AI433" s="20">
        <f t="shared" si="19"/>
        <v>-61895</v>
      </c>
      <c r="AJ433" s="20">
        <f t="shared" si="20"/>
        <v>15</v>
      </c>
    </row>
    <row r="434" spans="1:36" x14ac:dyDescent="0.2">
      <c r="A434" s="17" t="s">
        <v>5031</v>
      </c>
      <c r="B434" s="17">
        <v>38777</v>
      </c>
      <c r="Q434" s="20">
        <v>13370</v>
      </c>
      <c r="R434" s="20">
        <v>23670</v>
      </c>
      <c r="S434" s="20">
        <v>2213</v>
      </c>
      <c r="T434" s="20">
        <v>14718</v>
      </c>
      <c r="U434" s="20">
        <v>7977</v>
      </c>
      <c r="V434" s="20">
        <v>3</v>
      </c>
      <c r="W434" s="20">
        <f t="shared" si="18"/>
        <v>61951</v>
      </c>
      <c r="X434" s="36">
        <v>-37685</v>
      </c>
      <c r="Y434" s="36"/>
      <c r="Z434" s="36"/>
      <c r="AA434" s="36"/>
      <c r="AB434" s="36"/>
      <c r="AC434" s="36"/>
      <c r="AD434" s="36"/>
      <c r="AE434" s="36">
        <v>-5</v>
      </c>
      <c r="AF434" s="36">
        <v>-1044</v>
      </c>
      <c r="AG434" s="36">
        <v>-3168</v>
      </c>
      <c r="AH434" s="36">
        <v>-20684</v>
      </c>
      <c r="AI434" s="20">
        <f t="shared" si="19"/>
        <v>-62586</v>
      </c>
      <c r="AJ434" s="20">
        <f t="shared" si="20"/>
        <v>-635</v>
      </c>
    </row>
    <row r="435" spans="1:36" x14ac:dyDescent="0.2">
      <c r="A435" s="17" t="s">
        <v>5032</v>
      </c>
      <c r="B435" s="17">
        <v>38784</v>
      </c>
      <c r="Q435" s="20">
        <v>13370</v>
      </c>
      <c r="R435" s="20">
        <v>23600</v>
      </c>
      <c r="S435" s="20">
        <v>2202</v>
      </c>
      <c r="T435" s="20">
        <v>14501</v>
      </c>
      <c r="U435" s="20">
        <v>7524</v>
      </c>
      <c r="V435" s="20">
        <v>3</v>
      </c>
      <c r="W435" s="20">
        <f t="shared" si="18"/>
        <v>61200</v>
      </c>
      <c r="X435" s="36">
        <v>-36967</v>
      </c>
      <c r="Y435" s="36"/>
      <c r="Z435" s="36"/>
      <c r="AA435" s="36"/>
      <c r="AB435" s="36"/>
      <c r="AC435" s="36"/>
      <c r="AD435" s="36"/>
      <c r="AE435" s="36">
        <v>-3</v>
      </c>
      <c r="AF435" s="36">
        <v>-588</v>
      </c>
      <c r="AG435" s="36">
        <v>-2836</v>
      </c>
      <c r="AH435" s="36">
        <v>-20790</v>
      </c>
      <c r="AI435" s="20">
        <f t="shared" si="19"/>
        <v>-61184</v>
      </c>
      <c r="AJ435" s="20">
        <f t="shared" si="20"/>
        <v>16</v>
      </c>
    </row>
    <row r="436" spans="1:36" x14ac:dyDescent="0.2">
      <c r="A436" s="17" t="s">
        <v>5033</v>
      </c>
      <c r="B436" s="17">
        <v>38791</v>
      </c>
      <c r="Q436" s="20">
        <v>13370</v>
      </c>
      <c r="R436" s="20">
        <v>23620</v>
      </c>
      <c r="S436" s="20">
        <v>2197</v>
      </c>
      <c r="T436" s="20">
        <v>15185</v>
      </c>
      <c r="U436" s="20">
        <v>7325</v>
      </c>
      <c r="V436" s="20">
        <v>2</v>
      </c>
      <c r="W436" s="20">
        <f t="shared" si="18"/>
        <v>61699</v>
      </c>
      <c r="X436" s="36">
        <v>-36988</v>
      </c>
      <c r="Y436" s="36"/>
      <c r="Z436" s="36"/>
      <c r="AA436" s="36"/>
      <c r="AB436" s="36"/>
      <c r="AC436" s="36"/>
      <c r="AD436" s="36"/>
      <c r="AE436" s="36">
        <v>-2</v>
      </c>
      <c r="AF436" s="36">
        <v>-502</v>
      </c>
      <c r="AG436" s="36">
        <v>-2826</v>
      </c>
      <c r="AH436" s="36">
        <v>-21367</v>
      </c>
      <c r="AI436" s="20">
        <f t="shared" si="19"/>
        <v>-61685</v>
      </c>
      <c r="AJ436" s="20">
        <f t="shared" si="20"/>
        <v>14</v>
      </c>
    </row>
    <row r="437" spans="1:36" x14ac:dyDescent="0.2">
      <c r="A437" s="17" t="s">
        <v>5034</v>
      </c>
      <c r="B437" s="17">
        <v>38798</v>
      </c>
      <c r="Q437" s="20">
        <v>13370</v>
      </c>
      <c r="R437" s="20">
        <v>23670</v>
      </c>
      <c r="S437" s="20">
        <v>2196</v>
      </c>
      <c r="T437" s="20">
        <v>14521</v>
      </c>
      <c r="U437" s="20">
        <v>7118</v>
      </c>
      <c r="V437" s="20">
        <v>4</v>
      </c>
      <c r="W437" s="20">
        <f t="shared" si="18"/>
        <v>60879</v>
      </c>
      <c r="X437" s="36">
        <v>-37036</v>
      </c>
      <c r="Y437" s="36"/>
      <c r="Z437" s="36"/>
      <c r="AA437" s="36"/>
      <c r="AB437" s="36"/>
      <c r="AC437" s="36"/>
      <c r="AD437" s="36"/>
      <c r="AE437" s="36">
        <v>-4</v>
      </c>
      <c r="AF437" s="36">
        <v>-796</v>
      </c>
      <c r="AG437" s="36">
        <v>-2842</v>
      </c>
      <c r="AH437" s="36">
        <v>-20188</v>
      </c>
      <c r="AI437" s="20">
        <f t="shared" si="19"/>
        <v>-60866</v>
      </c>
      <c r="AJ437" s="20">
        <f t="shared" si="20"/>
        <v>13</v>
      </c>
    </row>
    <row r="438" spans="1:36" x14ac:dyDescent="0.2">
      <c r="A438" s="17" t="s">
        <v>5035</v>
      </c>
      <c r="B438" s="17">
        <v>38805</v>
      </c>
      <c r="Q438" s="20">
        <v>13370</v>
      </c>
      <c r="R438" s="20">
        <v>23910</v>
      </c>
      <c r="S438" s="20">
        <v>2226</v>
      </c>
      <c r="T438" s="20">
        <v>15051</v>
      </c>
      <c r="U438" s="20">
        <v>7245</v>
      </c>
      <c r="V438" s="20">
        <v>2</v>
      </c>
      <c r="W438" s="20">
        <f t="shared" si="18"/>
        <v>61804</v>
      </c>
      <c r="X438" s="36">
        <v>-37278</v>
      </c>
      <c r="Y438" s="36"/>
      <c r="Z438" s="36"/>
      <c r="AA438" s="36"/>
      <c r="AB438" s="36"/>
      <c r="AC438" s="36"/>
      <c r="AD438" s="36"/>
      <c r="AE438" s="36">
        <v>-2</v>
      </c>
      <c r="AF438" s="36">
        <v>-709</v>
      </c>
      <c r="AG438" s="36">
        <v>-2875</v>
      </c>
      <c r="AH438" s="36">
        <v>-20926</v>
      </c>
      <c r="AI438" s="20">
        <f t="shared" si="19"/>
        <v>-61790</v>
      </c>
      <c r="AJ438" s="20">
        <f t="shared" si="20"/>
        <v>14</v>
      </c>
    </row>
    <row r="439" spans="1:36" x14ac:dyDescent="0.2">
      <c r="A439" s="17" t="s">
        <v>5036</v>
      </c>
      <c r="B439" s="17">
        <v>38812</v>
      </c>
      <c r="Q439" s="20">
        <v>13370</v>
      </c>
      <c r="R439" s="20">
        <v>24160</v>
      </c>
      <c r="S439" s="20">
        <v>2227</v>
      </c>
      <c r="T439" s="20">
        <v>15565</v>
      </c>
      <c r="U439" s="20">
        <v>7004</v>
      </c>
      <c r="V439" s="20">
        <v>6</v>
      </c>
      <c r="W439" s="20">
        <f t="shared" si="18"/>
        <v>62332</v>
      </c>
      <c r="X439" s="36">
        <v>-37524</v>
      </c>
      <c r="Y439" s="36"/>
      <c r="Z439" s="36"/>
      <c r="AA439" s="36"/>
      <c r="AB439" s="36"/>
      <c r="AC439" s="36"/>
      <c r="AD439" s="36"/>
      <c r="AE439" s="36">
        <v>-6</v>
      </c>
      <c r="AF439" s="36">
        <v>-313</v>
      </c>
      <c r="AG439" s="36">
        <v>-3077</v>
      </c>
      <c r="AH439" s="36">
        <v>-21398</v>
      </c>
      <c r="AI439" s="20">
        <f t="shared" si="19"/>
        <v>-62318</v>
      </c>
      <c r="AJ439" s="20">
        <f t="shared" si="20"/>
        <v>14</v>
      </c>
    </row>
    <row r="440" spans="1:36" x14ac:dyDescent="0.2">
      <c r="A440" s="17" t="s">
        <v>5037</v>
      </c>
      <c r="B440" s="17">
        <v>38819</v>
      </c>
      <c r="Q440" s="20">
        <v>13370</v>
      </c>
      <c r="R440" s="20">
        <v>24990</v>
      </c>
      <c r="S440" s="20">
        <v>2219</v>
      </c>
      <c r="T440" s="20">
        <v>16354</v>
      </c>
      <c r="U440" s="20">
        <v>6882</v>
      </c>
      <c r="V440" s="20">
        <v>10</v>
      </c>
      <c r="W440" s="20">
        <f t="shared" si="18"/>
        <v>63825</v>
      </c>
      <c r="X440" s="36">
        <v>-38350</v>
      </c>
      <c r="Y440" s="36"/>
      <c r="Z440" s="36"/>
      <c r="AA440" s="36"/>
      <c r="AB440" s="36"/>
      <c r="AC440" s="36"/>
      <c r="AD440" s="36"/>
      <c r="AE440" s="36">
        <v>-10</v>
      </c>
      <c r="AF440" s="36">
        <v>-446</v>
      </c>
      <c r="AG440" s="36">
        <v>-2965</v>
      </c>
      <c r="AH440" s="36">
        <v>-22040</v>
      </c>
      <c r="AI440" s="20">
        <f t="shared" si="19"/>
        <v>-63811</v>
      </c>
      <c r="AJ440" s="20">
        <f t="shared" si="20"/>
        <v>14</v>
      </c>
    </row>
    <row r="441" spans="1:36" x14ac:dyDescent="0.2">
      <c r="A441" s="17" t="s">
        <v>5038</v>
      </c>
      <c r="B441" s="17">
        <v>38826</v>
      </c>
      <c r="Q441" s="20">
        <v>13370</v>
      </c>
      <c r="R441" s="20">
        <v>25520</v>
      </c>
      <c r="S441" s="20">
        <v>2212</v>
      </c>
      <c r="T441" s="20">
        <v>14986</v>
      </c>
      <c r="U441" s="20">
        <v>6845</v>
      </c>
      <c r="V441" s="20">
        <v>7</v>
      </c>
      <c r="W441" s="20">
        <f t="shared" si="18"/>
        <v>62940</v>
      </c>
      <c r="X441" s="36">
        <v>-38883</v>
      </c>
      <c r="Y441" s="36"/>
      <c r="Z441" s="36"/>
      <c r="AA441" s="36"/>
      <c r="AB441" s="36"/>
      <c r="AC441" s="36"/>
      <c r="AD441" s="36"/>
      <c r="AE441" s="36">
        <v>-7</v>
      </c>
      <c r="AF441" s="36">
        <v>-517</v>
      </c>
      <c r="AG441" s="36">
        <v>-2960</v>
      </c>
      <c r="AH441" s="36">
        <v>-20558</v>
      </c>
      <c r="AI441" s="20">
        <f t="shared" si="19"/>
        <v>-62925</v>
      </c>
      <c r="AJ441" s="20">
        <f t="shared" si="20"/>
        <v>15</v>
      </c>
    </row>
    <row r="442" spans="1:36" s="23" customFormat="1" x14ac:dyDescent="0.2">
      <c r="A442" s="22" t="s">
        <v>5039</v>
      </c>
      <c r="B442" s="22">
        <v>38833</v>
      </c>
      <c r="Q442" s="24">
        <v>13370</v>
      </c>
      <c r="R442" s="24">
        <v>24440</v>
      </c>
      <c r="S442" s="24">
        <v>2194</v>
      </c>
      <c r="T442" s="24">
        <v>15008</v>
      </c>
      <c r="U442" s="24">
        <v>7133</v>
      </c>
      <c r="V442" s="24">
        <v>2</v>
      </c>
      <c r="W442" s="24">
        <f t="shared" si="18"/>
        <v>62147</v>
      </c>
      <c r="X442" s="40">
        <v>-37809</v>
      </c>
      <c r="Y442" s="40"/>
      <c r="Z442" s="40"/>
      <c r="AA442" s="40"/>
      <c r="AB442" s="40"/>
      <c r="AC442" s="40"/>
      <c r="AD442" s="40"/>
      <c r="AE442" s="40">
        <v>-1</v>
      </c>
      <c r="AF442" s="40">
        <v>-589</v>
      </c>
      <c r="AG442" s="40">
        <v>-2916</v>
      </c>
      <c r="AH442" s="40">
        <v>-20817</v>
      </c>
      <c r="AI442" s="24">
        <f t="shared" si="19"/>
        <v>-62132</v>
      </c>
      <c r="AJ442" s="24">
        <f t="shared" si="20"/>
        <v>15</v>
      </c>
    </row>
    <row r="443" spans="1:36" x14ac:dyDescent="0.2">
      <c r="A443" s="17" t="s">
        <v>5040</v>
      </c>
      <c r="B443" s="17">
        <v>38840</v>
      </c>
      <c r="V443" s="20">
        <v>2</v>
      </c>
      <c r="X443" s="36">
        <v>-38298</v>
      </c>
      <c r="Y443" s="36"/>
      <c r="Z443" s="36"/>
      <c r="AA443" s="36"/>
      <c r="AB443" s="36"/>
      <c r="AC443" s="36"/>
      <c r="AD443" s="36"/>
      <c r="AE443" s="36">
        <v>-2</v>
      </c>
      <c r="AF443" s="36"/>
      <c r="AG443" s="36"/>
      <c r="AH443" s="36"/>
      <c r="AJ443" s="20"/>
    </row>
    <row r="444" spans="1:36" x14ac:dyDescent="0.2">
      <c r="A444" s="17" t="s">
        <v>5041</v>
      </c>
      <c r="B444" s="17">
        <v>38847</v>
      </c>
      <c r="V444" s="20">
        <v>2</v>
      </c>
      <c r="X444" s="36">
        <v>-37708</v>
      </c>
      <c r="Y444" s="36"/>
      <c r="Z444" s="36"/>
      <c r="AA444" s="36"/>
      <c r="AB444" s="36"/>
      <c r="AC444" s="36"/>
      <c r="AD444" s="36"/>
      <c r="AE444" s="36">
        <v>-2</v>
      </c>
      <c r="AF444" s="36"/>
      <c r="AG444" s="36"/>
      <c r="AH444" s="36"/>
      <c r="AJ444" s="20"/>
    </row>
    <row r="445" spans="1:36" x14ac:dyDescent="0.2">
      <c r="A445" s="17" t="s">
        <v>5042</v>
      </c>
      <c r="B445" s="17">
        <v>38854</v>
      </c>
      <c r="N445" s="25"/>
      <c r="O445" s="25"/>
      <c r="P445" s="25"/>
      <c r="V445" s="20">
        <v>3</v>
      </c>
      <c r="X445" s="36">
        <v>-37507</v>
      </c>
      <c r="Y445" s="36"/>
      <c r="Z445" s="36"/>
      <c r="AA445" s="36"/>
      <c r="AB445" s="36"/>
      <c r="AC445" s="36"/>
      <c r="AD445" s="36"/>
      <c r="AE445" s="36">
        <v>-3</v>
      </c>
      <c r="AF445" s="36"/>
      <c r="AG445" s="36"/>
      <c r="AH445" s="36"/>
      <c r="AJ445" s="20"/>
    </row>
    <row r="446" spans="1:36" x14ac:dyDescent="0.2">
      <c r="A446" s="17" t="s">
        <v>5043</v>
      </c>
      <c r="B446" s="17">
        <v>38861</v>
      </c>
      <c r="C446" s="20">
        <v>36490</v>
      </c>
      <c r="D446" s="20">
        <v>15000</v>
      </c>
      <c r="M446" s="20">
        <v>13370</v>
      </c>
      <c r="N446" s="20">
        <v>8159</v>
      </c>
      <c r="O446" s="20">
        <v>13398</v>
      </c>
      <c r="P446" s="20">
        <v>0</v>
      </c>
      <c r="W446" s="20">
        <f>SUM(C446:D446,M446:P446)</f>
        <v>86417</v>
      </c>
      <c r="X446" s="36">
        <v>-37685</v>
      </c>
      <c r="Y446" s="36">
        <v>-24402</v>
      </c>
      <c r="Z446" s="36">
        <v>0</v>
      </c>
      <c r="AA446" s="36">
        <v>-6611</v>
      </c>
      <c r="AB446" s="36">
        <v>-2223</v>
      </c>
      <c r="AC446" s="36">
        <v>-15497</v>
      </c>
      <c r="AD446" s="36">
        <v>0</v>
      </c>
      <c r="AE446" s="36">
        <v>-5</v>
      </c>
      <c r="AF446" s="36"/>
      <c r="AG446" s="36"/>
      <c r="AH446" s="36"/>
      <c r="AI446" s="20">
        <f>SUM(X446:AD446)</f>
        <v>-86418</v>
      </c>
      <c r="AJ446" s="20">
        <f>W446+AI446</f>
        <v>-1</v>
      </c>
    </row>
    <row r="447" spans="1:36" x14ac:dyDescent="0.2">
      <c r="A447" s="17" t="s">
        <v>5044</v>
      </c>
      <c r="B447" s="17">
        <v>38868</v>
      </c>
      <c r="C447" s="20">
        <v>36880</v>
      </c>
      <c r="D447" s="20">
        <v>15000</v>
      </c>
      <c r="M447" s="20">
        <v>13370</v>
      </c>
      <c r="N447" s="20">
        <v>8205</v>
      </c>
      <c r="O447" s="20">
        <v>13720</v>
      </c>
      <c r="P447" s="20">
        <v>0</v>
      </c>
      <c r="W447" s="20">
        <f t="shared" ref="W447:W510" si="21">SUM(C447:D447,M447:P447)</f>
        <v>87175</v>
      </c>
      <c r="X447" s="36">
        <v>-38518</v>
      </c>
      <c r="Y447" s="36">
        <v>-24414</v>
      </c>
      <c r="Z447" s="36">
        <v>0</v>
      </c>
      <c r="AA447" s="36">
        <v>-6631</v>
      </c>
      <c r="AB447" s="36">
        <v>-2223</v>
      </c>
      <c r="AC447" s="36">
        <v>-15388</v>
      </c>
      <c r="AD447" s="36">
        <v>0</v>
      </c>
      <c r="AE447" s="36">
        <v>-2</v>
      </c>
      <c r="AF447" s="36"/>
      <c r="AG447" s="36"/>
      <c r="AH447" s="36"/>
      <c r="AI447" s="20">
        <f t="shared" ref="AI447:AI510" si="22">SUM(X447:AD447)</f>
        <v>-87174</v>
      </c>
      <c r="AJ447" s="20">
        <f t="shared" ref="AJ447:AJ510" si="23">W447+AI447</f>
        <v>1</v>
      </c>
    </row>
    <row r="448" spans="1:36" x14ac:dyDescent="0.2">
      <c r="A448" s="17" t="s">
        <v>5045</v>
      </c>
      <c r="B448" s="17">
        <v>38875</v>
      </c>
      <c r="C448" s="20">
        <v>37300</v>
      </c>
      <c r="D448" s="20">
        <v>15000</v>
      </c>
      <c r="M448" s="20">
        <v>13370</v>
      </c>
      <c r="N448" s="20">
        <v>8211</v>
      </c>
      <c r="O448" s="20">
        <v>13602</v>
      </c>
      <c r="P448" s="20">
        <v>0</v>
      </c>
      <c r="W448" s="20">
        <f t="shared" si="21"/>
        <v>87483</v>
      </c>
      <c r="X448" s="36">
        <v>-37867</v>
      </c>
      <c r="Y448" s="36">
        <v>-24901</v>
      </c>
      <c r="Z448" s="36">
        <v>0</v>
      </c>
      <c r="AA448" s="36">
        <v>-6668</v>
      </c>
      <c r="AB448" s="36">
        <v>-2365</v>
      </c>
      <c r="AC448" s="36">
        <v>-15676</v>
      </c>
      <c r="AD448" s="36">
        <v>-5</v>
      </c>
      <c r="AE448" s="36">
        <v>-3</v>
      </c>
      <c r="AF448" s="36"/>
      <c r="AG448" s="36"/>
      <c r="AH448" s="36"/>
      <c r="AI448" s="20">
        <f t="shared" si="22"/>
        <v>-87482</v>
      </c>
      <c r="AJ448" s="20">
        <f t="shared" si="23"/>
        <v>1</v>
      </c>
    </row>
    <row r="449" spans="1:36" x14ac:dyDescent="0.2">
      <c r="A449" s="17" t="s">
        <v>5046</v>
      </c>
      <c r="B449" s="17">
        <v>38882</v>
      </c>
      <c r="C449" s="20">
        <v>33430</v>
      </c>
      <c r="D449" s="20">
        <v>15000</v>
      </c>
      <c r="M449" s="20">
        <v>13370</v>
      </c>
      <c r="N449" s="20">
        <v>8196</v>
      </c>
      <c r="O449" s="20">
        <v>12553</v>
      </c>
      <c r="P449" s="20">
        <v>0</v>
      </c>
      <c r="W449" s="20">
        <f t="shared" si="21"/>
        <v>82549</v>
      </c>
      <c r="X449" s="36">
        <v>-37775</v>
      </c>
      <c r="Y449" s="36">
        <v>-21260</v>
      </c>
      <c r="Z449" s="36">
        <v>0</v>
      </c>
      <c r="AA449" s="36">
        <v>-6621</v>
      </c>
      <c r="AB449" s="36">
        <v>-2365</v>
      </c>
      <c r="AC449" s="36">
        <v>-14527</v>
      </c>
      <c r="AD449" s="36">
        <v>0</v>
      </c>
      <c r="AE449" s="36">
        <v>-5</v>
      </c>
      <c r="AF449" s="36"/>
      <c r="AG449" s="36"/>
      <c r="AH449" s="36"/>
      <c r="AI449" s="20">
        <f t="shared" si="22"/>
        <v>-82548</v>
      </c>
      <c r="AJ449" s="20">
        <f t="shared" si="23"/>
        <v>1</v>
      </c>
    </row>
    <row r="450" spans="1:36" x14ac:dyDescent="0.2">
      <c r="A450" s="17" t="s">
        <v>5047</v>
      </c>
      <c r="B450" s="17">
        <v>38889</v>
      </c>
      <c r="C450" s="20">
        <v>33370</v>
      </c>
      <c r="D450" s="20">
        <v>15400</v>
      </c>
      <c r="M450" s="20">
        <v>13370</v>
      </c>
      <c r="N450" s="20">
        <v>8176</v>
      </c>
      <c r="O450" s="20">
        <v>11840</v>
      </c>
      <c r="P450" s="20">
        <v>0</v>
      </c>
      <c r="W450" s="20">
        <f t="shared" si="21"/>
        <v>82156</v>
      </c>
      <c r="X450" s="36">
        <v>-37792</v>
      </c>
      <c r="Y450" s="36">
        <v>-21507</v>
      </c>
      <c r="Z450" s="36">
        <v>0</v>
      </c>
      <c r="AA450" s="36">
        <v>-6030</v>
      </c>
      <c r="AB450" s="36">
        <v>-2365</v>
      </c>
      <c r="AC450" s="36">
        <v>-14461</v>
      </c>
      <c r="AD450" s="36">
        <v>0</v>
      </c>
      <c r="AE450" s="36">
        <v>-8</v>
      </c>
      <c r="AF450" s="36"/>
      <c r="AG450" s="36"/>
      <c r="AH450" s="36"/>
      <c r="AI450" s="20">
        <f t="shared" si="22"/>
        <v>-82155</v>
      </c>
      <c r="AJ450" s="20">
        <f t="shared" si="23"/>
        <v>1</v>
      </c>
    </row>
    <row r="451" spans="1:36" x14ac:dyDescent="0.2">
      <c r="A451" s="17" t="s">
        <v>5048</v>
      </c>
      <c r="B451" s="17">
        <v>38896</v>
      </c>
      <c r="C451" s="20">
        <v>32940</v>
      </c>
      <c r="D451" s="20">
        <v>15400</v>
      </c>
      <c r="M451" s="20">
        <v>13370</v>
      </c>
      <c r="N451" s="20">
        <v>8237</v>
      </c>
      <c r="O451" s="20">
        <v>12238</v>
      </c>
      <c r="P451" s="20">
        <v>0</v>
      </c>
      <c r="W451" s="20">
        <f t="shared" si="21"/>
        <v>82185</v>
      </c>
      <c r="X451" s="36">
        <v>-38013</v>
      </c>
      <c r="Y451" s="36">
        <v>-20689</v>
      </c>
      <c r="Z451" s="36">
        <v>0</v>
      </c>
      <c r="AA451" s="36">
        <v>-6064</v>
      </c>
      <c r="AB451" s="36">
        <v>-2365</v>
      </c>
      <c r="AC451" s="36">
        <v>-15053</v>
      </c>
      <c r="AD451" s="36">
        <v>0</v>
      </c>
      <c r="AE451" s="36">
        <v>-7</v>
      </c>
      <c r="AF451" s="36"/>
      <c r="AG451" s="36"/>
      <c r="AH451" s="36"/>
      <c r="AI451" s="20">
        <f t="shared" si="22"/>
        <v>-82184</v>
      </c>
      <c r="AJ451" s="20">
        <f t="shared" si="23"/>
        <v>1</v>
      </c>
    </row>
    <row r="452" spans="1:36" x14ac:dyDescent="0.2">
      <c r="A452" s="17" t="s">
        <v>5049</v>
      </c>
      <c r="B452" s="17">
        <v>38903</v>
      </c>
      <c r="C452" s="20">
        <v>33500</v>
      </c>
      <c r="D452" s="20">
        <v>15400</v>
      </c>
      <c r="M452" s="20">
        <v>13370</v>
      </c>
      <c r="N452" s="20">
        <v>8262</v>
      </c>
      <c r="O452" s="20">
        <v>12484</v>
      </c>
      <c r="P452" s="20">
        <v>0</v>
      </c>
      <c r="W452" s="20">
        <f t="shared" si="21"/>
        <v>83016</v>
      </c>
      <c r="X452" s="36">
        <v>-38261</v>
      </c>
      <c r="Y452" s="36">
        <v>-20536</v>
      </c>
      <c r="Z452" s="36">
        <v>0</v>
      </c>
      <c r="AA452" s="36">
        <v>-6094</v>
      </c>
      <c r="AB452" s="36">
        <v>-2365</v>
      </c>
      <c r="AC452" s="36">
        <v>-15651</v>
      </c>
      <c r="AD452" s="36">
        <v>-108</v>
      </c>
      <c r="AE452" s="36">
        <v>-9</v>
      </c>
      <c r="AF452" s="36"/>
      <c r="AG452" s="36"/>
      <c r="AH452" s="36"/>
      <c r="AI452" s="20">
        <f t="shared" si="22"/>
        <v>-83015</v>
      </c>
      <c r="AJ452" s="20">
        <f t="shared" si="23"/>
        <v>1</v>
      </c>
    </row>
    <row r="453" spans="1:36" x14ac:dyDescent="0.2">
      <c r="A453" s="17" t="s">
        <v>5050</v>
      </c>
      <c r="B453" s="17">
        <v>38910</v>
      </c>
      <c r="C453" s="20">
        <v>32500</v>
      </c>
      <c r="D453" s="20">
        <v>15400</v>
      </c>
      <c r="M453" s="20">
        <v>13370</v>
      </c>
      <c r="N453" s="20">
        <v>8034</v>
      </c>
      <c r="O453" s="20">
        <v>13105</v>
      </c>
      <c r="P453" s="20">
        <v>0</v>
      </c>
      <c r="W453" s="20">
        <f t="shared" si="21"/>
        <v>82409</v>
      </c>
      <c r="X453" s="36">
        <v>-38174</v>
      </c>
      <c r="Y453" s="36">
        <v>-20451</v>
      </c>
      <c r="Z453" s="36">
        <v>0</v>
      </c>
      <c r="AA453" s="36">
        <v>-6090</v>
      </c>
      <c r="AB453" s="36">
        <v>-2365</v>
      </c>
      <c r="AC453" s="36">
        <v>-15328</v>
      </c>
      <c r="AD453" s="36">
        <v>0</v>
      </c>
      <c r="AE453" s="36">
        <v>-6</v>
      </c>
      <c r="AF453" s="36"/>
      <c r="AG453" s="36"/>
      <c r="AH453" s="36"/>
      <c r="AI453" s="20">
        <f t="shared" si="22"/>
        <v>-82408</v>
      </c>
      <c r="AJ453" s="20">
        <f t="shared" si="23"/>
        <v>1</v>
      </c>
    </row>
    <row r="454" spans="1:36" x14ac:dyDescent="0.2">
      <c r="A454" s="17" t="s">
        <v>5051</v>
      </c>
      <c r="B454" s="17">
        <v>38917</v>
      </c>
      <c r="C454" s="20">
        <v>31820</v>
      </c>
      <c r="D454" s="20">
        <v>15050</v>
      </c>
      <c r="M454" s="20">
        <v>13370</v>
      </c>
      <c r="N454" s="20">
        <v>7968</v>
      </c>
      <c r="O454" s="20">
        <v>11675</v>
      </c>
      <c r="P454" s="20">
        <v>0</v>
      </c>
      <c r="W454" s="20">
        <f t="shared" si="21"/>
        <v>79883</v>
      </c>
      <c r="X454" s="36">
        <v>-38300</v>
      </c>
      <c r="Y454" s="36">
        <v>-19175</v>
      </c>
      <c r="Z454" s="36">
        <v>0</v>
      </c>
      <c r="AA454" s="36">
        <v>-5404</v>
      </c>
      <c r="AB454" s="36">
        <v>-2365</v>
      </c>
      <c r="AC454" s="36">
        <v>-14640</v>
      </c>
      <c r="AD454" s="36">
        <v>0</v>
      </c>
      <c r="AE454" s="36">
        <v>-10</v>
      </c>
      <c r="AF454" s="36"/>
      <c r="AG454" s="36"/>
      <c r="AH454" s="36"/>
      <c r="AI454" s="20">
        <f t="shared" si="22"/>
        <v>-79884</v>
      </c>
      <c r="AJ454" s="20">
        <f t="shared" si="23"/>
        <v>-1</v>
      </c>
    </row>
    <row r="455" spans="1:36" x14ac:dyDescent="0.2">
      <c r="A455" s="17" t="s">
        <v>5052</v>
      </c>
      <c r="B455" s="17">
        <v>38924</v>
      </c>
      <c r="C455" s="20">
        <v>32730</v>
      </c>
      <c r="D455" s="20">
        <v>15050</v>
      </c>
      <c r="M455" s="20">
        <v>13370</v>
      </c>
      <c r="N455" s="20">
        <v>8008</v>
      </c>
      <c r="O455" s="20">
        <v>11828</v>
      </c>
      <c r="P455" s="20">
        <v>0</v>
      </c>
      <c r="W455" s="20">
        <f t="shared" si="21"/>
        <v>80986</v>
      </c>
      <c r="X455" s="36">
        <v>-38468</v>
      </c>
      <c r="Y455" s="36">
        <v>-19873</v>
      </c>
      <c r="Z455" s="36">
        <v>0</v>
      </c>
      <c r="AA455" s="36">
        <v>-5408</v>
      </c>
      <c r="AB455" s="36">
        <v>-2365</v>
      </c>
      <c r="AC455" s="36">
        <v>-14871</v>
      </c>
      <c r="AD455" s="36">
        <v>0</v>
      </c>
      <c r="AE455" s="36">
        <v>-2</v>
      </c>
      <c r="AF455" s="36"/>
      <c r="AG455" s="36"/>
      <c r="AH455" s="36"/>
      <c r="AI455" s="20">
        <f t="shared" si="22"/>
        <v>-80985</v>
      </c>
      <c r="AJ455" s="20">
        <f t="shared" si="23"/>
        <v>1</v>
      </c>
    </row>
    <row r="456" spans="1:36" x14ac:dyDescent="0.2">
      <c r="A456" s="17" t="s">
        <v>5053</v>
      </c>
      <c r="B456" s="17">
        <v>38931</v>
      </c>
      <c r="C456" s="20">
        <v>33470</v>
      </c>
      <c r="D456" s="20">
        <v>15050</v>
      </c>
      <c r="M456" s="20">
        <v>13370</v>
      </c>
      <c r="N456" s="20">
        <v>8002</v>
      </c>
      <c r="O456" s="20">
        <v>11634</v>
      </c>
      <c r="P456" s="20">
        <v>0</v>
      </c>
      <c r="W456" s="20">
        <f t="shared" si="21"/>
        <v>81526</v>
      </c>
      <c r="X456" s="36">
        <v>-38552</v>
      </c>
      <c r="Y456" s="36">
        <v>-20610</v>
      </c>
      <c r="Z456" s="36">
        <v>0</v>
      </c>
      <c r="AA456" s="36">
        <v>-5398</v>
      </c>
      <c r="AB456" s="36">
        <v>-2365</v>
      </c>
      <c r="AC456" s="36">
        <v>-14602</v>
      </c>
      <c r="AD456" s="36">
        <v>0</v>
      </c>
      <c r="AE456" s="36">
        <v>0</v>
      </c>
      <c r="AF456" s="36"/>
      <c r="AG456" s="36"/>
      <c r="AH456" s="36"/>
      <c r="AI456" s="20">
        <f t="shared" si="22"/>
        <v>-81527</v>
      </c>
      <c r="AJ456" s="20">
        <f t="shared" si="23"/>
        <v>-1</v>
      </c>
    </row>
    <row r="457" spans="1:36" x14ac:dyDescent="0.2">
      <c r="A457" s="17" t="s">
        <v>5054</v>
      </c>
      <c r="B457" s="17">
        <v>38938</v>
      </c>
      <c r="C457" s="20">
        <v>32350</v>
      </c>
      <c r="D457" s="20">
        <v>15050</v>
      </c>
      <c r="M457" s="20">
        <v>13370</v>
      </c>
      <c r="N457" s="20">
        <v>7942</v>
      </c>
      <c r="O457" s="20">
        <v>11348</v>
      </c>
      <c r="P457" s="20">
        <v>0</v>
      </c>
      <c r="W457" s="20">
        <f t="shared" si="21"/>
        <v>80060</v>
      </c>
      <c r="X457" s="36">
        <v>-38510</v>
      </c>
      <c r="Y457" s="36">
        <v>-19432</v>
      </c>
      <c r="Z457" s="36">
        <v>0</v>
      </c>
      <c r="AA457" s="36">
        <v>-5348</v>
      </c>
      <c r="AB457" s="36">
        <v>-2365</v>
      </c>
      <c r="AC457" s="36">
        <v>-14404</v>
      </c>
      <c r="AD457" s="36">
        <v>0</v>
      </c>
      <c r="AE457" s="36">
        <v>0</v>
      </c>
      <c r="AF457" s="36"/>
      <c r="AG457" s="36"/>
      <c r="AH457" s="36"/>
      <c r="AI457" s="20">
        <f t="shared" si="22"/>
        <v>-80059</v>
      </c>
      <c r="AJ457" s="20">
        <f t="shared" si="23"/>
        <v>1</v>
      </c>
    </row>
    <row r="458" spans="1:36" x14ac:dyDescent="0.2">
      <c r="A458" s="17" t="s">
        <v>5055</v>
      </c>
      <c r="B458" s="17">
        <v>38945</v>
      </c>
      <c r="C458" s="20">
        <v>32230</v>
      </c>
      <c r="D458" s="20">
        <v>14700</v>
      </c>
      <c r="M458" s="20">
        <v>13370</v>
      </c>
      <c r="N458" s="20">
        <v>7953</v>
      </c>
      <c r="O458" s="20">
        <v>11260</v>
      </c>
      <c r="P458" s="20">
        <v>0</v>
      </c>
      <c r="W458" s="20">
        <f t="shared" si="21"/>
        <v>79513</v>
      </c>
      <c r="X458" s="36">
        <v>-38519</v>
      </c>
      <c r="Y458" s="36">
        <v>-18748</v>
      </c>
      <c r="Z458" s="36">
        <v>0</v>
      </c>
      <c r="AA458" s="36">
        <v>-5161</v>
      </c>
      <c r="AB458" s="36">
        <v>-2365</v>
      </c>
      <c r="AC458" s="36">
        <v>-14721</v>
      </c>
      <c r="AD458" s="36">
        <v>0</v>
      </c>
      <c r="AE458" s="36">
        <v>0</v>
      </c>
      <c r="AF458" s="36"/>
      <c r="AG458" s="36"/>
      <c r="AH458" s="36"/>
      <c r="AI458" s="20">
        <f t="shared" si="22"/>
        <v>-79514</v>
      </c>
      <c r="AJ458" s="20">
        <f t="shared" si="23"/>
        <v>-1</v>
      </c>
    </row>
    <row r="459" spans="1:36" x14ac:dyDescent="0.2">
      <c r="A459" s="17" t="s">
        <v>5056</v>
      </c>
      <c r="B459" s="17">
        <v>38952</v>
      </c>
      <c r="C459" s="20">
        <v>33220</v>
      </c>
      <c r="D459" s="20">
        <v>14700</v>
      </c>
      <c r="M459" s="20">
        <v>13370</v>
      </c>
      <c r="N459" s="20">
        <v>7979</v>
      </c>
      <c r="O459" s="20">
        <v>11592</v>
      </c>
      <c r="P459" s="20">
        <v>0</v>
      </c>
      <c r="W459" s="20">
        <f t="shared" si="21"/>
        <v>80861</v>
      </c>
      <c r="X459" s="36">
        <v>-38623</v>
      </c>
      <c r="Y459" s="36">
        <v>-19096</v>
      </c>
      <c r="Z459" s="36">
        <v>0</v>
      </c>
      <c r="AA459" s="36">
        <v>-5162</v>
      </c>
      <c r="AB459" s="36">
        <v>-2365</v>
      </c>
      <c r="AC459" s="36">
        <v>-15613</v>
      </c>
      <c r="AD459" s="36">
        <v>0</v>
      </c>
      <c r="AE459" s="36">
        <v>0</v>
      </c>
      <c r="AF459" s="36"/>
      <c r="AG459" s="36"/>
      <c r="AH459" s="36"/>
      <c r="AI459" s="20">
        <f t="shared" si="22"/>
        <v>-80859</v>
      </c>
      <c r="AJ459" s="20">
        <f t="shared" si="23"/>
        <v>2</v>
      </c>
    </row>
    <row r="460" spans="1:36" x14ac:dyDescent="0.2">
      <c r="A460" s="17" t="s">
        <v>5057</v>
      </c>
      <c r="B460" s="17">
        <v>38959</v>
      </c>
      <c r="C460" s="20">
        <v>33250</v>
      </c>
      <c r="D460" s="20">
        <v>14700</v>
      </c>
      <c r="M460" s="20">
        <v>13370</v>
      </c>
      <c r="N460" s="20">
        <v>7978</v>
      </c>
      <c r="O460" s="20">
        <v>12569</v>
      </c>
      <c r="P460" s="20">
        <v>0</v>
      </c>
      <c r="W460" s="20">
        <f t="shared" si="21"/>
        <v>81867</v>
      </c>
      <c r="X460" s="36">
        <v>-39408</v>
      </c>
      <c r="Y460" s="36">
        <v>-18986</v>
      </c>
      <c r="Z460" s="36">
        <v>0</v>
      </c>
      <c r="AA460" s="36">
        <v>-5145</v>
      </c>
      <c r="AB460" s="36">
        <v>-2365</v>
      </c>
      <c r="AC460" s="36">
        <v>-15962</v>
      </c>
      <c r="AD460" s="36">
        <v>0</v>
      </c>
      <c r="AE460" s="36">
        <v>0</v>
      </c>
      <c r="AF460" s="36"/>
      <c r="AG460" s="36"/>
      <c r="AH460" s="36"/>
      <c r="AI460" s="20">
        <f t="shared" si="22"/>
        <v>-81866</v>
      </c>
      <c r="AJ460" s="20">
        <f t="shared" si="23"/>
        <v>1</v>
      </c>
    </row>
    <row r="461" spans="1:36" x14ac:dyDescent="0.2">
      <c r="A461" s="17" t="s">
        <v>5058</v>
      </c>
      <c r="B461" s="17">
        <v>38966</v>
      </c>
      <c r="C461" s="20">
        <v>33080</v>
      </c>
      <c r="D461" s="20">
        <v>14700</v>
      </c>
      <c r="M461" s="20">
        <v>13370</v>
      </c>
      <c r="N461" s="20">
        <v>8024</v>
      </c>
      <c r="O461" s="20">
        <v>11724</v>
      </c>
      <c r="P461" s="20">
        <v>0</v>
      </c>
      <c r="W461" s="20">
        <f t="shared" si="21"/>
        <v>80898</v>
      </c>
      <c r="X461" s="36">
        <v>-38514</v>
      </c>
      <c r="Y461" s="36">
        <v>-19680</v>
      </c>
      <c r="Z461" s="36">
        <v>0</v>
      </c>
      <c r="AA461" s="36">
        <v>-5193</v>
      </c>
      <c r="AB461" s="36">
        <v>-2365</v>
      </c>
      <c r="AC461" s="36">
        <v>-15145</v>
      </c>
      <c r="AD461" s="36">
        <v>0</v>
      </c>
      <c r="AE461" s="36">
        <v>0</v>
      </c>
      <c r="AF461" s="36"/>
      <c r="AG461" s="36"/>
      <c r="AH461" s="36"/>
      <c r="AI461" s="20">
        <f t="shared" si="22"/>
        <v>-80897</v>
      </c>
      <c r="AJ461" s="20">
        <f t="shared" si="23"/>
        <v>1</v>
      </c>
    </row>
    <row r="462" spans="1:36" x14ac:dyDescent="0.2">
      <c r="A462" s="17" t="s">
        <v>5059</v>
      </c>
      <c r="B462" s="17">
        <v>38973</v>
      </c>
      <c r="C462" s="20">
        <v>31650</v>
      </c>
      <c r="D462" s="20">
        <v>14700</v>
      </c>
      <c r="M462" s="20">
        <v>13370</v>
      </c>
      <c r="N462" s="20">
        <v>7962</v>
      </c>
      <c r="O462" s="20">
        <v>11833</v>
      </c>
      <c r="P462" s="20">
        <v>0</v>
      </c>
      <c r="W462" s="20">
        <f t="shared" si="21"/>
        <v>79515</v>
      </c>
      <c r="X462" s="36">
        <v>-38453</v>
      </c>
      <c r="Y462" s="36">
        <v>-18445</v>
      </c>
      <c r="Z462" s="36">
        <v>0</v>
      </c>
      <c r="AA462" s="36">
        <v>-5174</v>
      </c>
      <c r="AB462" s="36">
        <v>-2365</v>
      </c>
      <c r="AC462" s="36">
        <v>-15077</v>
      </c>
      <c r="AD462" s="36">
        <v>0</v>
      </c>
      <c r="AE462" s="36">
        <v>0</v>
      </c>
      <c r="AF462" s="36"/>
      <c r="AG462" s="36"/>
      <c r="AH462" s="36"/>
      <c r="AI462" s="20">
        <f t="shared" si="22"/>
        <v>-79514</v>
      </c>
      <c r="AJ462" s="20">
        <f t="shared" si="23"/>
        <v>1</v>
      </c>
    </row>
    <row r="463" spans="1:36" x14ac:dyDescent="0.2">
      <c r="A463" s="17" t="s">
        <v>5060</v>
      </c>
      <c r="B463" s="17">
        <v>38980</v>
      </c>
      <c r="C463" s="20">
        <v>31110</v>
      </c>
      <c r="D463" s="20">
        <v>15200</v>
      </c>
      <c r="M463" s="20">
        <v>13370</v>
      </c>
      <c r="N463" s="20">
        <v>7846</v>
      </c>
      <c r="O463" s="20">
        <v>12067</v>
      </c>
      <c r="P463" s="20">
        <v>0</v>
      </c>
      <c r="W463" s="20">
        <f t="shared" si="21"/>
        <v>79593</v>
      </c>
      <c r="X463" s="36">
        <v>-38476</v>
      </c>
      <c r="Y463" s="36">
        <v>-18376</v>
      </c>
      <c r="Z463" s="36">
        <v>0</v>
      </c>
      <c r="AA463" s="36">
        <v>-4938</v>
      </c>
      <c r="AB463" s="36">
        <v>-2365</v>
      </c>
      <c r="AC463" s="36">
        <v>-15438</v>
      </c>
      <c r="AD463" s="36">
        <v>0</v>
      </c>
      <c r="AE463" s="36">
        <v>0</v>
      </c>
      <c r="AF463" s="36"/>
      <c r="AG463" s="36"/>
      <c r="AH463" s="36"/>
      <c r="AI463" s="20">
        <f t="shared" si="22"/>
        <v>-79593</v>
      </c>
      <c r="AJ463" s="20">
        <f t="shared" si="23"/>
        <v>0</v>
      </c>
    </row>
    <row r="464" spans="1:36" x14ac:dyDescent="0.2">
      <c r="A464" s="17" t="s">
        <v>5061</v>
      </c>
      <c r="B464" s="17">
        <v>38987</v>
      </c>
      <c r="C464" s="20">
        <v>30800</v>
      </c>
      <c r="D464" s="20">
        <v>15200</v>
      </c>
      <c r="M464" s="20">
        <v>13370</v>
      </c>
      <c r="N464" s="20">
        <v>7910</v>
      </c>
      <c r="O464" s="20">
        <v>12662</v>
      </c>
      <c r="P464" s="20">
        <v>0</v>
      </c>
      <c r="W464" s="20">
        <f t="shared" si="21"/>
        <v>79942</v>
      </c>
      <c r="X464" s="36">
        <v>-38401</v>
      </c>
      <c r="Y464" s="36">
        <v>-18103</v>
      </c>
      <c r="Z464" s="36">
        <v>0</v>
      </c>
      <c r="AA464" s="36">
        <v>-4955</v>
      </c>
      <c r="AB464" s="36">
        <v>-2365</v>
      </c>
      <c r="AC464" s="36">
        <v>-16117</v>
      </c>
      <c r="AD464" s="36">
        <v>0</v>
      </c>
      <c r="AE464" s="36">
        <v>0</v>
      </c>
      <c r="AF464" s="36"/>
      <c r="AG464" s="36"/>
      <c r="AH464" s="36"/>
      <c r="AI464" s="20">
        <f t="shared" si="22"/>
        <v>-79941</v>
      </c>
      <c r="AJ464" s="20">
        <f t="shared" si="23"/>
        <v>1</v>
      </c>
    </row>
    <row r="465" spans="1:36" x14ac:dyDescent="0.2">
      <c r="A465" s="17" t="s">
        <v>5062</v>
      </c>
      <c r="B465" s="17">
        <v>38994</v>
      </c>
      <c r="C465" s="20">
        <v>35460</v>
      </c>
      <c r="D465" s="20">
        <v>15200</v>
      </c>
      <c r="M465" s="20">
        <v>13370</v>
      </c>
      <c r="N465" s="20">
        <v>7892</v>
      </c>
      <c r="O465" s="20">
        <v>12566</v>
      </c>
      <c r="P465" s="20">
        <v>0</v>
      </c>
      <c r="W465" s="20">
        <f t="shared" si="21"/>
        <v>84488</v>
      </c>
      <c r="X465" s="36">
        <v>-38538</v>
      </c>
      <c r="Y465" s="36">
        <v>-22734</v>
      </c>
      <c r="Z465" s="36">
        <v>0</v>
      </c>
      <c r="AA465" s="36">
        <v>-4959</v>
      </c>
      <c r="AB465" s="36">
        <v>-2365</v>
      </c>
      <c r="AC465" s="36">
        <v>-15887</v>
      </c>
      <c r="AD465" s="36">
        <v>-5</v>
      </c>
      <c r="AE465" s="36"/>
      <c r="AF465" s="36"/>
      <c r="AG465" s="36"/>
      <c r="AH465" s="36"/>
      <c r="AI465" s="20">
        <f t="shared" si="22"/>
        <v>-84488</v>
      </c>
      <c r="AJ465" s="20">
        <f t="shared" si="23"/>
        <v>0</v>
      </c>
    </row>
    <row r="466" spans="1:36" x14ac:dyDescent="0.2">
      <c r="A466" s="17" t="s">
        <v>5063</v>
      </c>
      <c r="B466" s="17">
        <v>39001</v>
      </c>
      <c r="C466" s="20">
        <v>30430</v>
      </c>
      <c r="D466" s="20">
        <v>15200</v>
      </c>
      <c r="M466" s="20">
        <v>13370</v>
      </c>
      <c r="N466" s="20">
        <v>7891</v>
      </c>
      <c r="O466" s="20">
        <v>12158</v>
      </c>
      <c r="P466" s="20">
        <v>0</v>
      </c>
      <c r="W466" s="20">
        <f t="shared" si="21"/>
        <v>79049</v>
      </c>
      <c r="X466" s="36">
        <v>-38509</v>
      </c>
      <c r="Y466" s="36">
        <v>-17697</v>
      </c>
      <c r="Z466" s="36">
        <v>0</v>
      </c>
      <c r="AA466" s="36">
        <v>-4973</v>
      </c>
      <c r="AB466" s="36">
        <v>-2365</v>
      </c>
      <c r="AC466" s="36">
        <v>-15505</v>
      </c>
      <c r="AD466" s="36">
        <v>0</v>
      </c>
      <c r="AE466" s="36"/>
      <c r="AF466" s="36"/>
      <c r="AG466" s="36"/>
      <c r="AH466" s="36"/>
      <c r="AI466" s="20">
        <f t="shared" si="22"/>
        <v>-79049</v>
      </c>
      <c r="AJ466" s="20">
        <f t="shared" si="23"/>
        <v>0</v>
      </c>
    </row>
    <row r="467" spans="1:36" x14ac:dyDescent="0.2">
      <c r="A467" s="17" t="s">
        <v>5064</v>
      </c>
      <c r="B467" s="17">
        <v>39008</v>
      </c>
      <c r="C467" s="20">
        <v>29900</v>
      </c>
      <c r="D467" s="20">
        <v>15100</v>
      </c>
      <c r="M467" s="20">
        <v>13370</v>
      </c>
      <c r="N467" s="20">
        <v>7850</v>
      </c>
      <c r="O467" s="20">
        <v>11965</v>
      </c>
      <c r="P467" s="20">
        <v>0</v>
      </c>
      <c r="W467" s="20">
        <f t="shared" si="21"/>
        <v>78185</v>
      </c>
      <c r="X467" s="36">
        <v>-38427</v>
      </c>
      <c r="Y467" s="36">
        <v>-17150</v>
      </c>
      <c r="Z467" s="36">
        <v>0</v>
      </c>
      <c r="AA467" s="36">
        <v>-4735</v>
      </c>
      <c r="AB467" s="36">
        <v>-2365</v>
      </c>
      <c r="AC467" s="36">
        <v>-15507</v>
      </c>
      <c r="AD467" s="36">
        <v>0</v>
      </c>
      <c r="AE467" s="36"/>
      <c r="AF467" s="36"/>
      <c r="AG467" s="36"/>
      <c r="AH467" s="36"/>
      <c r="AI467" s="20">
        <f t="shared" si="22"/>
        <v>-78184</v>
      </c>
      <c r="AJ467" s="20">
        <f t="shared" si="23"/>
        <v>1</v>
      </c>
    </row>
    <row r="468" spans="1:36" x14ac:dyDescent="0.2">
      <c r="A468" s="17" t="s">
        <v>5065</v>
      </c>
      <c r="B468" s="17">
        <v>39015</v>
      </c>
      <c r="C468" s="20">
        <v>30160</v>
      </c>
      <c r="D468" s="20">
        <v>15100</v>
      </c>
      <c r="M468" s="20">
        <v>13370</v>
      </c>
      <c r="N468" s="20">
        <v>7908</v>
      </c>
      <c r="O468" s="20">
        <v>12253</v>
      </c>
      <c r="P468" s="20">
        <v>0</v>
      </c>
      <c r="W468" s="20">
        <f t="shared" si="21"/>
        <v>78791</v>
      </c>
      <c r="X468" s="36">
        <v>-38568</v>
      </c>
      <c r="Y468" s="36">
        <v>-17320</v>
      </c>
      <c r="Z468" s="36">
        <v>0</v>
      </c>
      <c r="AA468" s="36">
        <v>-4737</v>
      </c>
      <c r="AB468" s="36">
        <v>-2365</v>
      </c>
      <c r="AC468" s="36">
        <v>-15800</v>
      </c>
      <c r="AD468" s="36">
        <v>0</v>
      </c>
      <c r="AE468" s="36"/>
      <c r="AF468" s="36"/>
      <c r="AG468" s="36"/>
      <c r="AH468" s="36"/>
      <c r="AI468" s="20">
        <f t="shared" si="22"/>
        <v>-78790</v>
      </c>
      <c r="AJ468" s="20">
        <f t="shared" si="23"/>
        <v>1</v>
      </c>
    </row>
    <row r="469" spans="1:36" x14ac:dyDescent="0.2">
      <c r="A469" s="17" t="s">
        <v>5066</v>
      </c>
      <c r="B469" s="17">
        <v>39022</v>
      </c>
      <c r="C469" s="20">
        <v>30760</v>
      </c>
      <c r="D469" s="20">
        <v>15100</v>
      </c>
      <c r="M469" s="20">
        <v>13370</v>
      </c>
      <c r="N469" s="20">
        <v>8097</v>
      </c>
      <c r="O469" s="20">
        <v>12938</v>
      </c>
      <c r="P469" s="20">
        <v>0</v>
      </c>
      <c r="W469" s="20">
        <f t="shared" si="21"/>
        <v>80265</v>
      </c>
      <c r="X469" s="36">
        <v>-38844</v>
      </c>
      <c r="Y469" s="36">
        <v>-17322</v>
      </c>
      <c r="Z469" s="36">
        <v>0</v>
      </c>
      <c r="AA469" s="36">
        <v>-4734</v>
      </c>
      <c r="AB469" s="36">
        <v>-2365</v>
      </c>
      <c r="AC469" s="36">
        <v>-17000</v>
      </c>
      <c r="AD469" s="36">
        <v>0</v>
      </c>
      <c r="AE469" s="36"/>
      <c r="AF469" s="36"/>
      <c r="AG469" s="36"/>
      <c r="AH469" s="36"/>
      <c r="AI469" s="20">
        <f t="shared" si="22"/>
        <v>-80265</v>
      </c>
      <c r="AJ469" s="20">
        <f t="shared" si="23"/>
        <v>0</v>
      </c>
    </row>
    <row r="470" spans="1:36" x14ac:dyDescent="0.2">
      <c r="A470" s="17" t="s">
        <v>5067</v>
      </c>
      <c r="B470" s="17">
        <v>39029</v>
      </c>
      <c r="C470" s="20">
        <v>31240</v>
      </c>
      <c r="D470" s="20">
        <v>15100</v>
      </c>
      <c r="M470" s="20">
        <v>13370</v>
      </c>
      <c r="N470" s="20">
        <v>8174</v>
      </c>
      <c r="O470" s="20">
        <v>12227</v>
      </c>
      <c r="P470" s="20">
        <v>0</v>
      </c>
      <c r="W470" s="20">
        <f t="shared" si="21"/>
        <v>80111</v>
      </c>
      <c r="X470" s="36">
        <v>-38700</v>
      </c>
      <c r="Y470" s="36">
        <v>-15966</v>
      </c>
      <c r="Z470" s="36">
        <v>-2392</v>
      </c>
      <c r="AA470" s="36">
        <v>-4741</v>
      </c>
      <c r="AB470" s="36">
        <v>-2365</v>
      </c>
      <c r="AC470" s="36">
        <v>-15946</v>
      </c>
      <c r="AD470" s="36">
        <v>0</v>
      </c>
      <c r="AE470" s="36"/>
      <c r="AF470" s="36"/>
      <c r="AG470" s="36"/>
      <c r="AH470" s="36"/>
      <c r="AI470" s="20">
        <f t="shared" si="22"/>
        <v>-80110</v>
      </c>
      <c r="AJ470" s="20">
        <f t="shared" si="23"/>
        <v>1</v>
      </c>
    </row>
    <row r="471" spans="1:36" x14ac:dyDescent="0.2">
      <c r="A471" s="17" t="s">
        <v>5068</v>
      </c>
      <c r="B471" s="17">
        <v>39036</v>
      </c>
      <c r="C471" s="20">
        <v>31560</v>
      </c>
      <c r="D471" s="20">
        <v>15000</v>
      </c>
      <c r="M471" s="20">
        <v>13370</v>
      </c>
      <c r="N471" s="20">
        <v>8236</v>
      </c>
      <c r="O471" s="20">
        <v>12205</v>
      </c>
      <c r="P471" s="20">
        <v>0</v>
      </c>
      <c r="W471" s="20">
        <f t="shared" si="21"/>
        <v>80371</v>
      </c>
      <c r="X471" s="36">
        <v>-38686</v>
      </c>
      <c r="Y471" s="36">
        <v>-19336</v>
      </c>
      <c r="Z471" s="36">
        <v>0</v>
      </c>
      <c r="AA471" s="36">
        <v>-4802</v>
      </c>
      <c r="AB471" s="36">
        <v>-2365</v>
      </c>
      <c r="AC471" s="36">
        <v>-15181</v>
      </c>
      <c r="AD471" s="36">
        <v>0</v>
      </c>
      <c r="AE471" s="36"/>
      <c r="AF471" s="36"/>
      <c r="AG471" s="36"/>
      <c r="AH471" s="36"/>
      <c r="AI471" s="20">
        <f t="shared" si="22"/>
        <v>-80370</v>
      </c>
      <c r="AJ471" s="20">
        <f t="shared" si="23"/>
        <v>1</v>
      </c>
    </row>
    <row r="472" spans="1:36" x14ac:dyDescent="0.2">
      <c r="A472" s="17" t="s">
        <v>5069</v>
      </c>
      <c r="B472" s="17">
        <v>39043</v>
      </c>
      <c r="C472" s="20">
        <v>30130</v>
      </c>
      <c r="D472" s="20">
        <v>15000</v>
      </c>
      <c r="M472" s="20">
        <v>13370</v>
      </c>
      <c r="N472" s="20">
        <v>8226</v>
      </c>
      <c r="O472" s="20">
        <v>12003</v>
      </c>
      <c r="P472" s="20">
        <v>0</v>
      </c>
      <c r="W472" s="20">
        <f t="shared" si="21"/>
        <v>78729</v>
      </c>
      <c r="X472" s="36">
        <v>-39052</v>
      </c>
      <c r="Y472" s="36">
        <v>-17304</v>
      </c>
      <c r="Z472" s="36">
        <v>0</v>
      </c>
      <c r="AA472" s="36">
        <v>-4788</v>
      </c>
      <c r="AB472" s="36">
        <v>-2365</v>
      </c>
      <c r="AC472" s="36">
        <v>-15220</v>
      </c>
      <c r="AD472" s="36">
        <v>0</v>
      </c>
      <c r="AE472" s="36"/>
      <c r="AF472" s="36"/>
      <c r="AG472" s="36"/>
      <c r="AH472" s="36"/>
      <c r="AI472" s="20">
        <f t="shared" si="22"/>
        <v>-78729</v>
      </c>
      <c r="AJ472" s="20">
        <f t="shared" si="23"/>
        <v>0</v>
      </c>
    </row>
    <row r="473" spans="1:36" x14ac:dyDescent="0.2">
      <c r="A473" s="17" t="s">
        <v>5070</v>
      </c>
      <c r="B473" s="17">
        <v>39050</v>
      </c>
      <c r="C473" s="20">
        <v>31540</v>
      </c>
      <c r="D473" s="20">
        <v>15000</v>
      </c>
      <c r="M473" s="20">
        <v>13370</v>
      </c>
      <c r="N473" s="20">
        <v>8252</v>
      </c>
      <c r="O473" s="20">
        <v>12118</v>
      </c>
      <c r="P473" s="20">
        <v>0</v>
      </c>
      <c r="W473" s="20">
        <f t="shared" si="21"/>
        <v>80280</v>
      </c>
      <c r="X473" s="36">
        <v>-39415</v>
      </c>
      <c r="Y473" s="36">
        <v>-18562</v>
      </c>
      <c r="Z473" s="36">
        <v>0</v>
      </c>
      <c r="AA473" s="36">
        <v>-4783</v>
      </c>
      <c r="AB473" s="36">
        <v>-2365</v>
      </c>
      <c r="AC473" s="36">
        <v>-15155</v>
      </c>
      <c r="AD473" s="36">
        <v>0</v>
      </c>
      <c r="AE473" s="36"/>
      <c r="AF473" s="36"/>
      <c r="AG473" s="36"/>
      <c r="AH473" s="36"/>
      <c r="AI473" s="20">
        <f t="shared" si="22"/>
        <v>-80280</v>
      </c>
      <c r="AJ473" s="20">
        <f t="shared" si="23"/>
        <v>0</v>
      </c>
    </row>
    <row r="474" spans="1:36" x14ac:dyDescent="0.2">
      <c r="A474" s="17" t="s">
        <v>5071</v>
      </c>
      <c r="B474" s="17">
        <v>39057</v>
      </c>
      <c r="C474" s="20">
        <v>33420</v>
      </c>
      <c r="D474" s="20">
        <v>15000</v>
      </c>
      <c r="M474" s="20">
        <v>13370</v>
      </c>
      <c r="N474" s="20">
        <v>8275</v>
      </c>
      <c r="O474" s="20">
        <v>12281</v>
      </c>
      <c r="P474" s="20">
        <v>0</v>
      </c>
      <c r="W474" s="20">
        <f t="shared" si="21"/>
        <v>82346</v>
      </c>
      <c r="X474" s="36">
        <v>-39821</v>
      </c>
      <c r="Y474" s="36">
        <v>-19725</v>
      </c>
      <c r="Z474" s="36">
        <v>0</v>
      </c>
      <c r="AA474" s="36">
        <v>-4795</v>
      </c>
      <c r="AB474" s="36">
        <v>-2568</v>
      </c>
      <c r="AC474" s="36">
        <v>-15437</v>
      </c>
      <c r="AD474" s="36">
        <v>0</v>
      </c>
      <c r="AE474" s="36"/>
      <c r="AF474" s="36"/>
      <c r="AG474" s="36"/>
      <c r="AH474" s="36"/>
      <c r="AI474" s="20">
        <f t="shared" si="22"/>
        <v>-82346</v>
      </c>
      <c r="AJ474" s="20">
        <f t="shared" si="23"/>
        <v>0</v>
      </c>
    </row>
    <row r="475" spans="1:36" x14ac:dyDescent="0.2">
      <c r="A475" s="17" t="s">
        <v>5072</v>
      </c>
      <c r="B475" s="17">
        <v>39064</v>
      </c>
      <c r="C475" s="20">
        <v>34700</v>
      </c>
      <c r="D475" s="20">
        <v>15000</v>
      </c>
      <c r="M475" s="20">
        <v>13370</v>
      </c>
      <c r="N475" s="20">
        <v>7836</v>
      </c>
      <c r="O475" s="20">
        <v>12642</v>
      </c>
      <c r="P475" s="20">
        <v>0</v>
      </c>
      <c r="W475" s="20">
        <f t="shared" si="21"/>
        <v>83548</v>
      </c>
      <c r="X475" s="36">
        <v>-40062</v>
      </c>
      <c r="Y475" s="36">
        <v>-20591</v>
      </c>
      <c r="Z475" s="36">
        <v>0</v>
      </c>
      <c r="AA475" s="36">
        <v>-4767</v>
      </c>
      <c r="AB475" s="36">
        <v>-2568</v>
      </c>
      <c r="AC475" s="36">
        <v>-15559</v>
      </c>
      <c r="AD475" s="36">
        <v>0</v>
      </c>
      <c r="AE475" s="36"/>
      <c r="AF475" s="36"/>
      <c r="AG475" s="36"/>
      <c r="AH475" s="36"/>
      <c r="AI475" s="20">
        <f t="shared" si="22"/>
        <v>-83547</v>
      </c>
      <c r="AJ475" s="20">
        <f t="shared" si="23"/>
        <v>1</v>
      </c>
    </row>
    <row r="476" spans="1:36" x14ac:dyDescent="0.2">
      <c r="A476" s="17" t="s">
        <v>5073</v>
      </c>
      <c r="B476" s="17">
        <v>39071</v>
      </c>
      <c r="C476" s="20">
        <v>36080</v>
      </c>
      <c r="D476" s="20">
        <v>14900</v>
      </c>
      <c r="M476" s="20">
        <v>13370</v>
      </c>
      <c r="N476" s="20">
        <v>7811</v>
      </c>
      <c r="O476" s="20">
        <v>12671</v>
      </c>
      <c r="P476" s="20">
        <v>0</v>
      </c>
      <c r="W476" s="20">
        <f t="shared" si="21"/>
        <v>84832</v>
      </c>
      <c r="X476" s="36">
        <v>-41366</v>
      </c>
      <c r="Y476" s="36">
        <v>-20371</v>
      </c>
      <c r="Z476" s="36">
        <v>0</v>
      </c>
      <c r="AA476" s="36">
        <v>-4758</v>
      </c>
      <c r="AB476" s="36">
        <v>-2568</v>
      </c>
      <c r="AC476" s="36">
        <v>-15768</v>
      </c>
      <c r="AD476" s="36">
        <v>0</v>
      </c>
      <c r="AE476" s="36"/>
      <c r="AF476" s="36"/>
      <c r="AG476" s="36"/>
      <c r="AH476" s="36"/>
      <c r="AI476" s="20">
        <f t="shared" si="22"/>
        <v>-84831</v>
      </c>
      <c r="AJ476" s="20">
        <f t="shared" si="23"/>
        <v>1</v>
      </c>
    </row>
    <row r="477" spans="1:36" x14ac:dyDescent="0.2">
      <c r="A477" s="17" t="s">
        <v>5074</v>
      </c>
      <c r="B477" s="17">
        <v>39078</v>
      </c>
      <c r="C477" s="20">
        <v>36510</v>
      </c>
      <c r="D477" s="20">
        <v>14900</v>
      </c>
      <c r="M477" s="20">
        <v>13370</v>
      </c>
      <c r="N477" s="20">
        <v>7804</v>
      </c>
      <c r="O477" s="20">
        <v>13010</v>
      </c>
      <c r="P477" s="20">
        <v>0</v>
      </c>
      <c r="W477" s="20">
        <f t="shared" si="21"/>
        <v>85594</v>
      </c>
      <c r="X477" s="36">
        <v>-42203</v>
      </c>
      <c r="Y477" s="36">
        <v>-20132</v>
      </c>
      <c r="Z477" s="36">
        <v>0</v>
      </c>
      <c r="AA477" s="36">
        <v>-4759</v>
      </c>
      <c r="AB477" s="36">
        <v>-2568</v>
      </c>
      <c r="AC477" s="36">
        <v>-15931</v>
      </c>
      <c r="AD477" s="36">
        <v>0</v>
      </c>
      <c r="AE477" s="36"/>
      <c r="AF477" s="36"/>
      <c r="AG477" s="36"/>
      <c r="AH477" s="36"/>
      <c r="AI477" s="20">
        <f t="shared" si="22"/>
        <v>-85593</v>
      </c>
      <c r="AJ477" s="20">
        <f t="shared" si="23"/>
        <v>1</v>
      </c>
    </row>
    <row r="478" spans="1:36" x14ac:dyDescent="0.2">
      <c r="A478" s="17" t="s">
        <v>5075</v>
      </c>
      <c r="B478" s="17">
        <v>39085</v>
      </c>
      <c r="C478" s="20">
        <v>36010</v>
      </c>
      <c r="D478" s="20">
        <v>14900</v>
      </c>
      <c r="M478" s="20">
        <v>13370</v>
      </c>
      <c r="N478" s="20">
        <v>7581</v>
      </c>
      <c r="O478" s="20">
        <v>13353</v>
      </c>
      <c r="P478" s="20">
        <v>0</v>
      </c>
      <c r="W478" s="20">
        <f t="shared" si="21"/>
        <v>85214</v>
      </c>
      <c r="X478" s="36">
        <v>-41104</v>
      </c>
      <c r="Y478" s="36">
        <v>-20324</v>
      </c>
      <c r="Z478" s="36">
        <v>0</v>
      </c>
      <c r="AA478" s="36">
        <v>-4795</v>
      </c>
      <c r="AB478" s="36">
        <v>-2568</v>
      </c>
      <c r="AC478" s="36">
        <v>-16423</v>
      </c>
      <c r="AD478" s="36">
        <v>0</v>
      </c>
      <c r="AE478" s="36"/>
      <c r="AF478" s="36"/>
      <c r="AG478" s="36"/>
      <c r="AH478" s="36"/>
      <c r="AI478" s="20">
        <f t="shared" si="22"/>
        <v>-85214</v>
      </c>
      <c r="AJ478" s="20">
        <f t="shared" si="23"/>
        <v>0</v>
      </c>
    </row>
    <row r="479" spans="1:36" x14ac:dyDescent="0.2">
      <c r="A479" s="17" t="s">
        <v>5076</v>
      </c>
      <c r="B479" s="17">
        <v>39092</v>
      </c>
      <c r="C479" s="20">
        <v>34370</v>
      </c>
      <c r="D479" s="20">
        <v>14900</v>
      </c>
      <c r="M479" s="20">
        <v>13370</v>
      </c>
      <c r="N479" s="20">
        <v>7272</v>
      </c>
      <c r="O479" s="20">
        <v>13045</v>
      </c>
      <c r="P479" s="20">
        <v>0</v>
      </c>
      <c r="W479" s="20">
        <f t="shared" si="21"/>
        <v>82957</v>
      </c>
      <c r="X479" s="36">
        <v>-39060</v>
      </c>
      <c r="Y479" s="36">
        <v>-19589</v>
      </c>
      <c r="Z479" s="36">
        <v>-1416</v>
      </c>
      <c r="AA479" s="36">
        <v>-4753</v>
      </c>
      <c r="AB479" s="36">
        <v>-2568</v>
      </c>
      <c r="AC479" s="36">
        <v>-15571</v>
      </c>
      <c r="AD479" s="36">
        <v>0</v>
      </c>
      <c r="AE479" s="36"/>
      <c r="AF479" s="36"/>
      <c r="AG479" s="36"/>
      <c r="AH479" s="36"/>
      <c r="AI479" s="20">
        <f t="shared" si="22"/>
        <v>-82957</v>
      </c>
      <c r="AJ479" s="20">
        <f t="shared" si="23"/>
        <v>0</v>
      </c>
    </row>
    <row r="480" spans="1:36" x14ac:dyDescent="0.2">
      <c r="A480" s="17" t="s">
        <v>5077</v>
      </c>
      <c r="B480" s="17">
        <v>39099</v>
      </c>
      <c r="C480" s="20">
        <v>31110</v>
      </c>
      <c r="D480" s="20">
        <v>15000</v>
      </c>
      <c r="M480" s="20">
        <v>13370</v>
      </c>
      <c r="N480" s="20">
        <v>7073</v>
      </c>
      <c r="O480" s="20">
        <v>13286</v>
      </c>
      <c r="P480" s="20">
        <v>0</v>
      </c>
      <c r="W480" s="20">
        <f t="shared" si="21"/>
        <v>79839</v>
      </c>
      <c r="X480" s="36">
        <v>-38465</v>
      </c>
      <c r="Y480" s="36">
        <v>-18437</v>
      </c>
      <c r="Z480" s="36">
        <v>0</v>
      </c>
      <c r="AA480" s="36">
        <v>-4666</v>
      </c>
      <c r="AB480" s="36">
        <v>-2568</v>
      </c>
      <c r="AC480" s="36">
        <v>-15703</v>
      </c>
      <c r="AD480" s="36">
        <v>0</v>
      </c>
      <c r="AE480" s="36"/>
      <c r="AF480" s="36"/>
      <c r="AG480" s="36"/>
      <c r="AH480" s="36"/>
      <c r="AI480" s="20">
        <f t="shared" si="22"/>
        <v>-79839</v>
      </c>
      <c r="AJ480" s="20">
        <f t="shared" si="23"/>
        <v>0</v>
      </c>
    </row>
    <row r="481" spans="1:36" x14ac:dyDescent="0.2">
      <c r="A481" s="17" t="s">
        <v>5078</v>
      </c>
      <c r="B481" s="17">
        <v>39106</v>
      </c>
      <c r="C481" s="20">
        <v>30530</v>
      </c>
      <c r="D481" s="20">
        <v>15000</v>
      </c>
      <c r="M481" s="20">
        <v>13370</v>
      </c>
      <c r="N481" s="20">
        <v>6707</v>
      </c>
      <c r="O481" s="20">
        <v>13706</v>
      </c>
      <c r="P481" s="20">
        <v>0</v>
      </c>
      <c r="W481" s="20">
        <f t="shared" si="21"/>
        <v>79313</v>
      </c>
      <c r="X481" s="36">
        <v>-38066</v>
      </c>
      <c r="Y481" s="36">
        <v>-18219</v>
      </c>
      <c r="Z481" s="36">
        <v>0</v>
      </c>
      <c r="AA481" s="36">
        <v>-4685</v>
      </c>
      <c r="AB481" s="36">
        <v>-2568</v>
      </c>
      <c r="AC481" s="36">
        <v>-15775</v>
      </c>
      <c r="AD481" s="36">
        <v>0</v>
      </c>
      <c r="AE481" s="36"/>
      <c r="AF481" s="36"/>
      <c r="AG481" s="36"/>
      <c r="AH481" s="36"/>
      <c r="AI481" s="20">
        <f t="shared" si="22"/>
        <v>-79313</v>
      </c>
      <c r="AJ481" s="20">
        <f t="shared" si="23"/>
        <v>0</v>
      </c>
    </row>
    <row r="482" spans="1:36" x14ac:dyDescent="0.2">
      <c r="A482" s="17" t="s">
        <v>5079</v>
      </c>
      <c r="B482" s="17">
        <v>39113</v>
      </c>
      <c r="C482" s="20">
        <v>30420</v>
      </c>
      <c r="D482" s="20">
        <v>15000</v>
      </c>
      <c r="M482" s="20">
        <v>13370</v>
      </c>
      <c r="N482" s="20">
        <v>6675</v>
      </c>
      <c r="O482" s="20">
        <v>12793</v>
      </c>
      <c r="P482" s="20">
        <v>0</v>
      </c>
      <c r="W482" s="20">
        <f t="shared" si="21"/>
        <v>78258</v>
      </c>
      <c r="X482" s="36">
        <v>-38159</v>
      </c>
      <c r="Y482" s="36">
        <v>-17255</v>
      </c>
      <c r="Z482" s="36">
        <v>0</v>
      </c>
      <c r="AA482" s="36">
        <v>-3260</v>
      </c>
      <c r="AB482" s="36">
        <v>-2568</v>
      </c>
      <c r="AC482" s="36">
        <v>-17015</v>
      </c>
      <c r="AD482" s="36">
        <v>0</v>
      </c>
      <c r="AE482" s="36"/>
      <c r="AF482" s="36"/>
      <c r="AG482" s="36"/>
      <c r="AH482" s="36"/>
      <c r="AI482" s="20">
        <f t="shared" si="22"/>
        <v>-78257</v>
      </c>
      <c r="AJ482" s="20">
        <f t="shared" si="23"/>
        <v>1</v>
      </c>
    </row>
    <row r="483" spans="1:36" x14ac:dyDescent="0.2">
      <c r="A483" s="17" t="s">
        <v>5080</v>
      </c>
      <c r="B483" s="17">
        <v>39120</v>
      </c>
      <c r="C483" s="20">
        <v>30750</v>
      </c>
      <c r="D483" s="20">
        <v>15000</v>
      </c>
      <c r="M483" s="20">
        <v>13370</v>
      </c>
      <c r="N483" s="20">
        <v>6663</v>
      </c>
      <c r="O483" s="20">
        <v>12025</v>
      </c>
      <c r="P483" s="20">
        <v>0</v>
      </c>
      <c r="W483" s="20">
        <f t="shared" si="21"/>
        <v>77808</v>
      </c>
      <c r="X483" s="36">
        <v>-37967</v>
      </c>
      <c r="Y483" s="36">
        <v>-17343</v>
      </c>
      <c r="Z483" s="36">
        <v>-848</v>
      </c>
      <c r="AA483" s="36">
        <v>-3255</v>
      </c>
      <c r="AB483" s="36">
        <v>-2568</v>
      </c>
      <c r="AC483" s="36">
        <v>-15827</v>
      </c>
      <c r="AD483" s="36">
        <v>0</v>
      </c>
      <c r="AE483" s="36"/>
      <c r="AF483" s="36"/>
      <c r="AG483" s="36"/>
      <c r="AH483" s="36"/>
      <c r="AI483" s="20">
        <f t="shared" si="22"/>
        <v>-77808</v>
      </c>
      <c r="AJ483" s="20">
        <f t="shared" si="23"/>
        <v>0</v>
      </c>
    </row>
    <row r="484" spans="1:36" x14ac:dyDescent="0.2">
      <c r="A484" s="17" t="s">
        <v>5081</v>
      </c>
      <c r="B484" s="17">
        <v>39127</v>
      </c>
      <c r="C484" s="20">
        <v>30230</v>
      </c>
      <c r="D484" s="20">
        <v>14850</v>
      </c>
      <c r="M484" s="20">
        <v>13370</v>
      </c>
      <c r="N484" s="20">
        <v>6705</v>
      </c>
      <c r="O484" s="20">
        <v>11919</v>
      </c>
      <c r="P484" s="20">
        <v>0</v>
      </c>
      <c r="W484" s="20">
        <f t="shared" si="21"/>
        <v>77074</v>
      </c>
      <c r="X484" s="36">
        <v>-38067</v>
      </c>
      <c r="Y484" s="36">
        <v>-17955</v>
      </c>
      <c r="Z484" s="36">
        <v>0</v>
      </c>
      <c r="AA484" s="36">
        <v>-3293</v>
      </c>
      <c r="AB484" s="36">
        <v>-2568</v>
      </c>
      <c r="AC484" s="36">
        <v>-15191</v>
      </c>
      <c r="AD484" s="36">
        <v>0</v>
      </c>
      <c r="AE484" s="36"/>
      <c r="AF484" s="36"/>
      <c r="AG484" s="36"/>
      <c r="AH484" s="36"/>
      <c r="AI484" s="20">
        <f t="shared" si="22"/>
        <v>-77074</v>
      </c>
      <c r="AJ484" s="20">
        <f t="shared" si="23"/>
        <v>0</v>
      </c>
    </row>
    <row r="485" spans="1:36" x14ac:dyDescent="0.2">
      <c r="A485" s="17" t="s">
        <v>5082</v>
      </c>
      <c r="B485" s="17">
        <v>39134</v>
      </c>
      <c r="C485" s="20">
        <v>30110</v>
      </c>
      <c r="D485" s="20">
        <v>15000</v>
      </c>
      <c r="M485" s="20">
        <v>13370</v>
      </c>
      <c r="N485" s="20">
        <v>6727</v>
      </c>
      <c r="O485" s="20">
        <v>11784</v>
      </c>
      <c r="P485" s="20">
        <v>0</v>
      </c>
      <c r="W485" s="20">
        <f t="shared" si="21"/>
        <v>76991</v>
      </c>
      <c r="X485" s="36">
        <v>-38214</v>
      </c>
      <c r="Y485" s="36">
        <v>-17716</v>
      </c>
      <c r="Z485" s="36">
        <v>0</v>
      </c>
      <c r="AA485" s="36">
        <v>-3314</v>
      </c>
      <c r="AB485" s="36">
        <v>-2568</v>
      </c>
      <c r="AC485" s="36">
        <v>-15180</v>
      </c>
      <c r="AD485" s="36">
        <v>0</v>
      </c>
      <c r="AE485" s="36"/>
      <c r="AF485" s="36"/>
      <c r="AG485" s="36"/>
      <c r="AH485" s="36"/>
      <c r="AI485" s="20">
        <f t="shared" si="22"/>
        <v>-76992</v>
      </c>
      <c r="AJ485" s="20">
        <f t="shared" si="23"/>
        <v>-1</v>
      </c>
    </row>
    <row r="486" spans="1:36" x14ac:dyDescent="0.2">
      <c r="A486" s="17" t="s">
        <v>5083</v>
      </c>
      <c r="B486" s="17">
        <v>39141</v>
      </c>
      <c r="C486" s="20">
        <v>30300</v>
      </c>
      <c r="D486" s="20">
        <v>15000</v>
      </c>
      <c r="M486" s="20">
        <v>13370</v>
      </c>
      <c r="N486" s="20">
        <v>6793</v>
      </c>
      <c r="O486" s="20">
        <v>12176</v>
      </c>
      <c r="P486" s="20">
        <v>0</v>
      </c>
      <c r="W486" s="20">
        <f t="shared" si="21"/>
        <v>77639</v>
      </c>
      <c r="X486" s="36">
        <v>-38449</v>
      </c>
      <c r="Y486" s="36">
        <v>-17669</v>
      </c>
      <c r="Z486" s="36">
        <v>0</v>
      </c>
      <c r="AA486" s="36">
        <v>-3328</v>
      </c>
      <c r="AB486" s="36">
        <v>-2568</v>
      </c>
      <c r="AC486" s="36">
        <v>-15625</v>
      </c>
      <c r="AD486" s="36">
        <v>0</v>
      </c>
      <c r="AE486" s="36"/>
      <c r="AF486" s="36"/>
      <c r="AG486" s="36"/>
      <c r="AH486" s="36"/>
      <c r="AI486" s="20">
        <f t="shared" si="22"/>
        <v>-77639</v>
      </c>
      <c r="AJ486" s="20">
        <f t="shared" si="23"/>
        <v>0</v>
      </c>
    </row>
    <row r="487" spans="1:36" x14ac:dyDescent="0.2">
      <c r="A487" s="17" t="s">
        <v>5084</v>
      </c>
      <c r="B487" s="17">
        <v>39148</v>
      </c>
      <c r="C487" s="20">
        <v>30700</v>
      </c>
      <c r="D487" s="20">
        <v>15000</v>
      </c>
      <c r="M487" s="20">
        <v>13370</v>
      </c>
      <c r="N487" s="20">
        <v>6830</v>
      </c>
      <c r="O487" s="20">
        <v>11847</v>
      </c>
      <c r="P487" s="20">
        <v>0</v>
      </c>
      <c r="W487" s="20">
        <f t="shared" si="21"/>
        <v>77747</v>
      </c>
      <c r="X487" s="36">
        <v>-38481</v>
      </c>
      <c r="Y487" s="36">
        <v>-16129</v>
      </c>
      <c r="Z487" s="36">
        <v>-1900</v>
      </c>
      <c r="AA487" s="36">
        <v>-3364</v>
      </c>
      <c r="AB487" s="36">
        <v>-2568</v>
      </c>
      <c r="AC487" s="36">
        <v>-15305</v>
      </c>
      <c r="AD487" s="36">
        <v>0</v>
      </c>
      <c r="AE487" s="36"/>
      <c r="AF487" s="36"/>
      <c r="AG487" s="36"/>
      <c r="AH487" s="36"/>
      <c r="AI487" s="20">
        <f t="shared" si="22"/>
        <v>-77747</v>
      </c>
      <c r="AJ487" s="20">
        <f t="shared" si="23"/>
        <v>0</v>
      </c>
    </row>
    <row r="488" spans="1:36" x14ac:dyDescent="0.2">
      <c r="A488" s="17" t="s">
        <v>5085</v>
      </c>
      <c r="B488" s="17">
        <v>39155</v>
      </c>
      <c r="C488" s="20">
        <v>31020</v>
      </c>
      <c r="D488" s="20">
        <v>14800</v>
      </c>
      <c r="M488" s="20">
        <v>13370</v>
      </c>
      <c r="N488" s="20">
        <v>7896</v>
      </c>
      <c r="O488" s="20">
        <v>13678</v>
      </c>
      <c r="P488" s="20">
        <v>0</v>
      </c>
      <c r="W488" s="20">
        <f t="shared" si="21"/>
        <v>80764</v>
      </c>
      <c r="X488" s="36">
        <v>-38547</v>
      </c>
      <c r="Y488" s="36">
        <v>-17854</v>
      </c>
      <c r="Z488" s="36">
        <v>0</v>
      </c>
      <c r="AA488" s="36">
        <v>-4417</v>
      </c>
      <c r="AB488" s="36">
        <v>-2568</v>
      </c>
      <c r="AC488" s="36">
        <v>-17377</v>
      </c>
      <c r="AD488" s="36">
        <v>0</v>
      </c>
      <c r="AE488" s="36"/>
      <c r="AF488" s="36"/>
      <c r="AG488" s="36"/>
      <c r="AH488" s="36"/>
      <c r="AI488" s="20">
        <f t="shared" si="22"/>
        <v>-80763</v>
      </c>
      <c r="AJ488" s="20">
        <f t="shared" si="23"/>
        <v>1</v>
      </c>
    </row>
    <row r="489" spans="1:36" x14ac:dyDescent="0.2">
      <c r="A489" s="17" t="s">
        <v>5086</v>
      </c>
      <c r="B489" s="17">
        <v>39162</v>
      </c>
      <c r="C489" s="20">
        <v>31260</v>
      </c>
      <c r="D489" s="20">
        <v>15000</v>
      </c>
      <c r="M489" s="20">
        <v>13370</v>
      </c>
      <c r="N489" s="20">
        <v>7827</v>
      </c>
      <c r="O489" s="20">
        <v>12082</v>
      </c>
      <c r="P489" s="20">
        <v>0</v>
      </c>
      <c r="W489" s="20">
        <f t="shared" si="21"/>
        <v>79539</v>
      </c>
      <c r="X489" s="36">
        <v>-38541</v>
      </c>
      <c r="Y489" s="36">
        <v>-18310</v>
      </c>
      <c r="Z489" s="36">
        <v>0</v>
      </c>
      <c r="AA489" s="36">
        <v>-4373</v>
      </c>
      <c r="AB489" s="36">
        <v>-2568</v>
      </c>
      <c r="AC489" s="36">
        <v>-15746</v>
      </c>
      <c r="AD489" s="36">
        <v>0</v>
      </c>
      <c r="AE489" s="36"/>
      <c r="AF489" s="36"/>
      <c r="AG489" s="36"/>
      <c r="AH489" s="36"/>
      <c r="AI489" s="20">
        <f t="shared" si="22"/>
        <v>-79538</v>
      </c>
      <c r="AJ489" s="20">
        <f t="shared" si="23"/>
        <v>1</v>
      </c>
    </row>
    <row r="490" spans="1:36" x14ac:dyDescent="0.2">
      <c r="A490" s="17" t="s">
        <v>5087</v>
      </c>
      <c r="B490" s="17">
        <v>39169</v>
      </c>
      <c r="C490" s="20">
        <v>31600</v>
      </c>
      <c r="D490" s="20">
        <v>15000</v>
      </c>
      <c r="M490" s="20">
        <v>13370</v>
      </c>
      <c r="N490" s="20">
        <v>7837</v>
      </c>
      <c r="O490" s="20">
        <v>11827</v>
      </c>
      <c r="P490" s="20">
        <v>0</v>
      </c>
      <c r="W490" s="20">
        <f t="shared" si="21"/>
        <v>79634</v>
      </c>
      <c r="X490" s="36">
        <v>-38661</v>
      </c>
      <c r="Y490" s="36">
        <v>-18454</v>
      </c>
      <c r="Z490" s="36">
        <v>0</v>
      </c>
      <c r="AA490" s="36">
        <v>-4379</v>
      </c>
      <c r="AB490" s="36">
        <v>-2568</v>
      </c>
      <c r="AC490" s="36">
        <v>-15571</v>
      </c>
      <c r="AD490" s="36">
        <v>0</v>
      </c>
      <c r="AE490" s="36"/>
      <c r="AF490" s="36"/>
      <c r="AG490" s="36"/>
      <c r="AH490" s="36"/>
      <c r="AI490" s="20">
        <f t="shared" si="22"/>
        <v>-79633</v>
      </c>
      <c r="AJ490" s="20">
        <f t="shared" si="23"/>
        <v>1</v>
      </c>
    </row>
    <row r="491" spans="1:36" x14ac:dyDescent="0.2">
      <c r="A491" s="17" t="s">
        <v>5088</v>
      </c>
      <c r="B491" s="17">
        <v>39176</v>
      </c>
      <c r="C491" s="20">
        <v>32624</v>
      </c>
      <c r="D491" s="20">
        <v>15000</v>
      </c>
      <c r="M491" s="20">
        <v>13370</v>
      </c>
      <c r="N491" s="20">
        <v>7797</v>
      </c>
      <c r="O491" s="20">
        <v>11595</v>
      </c>
      <c r="P491" s="20">
        <v>0</v>
      </c>
      <c r="W491" s="20">
        <f t="shared" si="21"/>
        <v>80386</v>
      </c>
      <c r="X491" s="36">
        <v>-39447</v>
      </c>
      <c r="Y491" s="36">
        <v>-18172</v>
      </c>
      <c r="Z491" s="36">
        <v>0</v>
      </c>
      <c r="AA491" s="36">
        <v>-4354</v>
      </c>
      <c r="AB491" s="36">
        <v>-2568</v>
      </c>
      <c r="AC491" s="36">
        <v>-15845</v>
      </c>
      <c r="AD491" s="36">
        <v>0</v>
      </c>
      <c r="AE491" s="36"/>
      <c r="AF491" s="36"/>
      <c r="AG491" s="36"/>
      <c r="AH491" s="36"/>
      <c r="AI491" s="20">
        <f t="shared" si="22"/>
        <v>-80386</v>
      </c>
      <c r="AJ491" s="20">
        <f t="shared" si="23"/>
        <v>0</v>
      </c>
    </row>
    <row r="492" spans="1:36" x14ac:dyDescent="0.2">
      <c r="A492" s="17" t="s">
        <v>5089</v>
      </c>
      <c r="B492" s="17">
        <v>39183</v>
      </c>
      <c r="C492" s="20">
        <v>32780</v>
      </c>
      <c r="D492" s="20">
        <v>15000</v>
      </c>
      <c r="M492" s="20">
        <v>13370</v>
      </c>
      <c r="N492" s="20">
        <v>7801</v>
      </c>
      <c r="O492" s="20">
        <v>11528</v>
      </c>
      <c r="P492" s="20">
        <v>0</v>
      </c>
      <c r="W492" s="20">
        <f t="shared" si="21"/>
        <v>80479</v>
      </c>
      <c r="X492" s="36">
        <v>-40098</v>
      </c>
      <c r="Y492" s="36">
        <v>-17767</v>
      </c>
      <c r="Z492" s="36">
        <v>0</v>
      </c>
      <c r="AA492" s="36">
        <v>-4364</v>
      </c>
      <c r="AB492" s="36">
        <v>-2568</v>
      </c>
      <c r="AC492" s="36">
        <v>-15683</v>
      </c>
      <c r="AD492" s="36">
        <v>0</v>
      </c>
      <c r="AE492" s="36"/>
      <c r="AF492" s="36"/>
      <c r="AG492" s="36"/>
      <c r="AH492" s="36"/>
      <c r="AI492" s="20">
        <f t="shared" si="22"/>
        <v>-80480</v>
      </c>
      <c r="AJ492" s="20">
        <f t="shared" si="23"/>
        <v>-1</v>
      </c>
    </row>
    <row r="493" spans="1:36" x14ac:dyDescent="0.2">
      <c r="A493" s="17" t="s">
        <v>5090</v>
      </c>
      <c r="B493" s="17">
        <v>39190</v>
      </c>
      <c r="C493" s="20">
        <v>32870</v>
      </c>
      <c r="D493" s="20">
        <v>15000</v>
      </c>
      <c r="M493" s="20">
        <v>13370</v>
      </c>
      <c r="N493" s="20">
        <v>7746</v>
      </c>
      <c r="O493" s="20">
        <v>12103</v>
      </c>
      <c r="P493" s="20">
        <v>0</v>
      </c>
      <c r="W493" s="20">
        <f t="shared" si="21"/>
        <v>81089</v>
      </c>
      <c r="X493" s="36">
        <v>-39134</v>
      </c>
      <c r="Y493" s="36">
        <v>-19011</v>
      </c>
      <c r="Z493" s="36">
        <v>0</v>
      </c>
      <c r="AA493" s="36">
        <v>-4345</v>
      </c>
      <c r="AB493" s="36">
        <v>-2568</v>
      </c>
      <c r="AC493" s="36">
        <v>-16029</v>
      </c>
      <c r="AD493" s="36">
        <v>0</v>
      </c>
      <c r="AE493" s="36"/>
      <c r="AF493" s="36"/>
      <c r="AG493" s="36"/>
      <c r="AH493" s="36"/>
      <c r="AI493" s="20">
        <f t="shared" si="22"/>
        <v>-81087</v>
      </c>
      <c r="AJ493" s="20">
        <f t="shared" si="23"/>
        <v>2</v>
      </c>
    </row>
    <row r="494" spans="1:36" x14ac:dyDescent="0.2">
      <c r="A494" s="17" t="s">
        <v>5091</v>
      </c>
      <c r="B494" s="17">
        <v>39197</v>
      </c>
      <c r="C494" s="20">
        <v>31130</v>
      </c>
      <c r="D494" s="20">
        <v>15000</v>
      </c>
      <c r="M494" s="20">
        <v>13370</v>
      </c>
      <c r="N494" s="20">
        <v>7772</v>
      </c>
      <c r="O494" s="20">
        <v>12277</v>
      </c>
      <c r="P494" s="20">
        <v>0</v>
      </c>
      <c r="W494" s="20">
        <f t="shared" si="21"/>
        <v>79549</v>
      </c>
      <c r="X494" s="36">
        <v>-39054</v>
      </c>
      <c r="Y494" s="36">
        <v>-17642</v>
      </c>
      <c r="Z494" s="36">
        <v>0</v>
      </c>
      <c r="AA494" s="36">
        <v>-4366</v>
      </c>
      <c r="AB494" s="36">
        <v>-2568</v>
      </c>
      <c r="AC494" s="36">
        <v>-15920</v>
      </c>
      <c r="AD494" s="36">
        <v>0</v>
      </c>
      <c r="AE494" s="36"/>
      <c r="AF494" s="36"/>
      <c r="AG494" s="36"/>
      <c r="AH494" s="36"/>
      <c r="AI494" s="20">
        <f t="shared" si="22"/>
        <v>-79550</v>
      </c>
      <c r="AJ494" s="20">
        <f t="shared" si="23"/>
        <v>-1</v>
      </c>
    </row>
    <row r="495" spans="1:36" x14ac:dyDescent="0.2">
      <c r="A495" s="17" t="s">
        <v>5092</v>
      </c>
      <c r="B495" s="17">
        <v>39204</v>
      </c>
      <c r="C495" s="20">
        <v>31060</v>
      </c>
      <c r="D495" s="20">
        <v>15000</v>
      </c>
      <c r="M495" s="20">
        <v>13370</v>
      </c>
      <c r="N495" s="20">
        <v>7771</v>
      </c>
      <c r="O495" s="20">
        <v>12215</v>
      </c>
      <c r="P495" s="20">
        <v>0</v>
      </c>
      <c r="W495" s="20">
        <f t="shared" si="21"/>
        <v>79416</v>
      </c>
      <c r="X495" s="36">
        <v>-39173</v>
      </c>
      <c r="Y495" s="36">
        <v>-17276</v>
      </c>
      <c r="Z495" s="36">
        <v>0</v>
      </c>
      <c r="AA495" s="36">
        <v>-4383</v>
      </c>
      <c r="AB495" s="36">
        <v>-2568</v>
      </c>
      <c r="AC495" s="36">
        <v>-16016</v>
      </c>
      <c r="AD495" s="36">
        <v>0</v>
      </c>
      <c r="AE495" s="36"/>
      <c r="AF495" s="36"/>
      <c r="AG495" s="36"/>
      <c r="AH495" s="36"/>
      <c r="AI495" s="20">
        <f t="shared" si="22"/>
        <v>-79416</v>
      </c>
      <c r="AJ495" s="20">
        <f t="shared" si="23"/>
        <v>0</v>
      </c>
    </row>
    <row r="496" spans="1:36" x14ac:dyDescent="0.2">
      <c r="A496" s="17" t="s">
        <v>5093</v>
      </c>
      <c r="B496" s="17">
        <v>39211</v>
      </c>
      <c r="C496" s="20">
        <v>31600</v>
      </c>
      <c r="D496" s="20">
        <v>15000</v>
      </c>
      <c r="M496" s="20">
        <v>13370</v>
      </c>
      <c r="N496" s="20">
        <v>7757</v>
      </c>
      <c r="O496" s="20">
        <v>11475</v>
      </c>
      <c r="P496" s="20">
        <v>747</v>
      </c>
      <c r="W496" s="20">
        <f t="shared" si="21"/>
        <v>79949</v>
      </c>
      <c r="X496" s="36">
        <v>-40025</v>
      </c>
      <c r="Y496" s="36">
        <v>-17940</v>
      </c>
      <c r="Z496" s="36">
        <v>0</v>
      </c>
      <c r="AA496" s="36">
        <v>-4361</v>
      </c>
      <c r="AB496" s="36">
        <v>-2568</v>
      </c>
      <c r="AC496" s="36">
        <v>-15055</v>
      </c>
      <c r="AD496" s="36">
        <v>0</v>
      </c>
      <c r="AE496" s="36"/>
      <c r="AF496" s="36"/>
      <c r="AG496" s="36"/>
      <c r="AH496" s="36"/>
      <c r="AI496" s="20">
        <f t="shared" si="22"/>
        <v>-79949</v>
      </c>
      <c r="AJ496" s="20">
        <f t="shared" si="23"/>
        <v>0</v>
      </c>
    </row>
    <row r="497" spans="1:36" x14ac:dyDescent="0.2">
      <c r="A497" s="17" t="s">
        <v>5094</v>
      </c>
      <c r="B497" s="17">
        <v>39218</v>
      </c>
      <c r="C497" s="20">
        <v>31990</v>
      </c>
      <c r="D497" s="20">
        <v>15000</v>
      </c>
      <c r="M497" s="20">
        <v>13370</v>
      </c>
      <c r="N497" s="20">
        <v>7790</v>
      </c>
      <c r="O497" s="20">
        <v>13220</v>
      </c>
      <c r="P497" s="20">
        <v>0</v>
      </c>
      <c r="W497" s="20">
        <f t="shared" si="21"/>
        <v>81370</v>
      </c>
      <c r="X497" s="36">
        <v>-39271</v>
      </c>
      <c r="Y497" s="36">
        <v>-18475</v>
      </c>
      <c r="Z497" s="36">
        <v>0</v>
      </c>
      <c r="AA497" s="36">
        <v>-4393</v>
      </c>
      <c r="AB497" s="36">
        <v>-2568</v>
      </c>
      <c r="AC497" s="36">
        <v>-16662</v>
      </c>
      <c r="AD497" s="36">
        <v>0</v>
      </c>
      <c r="AE497" s="36"/>
      <c r="AF497" s="36"/>
      <c r="AG497" s="36"/>
      <c r="AH497" s="36"/>
      <c r="AI497" s="20">
        <f t="shared" si="22"/>
        <v>-81369</v>
      </c>
      <c r="AJ497" s="20">
        <f t="shared" si="23"/>
        <v>1</v>
      </c>
    </row>
    <row r="498" spans="1:36" x14ac:dyDescent="0.2">
      <c r="A498" s="17" t="s">
        <v>5095</v>
      </c>
      <c r="B498" s="17">
        <v>39225</v>
      </c>
      <c r="C498" s="20">
        <v>30231</v>
      </c>
      <c r="D498" s="20">
        <v>15000</v>
      </c>
      <c r="M498" s="20">
        <v>13370</v>
      </c>
      <c r="N498" s="20">
        <v>7726</v>
      </c>
      <c r="O498" s="20">
        <v>12688</v>
      </c>
      <c r="P498" s="20">
        <v>0</v>
      </c>
      <c r="W498" s="20">
        <f t="shared" si="21"/>
        <v>79015</v>
      </c>
      <c r="X498" s="36">
        <v>-39486</v>
      </c>
      <c r="Y498" s="36">
        <v>-16229</v>
      </c>
      <c r="Z498" s="36">
        <v>0</v>
      </c>
      <c r="AA498" s="36">
        <v>-4357</v>
      </c>
      <c r="AB498" s="36">
        <v>-2568</v>
      </c>
      <c r="AC498" s="36">
        <v>-16373</v>
      </c>
      <c r="AD498" s="36">
        <v>0</v>
      </c>
      <c r="AE498" s="36"/>
      <c r="AF498" s="36"/>
      <c r="AG498" s="36"/>
      <c r="AH498" s="36"/>
      <c r="AI498" s="20">
        <f t="shared" si="22"/>
        <v>-79013</v>
      </c>
      <c r="AJ498" s="20">
        <f t="shared" si="23"/>
        <v>2</v>
      </c>
    </row>
    <row r="499" spans="1:36" x14ac:dyDescent="0.2">
      <c r="A499" s="17" t="s">
        <v>5096</v>
      </c>
      <c r="B499" s="17">
        <v>39232</v>
      </c>
      <c r="C499" s="20">
        <v>32380</v>
      </c>
      <c r="D499" s="20">
        <v>15000</v>
      </c>
      <c r="M499" s="20">
        <v>13370</v>
      </c>
      <c r="N499" s="20">
        <v>7758</v>
      </c>
      <c r="O499" s="20">
        <v>13358</v>
      </c>
      <c r="P499" s="20">
        <v>0</v>
      </c>
      <c r="W499" s="20">
        <f t="shared" si="21"/>
        <v>81866</v>
      </c>
      <c r="X499" s="36">
        <v>-40285</v>
      </c>
      <c r="Y499" s="36">
        <v>-17797</v>
      </c>
      <c r="Z499" s="36">
        <v>0</v>
      </c>
      <c r="AA499" s="36">
        <v>-4371</v>
      </c>
      <c r="AB499" s="36">
        <v>-2568</v>
      </c>
      <c r="AC499" s="36">
        <v>-16843</v>
      </c>
      <c r="AD499" s="36">
        <v>0</v>
      </c>
      <c r="AE499" s="36"/>
      <c r="AF499" s="36"/>
      <c r="AG499" s="36"/>
      <c r="AH499" s="36"/>
      <c r="AI499" s="20">
        <f t="shared" si="22"/>
        <v>-81864</v>
      </c>
      <c r="AJ499" s="20">
        <f t="shared" si="23"/>
        <v>2</v>
      </c>
    </row>
    <row r="500" spans="1:36" x14ac:dyDescent="0.2">
      <c r="A500" s="17" t="s">
        <v>5097</v>
      </c>
      <c r="B500" s="17">
        <v>39239</v>
      </c>
      <c r="C500" s="20">
        <v>31750</v>
      </c>
      <c r="D500" s="20">
        <v>15000</v>
      </c>
      <c r="M500" s="20">
        <v>13370</v>
      </c>
      <c r="N500" s="20">
        <v>7736</v>
      </c>
      <c r="O500" s="20">
        <v>12382</v>
      </c>
      <c r="P500" s="20">
        <v>300</v>
      </c>
      <c r="W500" s="20">
        <f t="shared" si="21"/>
        <v>80538</v>
      </c>
      <c r="X500" s="36">
        <v>-39606</v>
      </c>
      <c r="Y500" s="36">
        <v>-18145</v>
      </c>
      <c r="Z500" s="36">
        <v>0</v>
      </c>
      <c r="AA500" s="36">
        <v>-4351</v>
      </c>
      <c r="AB500" s="36">
        <v>-2716</v>
      </c>
      <c r="AC500" s="36">
        <v>-15717</v>
      </c>
      <c r="AD500" s="36">
        <v>0</v>
      </c>
      <c r="AE500" s="36"/>
      <c r="AF500" s="36"/>
      <c r="AG500" s="36"/>
      <c r="AH500" s="36"/>
      <c r="AI500" s="20">
        <f t="shared" si="22"/>
        <v>-80535</v>
      </c>
      <c r="AJ500" s="20">
        <f t="shared" si="23"/>
        <v>3</v>
      </c>
    </row>
    <row r="501" spans="1:36" x14ac:dyDescent="0.2">
      <c r="A501" s="17" t="s">
        <v>5098</v>
      </c>
      <c r="B501" s="17">
        <v>39246</v>
      </c>
      <c r="C501" s="20">
        <v>31950</v>
      </c>
      <c r="D501" s="20">
        <v>15000</v>
      </c>
      <c r="M501" s="20">
        <v>13370</v>
      </c>
      <c r="N501" s="20">
        <v>7679</v>
      </c>
      <c r="O501" s="20">
        <v>12544</v>
      </c>
      <c r="P501" s="20">
        <v>0</v>
      </c>
      <c r="W501" s="20">
        <f t="shared" si="21"/>
        <v>80543</v>
      </c>
      <c r="X501" s="36">
        <v>-39632</v>
      </c>
      <c r="Y501" s="36">
        <v>-17636</v>
      </c>
      <c r="Z501" s="36">
        <v>0</v>
      </c>
      <c r="AA501" s="36">
        <v>-4339</v>
      </c>
      <c r="AB501" s="36">
        <v>-2716</v>
      </c>
      <c r="AC501" s="36">
        <v>-16219</v>
      </c>
      <c r="AD501" s="36">
        <v>0</v>
      </c>
      <c r="AE501" s="36"/>
      <c r="AF501" s="36"/>
      <c r="AG501" s="36"/>
      <c r="AH501" s="36"/>
      <c r="AI501" s="20">
        <f t="shared" si="22"/>
        <v>-80542</v>
      </c>
      <c r="AJ501" s="20">
        <f t="shared" si="23"/>
        <v>1</v>
      </c>
    </row>
    <row r="502" spans="1:36" x14ac:dyDescent="0.2">
      <c r="A502" s="17" t="s">
        <v>5099</v>
      </c>
      <c r="B502" s="17">
        <v>39253</v>
      </c>
      <c r="C502" s="20">
        <v>32550</v>
      </c>
      <c r="D502" s="20">
        <v>15000</v>
      </c>
      <c r="M502" s="20">
        <v>13370</v>
      </c>
      <c r="N502" s="20">
        <v>7668</v>
      </c>
      <c r="O502" s="20">
        <v>12438</v>
      </c>
      <c r="P502" s="20">
        <v>0</v>
      </c>
      <c r="W502" s="20">
        <f t="shared" si="21"/>
        <v>81026</v>
      </c>
      <c r="X502" s="36">
        <v>-39571</v>
      </c>
      <c r="Y502" s="36">
        <v>-18623</v>
      </c>
      <c r="Z502" s="36">
        <v>0</v>
      </c>
      <c r="AA502" s="36">
        <v>-4333</v>
      </c>
      <c r="AB502" s="36">
        <v>-2716</v>
      </c>
      <c r="AC502" s="36">
        <v>-15784</v>
      </c>
      <c r="AD502" s="36">
        <v>0</v>
      </c>
      <c r="AE502" s="36"/>
      <c r="AF502" s="36"/>
      <c r="AG502" s="36"/>
      <c r="AH502" s="36"/>
      <c r="AI502" s="20">
        <f t="shared" si="22"/>
        <v>-81027</v>
      </c>
      <c r="AJ502" s="20">
        <f t="shared" si="23"/>
        <v>-1</v>
      </c>
    </row>
    <row r="503" spans="1:36" x14ac:dyDescent="0.2">
      <c r="A503" s="17" t="s">
        <v>5100</v>
      </c>
      <c r="B503" s="17">
        <v>39260</v>
      </c>
      <c r="C503" s="20">
        <v>31470</v>
      </c>
      <c r="D503" s="20">
        <v>15000</v>
      </c>
      <c r="M503" s="20">
        <v>13370</v>
      </c>
      <c r="N503" s="20">
        <v>7707</v>
      </c>
      <c r="O503" s="20">
        <v>12190</v>
      </c>
      <c r="P503" s="20">
        <v>0</v>
      </c>
      <c r="W503" s="20">
        <f t="shared" si="21"/>
        <v>79737</v>
      </c>
      <c r="X503" s="36">
        <v>-39787</v>
      </c>
      <c r="Y503" s="36">
        <v>-17355</v>
      </c>
      <c r="Z503" s="36">
        <v>0</v>
      </c>
      <c r="AA503" s="36">
        <v>-4334</v>
      </c>
      <c r="AB503" s="36">
        <v>-2716</v>
      </c>
      <c r="AC503" s="36">
        <v>-15545</v>
      </c>
      <c r="AD503" s="36">
        <v>0</v>
      </c>
      <c r="AE503" s="36"/>
      <c r="AF503" s="36"/>
      <c r="AG503" s="36"/>
      <c r="AH503" s="36"/>
      <c r="AI503" s="20">
        <f t="shared" si="22"/>
        <v>-79737</v>
      </c>
      <c r="AJ503" s="20">
        <f t="shared" si="23"/>
        <v>0</v>
      </c>
    </row>
    <row r="504" spans="1:36" x14ac:dyDescent="0.2">
      <c r="A504" s="17" t="s">
        <v>5101</v>
      </c>
      <c r="B504" s="17">
        <v>39267</v>
      </c>
      <c r="C504" s="20">
        <v>51040</v>
      </c>
      <c r="D504" s="20">
        <v>15000</v>
      </c>
      <c r="M504" s="20">
        <v>13370</v>
      </c>
      <c r="N504" s="20">
        <v>7709</v>
      </c>
      <c r="O504" s="20">
        <v>12291</v>
      </c>
      <c r="P504" s="20">
        <v>0</v>
      </c>
      <c r="W504" s="20">
        <f t="shared" si="21"/>
        <v>99410</v>
      </c>
      <c r="X504" s="36">
        <v>-39863</v>
      </c>
      <c r="Y504" s="36">
        <v>-36558</v>
      </c>
      <c r="Z504" s="36">
        <v>0</v>
      </c>
      <c r="AA504" s="36">
        <v>-4341</v>
      </c>
      <c r="AB504" s="36">
        <v>-2716</v>
      </c>
      <c r="AC504" s="36">
        <v>-15582</v>
      </c>
      <c r="AD504" s="36">
        <v>-350</v>
      </c>
      <c r="AE504" s="36"/>
      <c r="AF504" s="36"/>
      <c r="AG504" s="36"/>
      <c r="AH504" s="36"/>
      <c r="AI504" s="20">
        <f t="shared" si="22"/>
        <v>-99410</v>
      </c>
      <c r="AJ504" s="20">
        <f t="shared" si="23"/>
        <v>0</v>
      </c>
    </row>
    <row r="505" spans="1:36" x14ac:dyDescent="0.2">
      <c r="A505" s="17" t="s">
        <v>5102</v>
      </c>
      <c r="B505" s="17">
        <v>39274</v>
      </c>
      <c r="C505" s="20">
        <v>31810</v>
      </c>
      <c r="D505" s="20">
        <v>15000</v>
      </c>
      <c r="M505" s="20">
        <v>13370</v>
      </c>
      <c r="N505" s="20">
        <v>7718</v>
      </c>
      <c r="O505" s="20">
        <v>12082</v>
      </c>
      <c r="P505" s="20">
        <v>0</v>
      </c>
      <c r="W505" s="20">
        <f t="shared" si="21"/>
        <v>79980</v>
      </c>
      <c r="X505" s="36">
        <v>-39932</v>
      </c>
      <c r="Y505" s="36">
        <v>-17571</v>
      </c>
      <c r="Z505" s="36">
        <v>0</v>
      </c>
      <c r="AA505" s="36">
        <v>-4343</v>
      </c>
      <c r="AB505" s="36">
        <v>-2716</v>
      </c>
      <c r="AC505" s="36">
        <v>-15417</v>
      </c>
      <c r="AD505" s="36">
        <v>0</v>
      </c>
      <c r="AE505" s="36"/>
      <c r="AF505" s="36"/>
      <c r="AG505" s="36"/>
      <c r="AH505" s="36"/>
      <c r="AI505" s="20">
        <f t="shared" si="22"/>
        <v>-79979</v>
      </c>
      <c r="AJ505" s="20">
        <f t="shared" si="23"/>
        <v>1</v>
      </c>
    </row>
    <row r="506" spans="1:36" x14ac:dyDescent="0.2">
      <c r="A506" s="17" t="s">
        <v>5103</v>
      </c>
      <c r="B506" s="17">
        <v>39281</v>
      </c>
      <c r="C506" s="20">
        <v>32440</v>
      </c>
      <c r="D506" s="20">
        <v>15000</v>
      </c>
      <c r="M506" s="20">
        <v>13370</v>
      </c>
      <c r="N506" s="20">
        <v>7554</v>
      </c>
      <c r="O506" s="20">
        <v>11666</v>
      </c>
      <c r="P506" s="20">
        <v>0</v>
      </c>
      <c r="W506" s="20">
        <f t="shared" si="21"/>
        <v>80030</v>
      </c>
      <c r="X506" s="36">
        <v>-39984</v>
      </c>
      <c r="Y506" s="36">
        <v>-17769</v>
      </c>
      <c r="Z506" s="36">
        <v>0</v>
      </c>
      <c r="AA506" s="36">
        <v>-4314</v>
      </c>
      <c r="AB506" s="36">
        <v>-2716</v>
      </c>
      <c r="AC506" s="36">
        <v>-15246</v>
      </c>
      <c r="AD506" s="36">
        <v>0</v>
      </c>
      <c r="AE506" s="36"/>
      <c r="AF506" s="36"/>
      <c r="AG506" s="36"/>
      <c r="AH506" s="36"/>
      <c r="AI506" s="20">
        <f t="shared" si="22"/>
        <v>-80029</v>
      </c>
      <c r="AJ506" s="20">
        <f t="shared" si="23"/>
        <v>1</v>
      </c>
    </row>
    <row r="507" spans="1:36" x14ac:dyDescent="0.2">
      <c r="A507" s="17" t="s">
        <v>5104</v>
      </c>
      <c r="B507" s="17">
        <v>39288</v>
      </c>
      <c r="C507" s="20">
        <v>31950</v>
      </c>
      <c r="D507" s="20">
        <v>15000</v>
      </c>
      <c r="M507" s="20">
        <v>13370</v>
      </c>
      <c r="N507" s="20">
        <v>7590</v>
      </c>
      <c r="O507" s="20">
        <v>12365</v>
      </c>
      <c r="P507" s="20">
        <v>0</v>
      </c>
      <c r="W507" s="20">
        <f t="shared" si="21"/>
        <v>80275</v>
      </c>
      <c r="X507" s="36">
        <v>-40122</v>
      </c>
      <c r="Y507" s="36">
        <v>-17220</v>
      </c>
      <c r="Z507" s="36">
        <v>0</v>
      </c>
      <c r="AA507" s="36">
        <v>-4301</v>
      </c>
      <c r="AB507" s="36">
        <v>-2716</v>
      </c>
      <c r="AC507" s="36">
        <v>-15916</v>
      </c>
      <c r="AD507" s="36">
        <v>0</v>
      </c>
      <c r="AE507" s="36"/>
      <c r="AF507" s="36"/>
      <c r="AG507" s="36"/>
      <c r="AH507" s="36"/>
      <c r="AI507" s="20">
        <f t="shared" si="22"/>
        <v>-80275</v>
      </c>
      <c r="AJ507" s="20">
        <f t="shared" si="23"/>
        <v>0</v>
      </c>
    </row>
    <row r="508" spans="1:36" x14ac:dyDescent="0.2">
      <c r="A508" s="17" t="s">
        <v>5105</v>
      </c>
      <c r="B508" s="17">
        <v>39295</v>
      </c>
      <c r="C508" s="20">
        <v>33067</v>
      </c>
      <c r="D508" s="20">
        <v>15000</v>
      </c>
      <c r="M508" s="20">
        <v>13370</v>
      </c>
      <c r="N508" s="20">
        <v>7644</v>
      </c>
      <c r="O508" s="20">
        <v>12763</v>
      </c>
      <c r="P508" s="20">
        <v>0</v>
      </c>
      <c r="W508" s="20">
        <f t="shared" si="21"/>
        <v>81844</v>
      </c>
      <c r="X508" s="36">
        <v>-40326</v>
      </c>
      <c r="Y508" s="36">
        <v>-18072</v>
      </c>
      <c r="Z508" s="36">
        <v>0</v>
      </c>
      <c r="AA508" s="36">
        <v>-4346</v>
      </c>
      <c r="AB508" s="36">
        <v>-2716</v>
      </c>
      <c r="AC508" s="36">
        <v>-16383</v>
      </c>
      <c r="AD508" s="36">
        <v>0</v>
      </c>
      <c r="AE508" s="36"/>
      <c r="AF508" s="36"/>
      <c r="AG508" s="36"/>
      <c r="AH508" s="36"/>
      <c r="AI508" s="20">
        <f t="shared" si="22"/>
        <v>-81843</v>
      </c>
      <c r="AJ508" s="20">
        <f t="shared" si="23"/>
        <v>1</v>
      </c>
    </row>
    <row r="509" spans="1:36" x14ac:dyDescent="0.2">
      <c r="A509" s="17" t="s">
        <v>5106</v>
      </c>
      <c r="B509" s="17">
        <v>39302</v>
      </c>
      <c r="C509" s="20">
        <v>33000</v>
      </c>
      <c r="D509" s="20">
        <v>15000</v>
      </c>
      <c r="M509" s="20">
        <v>13370</v>
      </c>
      <c r="N509" s="20">
        <v>7637</v>
      </c>
      <c r="O509" s="20">
        <v>11838</v>
      </c>
      <c r="P509" s="20">
        <v>0</v>
      </c>
      <c r="W509" s="20">
        <f t="shared" si="21"/>
        <v>80845</v>
      </c>
      <c r="X509" s="36">
        <v>-40579</v>
      </c>
      <c r="Y509" s="36">
        <v>-17895</v>
      </c>
      <c r="Z509" s="36">
        <v>0</v>
      </c>
      <c r="AA509" s="36">
        <v>-4361</v>
      </c>
      <c r="AB509" s="36">
        <v>-2716</v>
      </c>
      <c r="AC509" s="36">
        <v>-15294</v>
      </c>
      <c r="AD509" s="36">
        <v>0</v>
      </c>
      <c r="AE509" s="36"/>
      <c r="AF509" s="36"/>
      <c r="AG509" s="36"/>
      <c r="AH509" s="36"/>
      <c r="AI509" s="20">
        <f t="shared" si="22"/>
        <v>-80845</v>
      </c>
      <c r="AJ509" s="20">
        <f t="shared" si="23"/>
        <v>0</v>
      </c>
    </row>
    <row r="510" spans="1:36" x14ac:dyDescent="0.2">
      <c r="A510" s="17" t="s">
        <v>5107</v>
      </c>
      <c r="B510" s="17">
        <v>39309</v>
      </c>
      <c r="C510" s="20">
        <v>33330</v>
      </c>
      <c r="D510" s="20">
        <v>15000</v>
      </c>
      <c r="M510" s="20">
        <v>13370</v>
      </c>
      <c r="N510" s="20">
        <v>7708</v>
      </c>
      <c r="O510" s="20">
        <v>12269</v>
      </c>
      <c r="P510" s="20">
        <v>0</v>
      </c>
      <c r="W510" s="20">
        <f t="shared" si="21"/>
        <v>81677</v>
      </c>
      <c r="X510" s="36">
        <v>-40216</v>
      </c>
      <c r="Y510" s="36">
        <v>-19068</v>
      </c>
      <c r="Z510" s="36">
        <v>0</v>
      </c>
      <c r="AA510" s="36">
        <v>-4388</v>
      </c>
      <c r="AB510" s="36">
        <v>-2716</v>
      </c>
      <c r="AC510" s="36">
        <v>-15288</v>
      </c>
      <c r="AD510" s="36">
        <v>0</v>
      </c>
      <c r="AE510" s="36"/>
      <c r="AF510" s="36"/>
      <c r="AG510" s="36"/>
      <c r="AH510" s="36"/>
      <c r="AI510" s="20">
        <f t="shared" si="22"/>
        <v>-81676</v>
      </c>
      <c r="AJ510" s="20">
        <f t="shared" si="23"/>
        <v>1</v>
      </c>
    </row>
    <row r="511" spans="1:36" x14ac:dyDescent="0.2">
      <c r="A511" s="17" t="s">
        <v>5108</v>
      </c>
      <c r="B511" s="17">
        <v>39316</v>
      </c>
      <c r="C511" s="20">
        <v>32410</v>
      </c>
      <c r="D511" s="20">
        <v>15000</v>
      </c>
      <c r="M511" s="20">
        <v>13370</v>
      </c>
      <c r="N511" s="20">
        <v>7753</v>
      </c>
      <c r="O511" s="20">
        <v>11554</v>
      </c>
      <c r="P511" s="20">
        <v>0</v>
      </c>
      <c r="W511" s="20">
        <f t="shared" ref="W511:W574" si="24">SUM(C511:D511,M511:P511)</f>
        <v>80087</v>
      </c>
      <c r="X511" s="36">
        <v>-40283</v>
      </c>
      <c r="Y511" s="36">
        <v>-17640</v>
      </c>
      <c r="Z511" s="36">
        <v>0</v>
      </c>
      <c r="AA511" s="36">
        <v>-4405</v>
      </c>
      <c r="AB511" s="36">
        <v>-2716</v>
      </c>
      <c r="AC511" s="36">
        <v>-15042</v>
      </c>
      <c r="AD511" s="36">
        <v>0</v>
      </c>
      <c r="AE511" s="36"/>
      <c r="AF511" s="36"/>
      <c r="AG511" s="36"/>
      <c r="AH511" s="36"/>
      <c r="AI511" s="20">
        <f t="shared" ref="AI511:AI574" si="25">SUM(X511:AD511)</f>
        <v>-80086</v>
      </c>
      <c r="AJ511" s="20">
        <f t="shared" ref="AJ511:AJ574" si="26">W511+AI511</f>
        <v>1</v>
      </c>
    </row>
    <row r="512" spans="1:36" x14ac:dyDescent="0.2">
      <c r="A512" s="17" t="s">
        <v>5109</v>
      </c>
      <c r="B512" s="17">
        <v>39323</v>
      </c>
      <c r="C512" s="20">
        <v>33400</v>
      </c>
      <c r="D512" s="20">
        <v>15000</v>
      </c>
      <c r="M512" s="20">
        <v>13370</v>
      </c>
      <c r="N512" s="20">
        <v>7739</v>
      </c>
      <c r="O512" s="20">
        <v>12158</v>
      </c>
      <c r="P512" s="20">
        <v>1556</v>
      </c>
      <c r="W512" s="20">
        <f t="shared" si="24"/>
        <v>83223</v>
      </c>
      <c r="X512" s="36">
        <v>-41219</v>
      </c>
      <c r="Y512" s="36">
        <v>-19023</v>
      </c>
      <c r="Z512" s="36">
        <v>0</v>
      </c>
      <c r="AA512" s="36">
        <v>-4390</v>
      </c>
      <c r="AB512" s="36">
        <v>-2716</v>
      </c>
      <c r="AC512" s="36">
        <v>-15875</v>
      </c>
      <c r="AD512" s="36">
        <v>0</v>
      </c>
      <c r="AE512" s="36"/>
      <c r="AF512" s="36"/>
      <c r="AG512" s="36"/>
      <c r="AH512" s="36"/>
      <c r="AI512" s="20">
        <f t="shared" si="25"/>
        <v>-83223</v>
      </c>
      <c r="AJ512" s="20">
        <f t="shared" si="26"/>
        <v>0</v>
      </c>
    </row>
    <row r="513" spans="1:36" x14ac:dyDescent="0.2">
      <c r="A513" s="17" t="s">
        <v>5110</v>
      </c>
      <c r="B513" s="17">
        <v>39330</v>
      </c>
      <c r="C513" s="20">
        <v>35690</v>
      </c>
      <c r="D513" s="20">
        <v>15000</v>
      </c>
      <c r="M513" s="20">
        <v>13370</v>
      </c>
      <c r="N513" s="20">
        <v>7732</v>
      </c>
      <c r="O513" s="20">
        <v>12428</v>
      </c>
      <c r="P513" s="20">
        <v>0</v>
      </c>
      <c r="W513" s="20">
        <f t="shared" si="24"/>
        <v>84220</v>
      </c>
      <c r="X513" s="36">
        <v>-40705</v>
      </c>
      <c r="Y513" s="36">
        <v>-20594</v>
      </c>
      <c r="Z513" s="36">
        <v>0</v>
      </c>
      <c r="AA513" s="36">
        <v>-4381</v>
      </c>
      <c r="AB513" s="36">
        <v>-2716</v>
      </c>
      <c r="AC513" s="36">
        <v>-15823</v>
      </c>
      <c r="AD513" s="36">
        <v>0</v>
      </c>
      <c r="AE513" s="36"/>
      <c r="AF513" s="36"/>
      <c r="AG513" s="36"/>
      <c r="AH513" s="36"/>
      <c r="AI513" s="20">
        <f t="shared" si="25"/>
        <v>-84219</v>
      </c>
      <c r="AJ513" s="20">
        <f t="shared" si="26"/>
        <v>1</v>
      </c>
    </row>
    <row r="514" spans="1:36" x14ac:dyDescent="0.2">
      <c r="A514" s="17" t="s">
        <v>5111</v>
      </c>
      <c r="B514" s="17">
        <v>39337</v>
      </c>
      <c r="C514" s="20">
        <v>34480</v>
      </c>
      <c r="D514" s="20">
        <v>15000</v>
      </c>
      <c r="M514" s="20">
        <v>13370</v>
      </c>
      <c r="N514" s="20">
        <v>7784</v>
      </c>
      <c r="O514" s="20">
        <v>13145</v>
      </c>
      <c r="P514" s="20">
        <v>0</v>
      </c>
      <c r="W514" s="20">
        <f t="shared" si="24"/>
        <v>83779</v>
      </c>
      <c r="X514" s="36">
        <v>-40326</v>
      </c>
      <c r="Y514" s="36">
        <v>-19812</v>
      </c>
      <c r="Z514" s="36">
        <v>0</v>
      </c>
      <c r="AA514" s="36">
        <v>-4426</v>
      </c>
      <c r="AB514" s="36">
        <v>-2716</v>
      </c>
      <c r="AC514" s="36">
        <v>-16499</v>
      </c>
      <c r="AD514" s="36">
        <v>0</v>
      </c>
      <c r="AE514" s="36"/>
      <c r="AF514" s="36"/>
      <c r="AG514" s="36"/>
      <c r="AH514" s="36"/>
      <c r="AI514" s="20">
        <f t="shared" si="25"/>
        <v>-83779</v>
      </c>
      <c r="AJ514" s="20">
        <f t="shared" si="26"/>
        <v>0</v>
      </c>
    </row>
    <row r="515" spans="1:36" x14ac:dyDescent="0.2">
      <c r="A515" s="17" t="s">
        <v>5112</v>
      </c>
      <c r="B515" s="17">
        <v>39344</v>
      </c>
      <c r="C515" s="20">
        <v>42798</v>
      </c>
      <c r="D515" s="20">
        <v>15000</v>
      </c>
      <c r="M515" s="20">
        <v>13370</v>
      </c>
      <c r="N515" s="20">
        <v>7840</v>
      </c>
      <c r="O515" s="20">
        <v>16027</v>
      </c>
      <c r="P515" s="20">
        <v>0</v>
      </c>
      <c r="W515" s="20">
        <f t="shared" si="24"/>
        <v>95035</v>
      </c>
      <c r="X515" s="36">
        <v>-40406</v>
      </c>
      <c r="Y515" s="36">
        <v>-29010</v>
      </c>
      <c r="Z515" s="36">
        <v>0</v>
      </c>
      <c r="AA515" s="36">
        <v>-4514</v>
      </c>
      <c r="AB515" s="36">
        <v>-2716</v>
      </c>
      <c r="AC515" s="36">
        <v>-18388</v>
      </c>
      <c r="AD515" s="36">
        <v>0</v>
      </c>
      <c r="AE515" s="36"/>
      <c r="AF515" s="36"/>
      <c r="AG515" s="36"/>
      <c r="AH515" s="36"/>
      <c r="AI515" s="20">
        <f t="shared" si="25"/>
        <v>-95034</v>
      </c>
      <c r="AJ515" s="20">
        <f t="shared" si="26"/>
        <v>1</v>
      </c>
    </row>
    <row r="516" spans="1:36" x14ac:dyDescent="0.2">
      <c r="A516" s="17" t="s">
        <v>5113</v>
      </c>
      <c r="B516" s="17">
        <v>39351</v>
      </c>
      <c r="C516" s="20">
        <v>40950</v>
      </c>
      <c r="D516" s="20">
        <v>15000</v>
      </c>
      <c r="M516" s="20">
        <v>13370</v>
      </c>
      <c r="N516" s="20">
        <v>7865</v>
      </c>
      <c r="O516" s="20">
        <v>20897</v>
      </c>
      <c r="P516" s="20">
        <v>0</v>
      </c>
      <c r="W516" s="20">
        <f t="shared" si="24"/>
        <v>98082</v>
      </c>
      <c r="X516" s="36">
        <v>-40425</v>
      </c>
      <c r="Y516" s="36">
        <v>-29226</v>
      </c>
      <c r="Z516" s="36">
        <v>0</v>
      </c>
      <c r="AA516" s="36">
        <v>-4521</v>
      </c>
      <c r="AB516" s="36">
        <v>-2716</v>
      </c>
      <c r="AC516" s="36">
        <v>-21192</v>
      </c>
      <c r="AD516" s="36">
        <v>0</v>
      </c>
      <c r="AE516" s="36"/>
      <c r="AF516" s="36"/>
      <c r="AG516" s="36"/>
      <c r="AH516" s="36"/>
      <c r="AI516" s="20">
        <f t="shared" si="25"/>
        <v>-98080</v>
      </c>
      <c r="AJ516" s="20">
        <f t="shared" si="26"/>
        <v>2</v>
      </c>
    </row>
    <row r="517" spans="1:36" x14ac:dyDescent="0.2">
      <c r="A517" s="17" t="s">
        <v>5114</v>
      </c>
      <c r="B517" s="17">
        <v>39358</v>
      </c>
      <c r="C517" s="20">
        <v>33650</v>
      </c>
      <c r="D517" s="20">
        <v>15000</v>
      </c>
      <c r="M517" s="20">
        <v>13370</v>
      </c>
      <c r="N517" s="20">
        <v>7795</v>
      </c>
      <c r="O517" s="20">
        <v>23807</v>
      </c>
      <c r="P517" s="20">
        <v>0</v>
      </c>
      <c r="W517" s="20">
        <f t="shared" si="24"/>
        <v>93622</v>
      </c>
      <c r="X517" s="36">
        <v>-40611</v>
      </c>
      <c r="Y517" s="36">
        <v>-26809</v>
      </c>
      <c r="Z517" s="36">
        <v>0</v>
      </c>
      <c r="AA517" s="36">
        <v>-4482</v>
      </c>
      <c r="AB517" s="36">
        <v>-2716</v>
      </c>
      <c r="AC517" s="36">
        <v>-19004</v>
      </c>
      <c r="AD517" s="36">
        <v>0</v>
      </c>
      <c r="AE517" s="36"/>
      <c r="AF517" s="36"/>
      <c r="AG517" s="36"/>
      <c r="AH517" s="36"/>
      <c r="AI517" s="20">
        <f t="shared" si="25"/>
        <v>-93622</v>
      </c>
      <c r="AJ517" s="20">
        <f t="shared" si="26"/>
        <v>0</v>
      </c>
    </row>
    <row r="518" spans="1:36" x14ac:dyDescent="0.2">
      <c r="A518" s="17" t="s">
        <v>5115</v>
      </c>
      <c r="B518" s="17">
        <v>39365</v>
      </c>
      <c r="C518" s="20">
        <v>27580</v>
      </c>
      <c r="D518" s="20">
        <v>15000</v>
      </c>
      <c r="M518" s="20">
        <v>13370</v>
      </c>
      <c r="N518" s="20">
        <v>7777</v>
      </c>
      <c r="O518" s="20">
        <v>26079</v>
      </c>
      <c r="P518" s="20">
        <v>0</v>
      </c>
      <c r="W518" s="20">
        <f t="shared" si="24"/>
        <v>89806</v>
      </c>
      <c r="X518" s="36">
        <v>-40523</v>
      </c>
      <c r="Y518" s="36">
        <v>-20816</v>
      </c>
      <c r="Z518" s="36">
        <v>0</v>
      </c>
      <c r="AA518" s="36">
        <v>-4473</v>
      </c>
      <c r="AB518" s="36">
        <v>-2716</v>
      </c>
      <c r="AC518" s="36">
        <v>-21277</v>
      </c>
      <c r="AD518" s="36">
        <v>0</v>
      </c>
      <c r="AE518" s="36"/>
      <c r="AF518" s="36"/>
      <c r="AG518" s="36"/>
      <c r="AH518" s="36"/>
      <c r="AI518" s="20">
        <f t="shared" si="25"/>
        <v>-89805</v>
      </c>
      <c r="AJ518" s="20">
        <f t="shared" si="26"/>
        <v>1</v>
      </c>
    </row>
    <row r="519" spans="1:36" x14ac:dyDescent="0.2">
      <c r="A519" s="17" t="s">
        <v>5116</v>
      </c>
      <c r="B519" s="17">
        <v>39372</v>
      </c>
      <c r="C519" s="20">
        <v>26590</v>
      </c>
      <c r="D519" s="20">
        <v>14900</v>
      </c>
      <c r="M519" s="20">
        <v>13370</v>
      </c>
      <c r="N519" s="20">
        <v>7691</v>
      </c>
      <c r="O519" s="20">
        <v>29127</v>
      </c>
      <c r="P519" s="20">
        <v>0</v>
      </c>
      <c r="W519" s="20">
        <f t="shared" si="24"/>
        <v>91678</v>
      </c>
      <c r="X519" s="36">
        <v>-40529</v>
      </c>
      <c r="Y519" s="36">
        <v>-21731</v>
      </c>
      <c r="Z519" s="36">
        <v>0</v>
      </c>
      <c r="AA519" s="36">
        <v>-4499</v>
      </c>
      <c r="AB519" s="36">
        <v>-2716</v>
      </c>
      <c r="AC519" s="36">
        <v>-22202</v>
      </c>
      <c r="AD519" s="36">
        <v>0</v>
      </c>
      <c r="AE519" s="36"/>
      <c r="AF519" s="36"/>
      <c r="AG519" s="36"/>
      <c r="AH519" s="36"/>
      <c r="AI519" s="20">
        <f t="shared" si="25"/>
        <v>-91677</v>
      </c>
      <c r="AJ519" s="20">
        <f t="shared" si="26"/>
        <v>1</v>
      </c>
    </row>
    <row r="520" spans="1:36" x14ac:dyDescent="0.2">
      <c r="A520" s="17" t="s">
        <v>5117</v>
      </c>
      <c r="B520" s="17">
        <v>39379</v>
      </c>
      <c r="C520" s="20">
        <v>25620</v>
      </c>
      <c r="D520" s="20">
        <v>14900</v>
      </c>
      <c r="M520" s="20">
        <v>13370</v>
      </c>
      <c r="N520" s="20">
        <v>7691</v>
      </c>
      <c r="O520" s="20">
        <v>33781</v>
      </c>
      <c r="P520" s="20">
        <v>0</v>
      </c>
      <c r="W520" s="20">
        <f t="shared" si="24"/>
        <v>95362</v>
      </c>
      <c r="X520" s="36">
        <v>-40610</v>
      </c>
      <c r="Y520" s="36">
        <v>-24115</v>
      </c>
      <c r="Z520" s="36">
        <v>0</v>
      </c>
      <c r="AA520" s="36">
        <v>-4502</v>
      </c>
      <c r="AB520" s="36">
        <v>-2716</v>
      </c>
      <c r="AC520" s="36">
        <v>-23418</v>
      </c>
      <c r="AD520" s="36">
        <v>0</v>
      </c>
      <c r="AE520" s="36"/>
      <c r="AF520" s="36"/>
      <c r="AG520" s="36"/>
      <c r="AH520" s="36"/>
      <c r="AI520" s="20">
        <f t="shared" si="25"/>
        <v>-95361</v>
      </c>
      <c r="AJ520" s="20">
        <f t="shared" si="26"/>
        <v>1</v>
      </c>
    </row>
    <row r="521" spans="1:36" x14ac:dyDescent="0.2">
      <c r="A521" s="17" t="s">
        <v>5118</v>
      </c>
      <c r="B521" s="17">
        <v>39386</v>
      </c>
      <c r="C521" s="20">
        <v>20610</v>
      </c>
      <c r="D521" s="20">
        <v>14900</v>
      </c>
      <c r="M521" s="20">
        <v>13370</v>
      </c>
      <c r="N521" s="20">
        <v>7663</v>
      </c>
      <c r="O521" s="20">
        <v>35991</v>
      </c>
      <c r="P521" s="20">
        <v>0</v>
      </c>
      <c r="W521" s="20">
        <f t="shared" si="24"/>
        <v>92534</v>
      </c>
      <c r="X521" s="36">
        <v>-40817</v>
      </c>
      <c r="Y521" s="36">
        <v>-20062</v>
      </c>
      <c r="Z521" s="36">
        <v>0</v>
      </c>
      <c r="AA521" s="36">
        <v>-4492</v>
      </c>
      <c r="AB521" s="36">
        <v>-2716</v>
      </c>
      <c r="AC521" s="36">
        <v>-24447</v>
      </c>
      <c r="AD521" s="36">
        <v>0</v>
      </c>
      <c r="AE521" s="36"/>
      <c r="AF521" s="36"/>
      <c r="AG521" s="36"/>
      <c r="AH521" s="36"/>
      <c r="AI521" s="20">
        <f t="shared" si="25"/>
        <v>-92534</v>
      </c>
      <c r="AJ521" s="20">
        <f t="shared" si="26"/>
        <v>0</v>
      </c>
    </row>
    <row r="522" spans="1:36" x14ac:dyDescent="0.2">
      <c r="A522" s="17" t="s">
        <v>5119</v>
      </c>
      <c r="B522" s="17">
        <v>39393</v>
      </c>
      <c r="C522" s="20">
        <v>21420</v>
      </c>
      <c r="D522" s="20">
        <v>14900</v>
      </c>
      <c r="M522" s="20">
        <v>13370</v>
      </c>
      <c r="N522" s="20">
        <v>7682</v>
      </c>
      <c r="O522" s="20">
        <v>36466</v>
      </c>
      <c r="P522" s="20">
        <v>0</v>
      </c>
      <c r="W522" s="20">
        <f t="shared" si="24"/>
        <v>93838</v>
      </c>
      <c r="X522" s="36">
        <v>-40835</v>
      </c>
      <c r="Y522" s="36">
        <v>-22169</v>
      </c>
      <c r="Z522" s="36">
        <v>0</v>
      </c>
      <c r="AA522" s="36">
        <v>-4490</v>
      </c>
      <c r="AB522" s="36">
        <v>-2716</v>
      </c>
      <c r="AC522" s="36">
        <v>-23628</v>
      </c>
      <c r="AD522" s="36">
        <v>0</v>
      </c>
      <c r="AE522" s="36"/>
      <c r="AF522" s="36"/>
      <c r="AG522" s="36"/>
      <c r="AH522" s="36"/>
      <c r="AI522" s="20">
        <f t="shared" si="25"/>
        <v>-93838</v>
      </c>
      <c r="AJ522" s="20">
        <f t="shared" si="26"/>
        <v>0</v>
      </c>
    </row>
    <row r="523" spans="1:36" x14ac:dyDescent="0.2">
      <c r="A523" s="17" t="s">
        <v>5120</v>
      </c>
      <c r="B523" s="17">
        <v>39400</v>
      </c>
      <c r="C523" s="20">
        <v>21520</v>
      </c>
      <c r="D523" s="20">
        <v>14700</v>
      </c>
      <c r="M523" s="20">
        <v>13370</v>
      </c>
      <c r="N523" s="20">
        <v>7791</v>
      </c>
      <c r="O523" s="20">
        <v>38481</v>
      </c>
      <c r="P523" s="20">
        <v>0</v>
      </c>
      <c r="W523" s="20">
        <f t="shared" si="24"/>
        <v>95862</v>
      </c>
      <c r="X523" s="36">
        <v>-41044</v>
      </c>
      <c r="Y523" s="36">
        <v>-22635</v>
      </c>
      <c r="Z523" s="36">
        <v>0</v>
      </c>
      <c r="AA523" s="36">
        <v>-4586</v>
      </c>
      <c r="AB523" s="36">
        <v>-2716</v>
      </c>
      <c r="AC523" s="36">
        <v>-24881</v>
      </c>
      <c r="AD523" s="36">
        <v>0</v>
      </c>
      <c r="AE523" s="36"/>
      <c r="AF523" s="36"/>
      <c r="AG523" s="36"/>
      <c r="AH523" s="36"/>
      <c r="AI523" s="20">
        <f t="shared" si="25"/>
        <v>-95862</v>
      </c>
      <c r="AJ523" s="20">
        <f t="shared" si="26"/>
        <v>0</v>
      </c>
    </row>
    <row r="524" spans="1:36" x14ac:dyDescent="0.2">
      <c r="A524" s="17" t="s">
        <v>5121</v>
      </c>
      <c r="B524" s="17">
        <v>39407</v>
      </c>
      <c r="C524" s="20">
        <v>21760</v>
      </c>
      <c r="D524" s="20">
        <v>15000</v>
      </c>
      <c r="M524" s="20">
        <v>13370</v>
      </c>
      <c r="N524" s="20">
        <v>7872</v>
      </c>
      <c r="O524" s="20">
        <v>39546</v>
      </c>
      <c r="P524" s="20">
        <v>0</v>
      </c>
      <c r="W524" s="20">
        <f t="shared" si="24"/>
        <v>97548</v>
      </c>
      <c r="X524" s="36">
        <v>-41260</v>
      </c>
      <c r="Y524" s="36">
        <v>-24758</v>
      </c>
      <c r="Z524" s="36">
        <v>0</v>
      </c>
      <c r="AA524" s="36">
        <v>-4653</v>
      </c>
      <c r="AB524" s="36">
        <v>-2716</v>
      </c>
      <c r="AC524" s="36">
        <v>-24160</v>
      </c>
      <c r="AD524" s="36">
        <v>0</v>
      </c>
      <c r="AE524" s="36"/>
      <c r="AF524" s="36"/>
      <c r="AG524" s="36"/>
      <c r="AH524" s="36"/>
      <c r="AI524" s="20">
        <f t="shared" si="25"/>
        <v>-97547</v>
      </c>
      <c r="AJ524" s="20">
        <f t="shared" si="26"/>
        <v>1</v>
      </c>
    </row>
    <row r="525" spans="1:36" x14ac:dyDescent="0.2">
      <c r="A525" s="17" t="s">
        <v>5122</v>
      </c>
      <c r="B525" s="17">
        <v>39414</v>
      </c>
      <c r="C525" s="20">
        <v>18349</v>
      </c>
      <c r="D525" s="20">
        <v>15000</v>
      </c>
      <c r="M525" s="20">
        <v>13370</v>
      </c>
      <c r="N525" s="20">
        <v>7814</v>
      </c>
      <c r="O525" s="20">
        <v>42277</v>
      </c>
      <c r="P525" s="20">
        <v>0</v>
      </c>
      <c r="W525" s="20">
        <f t="shared" si="24"/>
        <v>96810</v>
      </c>
      <c r="X525" s="36">
        <v>-41716</v>
      </c>
      <c r="Y525" s="36">
        <v>-23469</v>
      </c>
      <c r="Z525" s="36">
        <v>0</v>
      </c>
      <c r="AA525" s="36">
        <v>-4602</v>
      </c>
      <c r="AB525" s="36">
        <v>-2716</v>
      </c>
      <c r="AC525" s="36">
        <v>-24307</v>
      </c>
      <c r="AD525" s="36">
        <v>0</v>
      </c>
      <c r="AE525" s="36"/>
      <c r="AF525" s="36"/>
      <c r="AG525" s="36"/>
      <c r="AH525" s="36"/>
      <c r="AI525" s="20">
        <f t="shared" si="25"/>
        <v>-96810</v>
      </c>
      <c r="AJ525" s="20">
        <f t="shared" si="26"/>
        <v>0</v>
      </c>
    </row>
    <row r="526" spans="1:36" x14ac:dyDescent="0.2">
      <c r="A526" s="17" t="s">
        <v>5123</v>
      </c>
      <c r="B526" s="17">
        <v>39421</v>
      </c>
      <c r="C526" s="20">
        <v>16419</v>
      </c>
      <c r="D526" s="20">
        <v>15000</v>
      </c>
      <c r="M526" s="20">
        <v>13370</v>
      </c>
      <c r="N526" s="20">
        <v>7917</v>
      </c>
      <c r="O526" s="20">
        <v>43609</v>
      </c>
      <c r="P526" s="20">
        <v>0</v>
      </c>
      <c r="W526" s="20">
        <f t="shared" si="24"/>
        <v>96315</v>
      </c>
      <c r="X526" s="36">
        <v>-42115</v>
      </c>
      <c r="Y526" s="36">
        <v>-21627</v>
      </c>
      <c r="Z526" s="36">
        <v>0</v>
      </c>
      <c r="AA526" s="36">
        <v>-4680</v>
      </c>
      <c r="AB526" s="36">
        <v>-2936</v>
      </c>
      <c r="AC526" s="36">
        <v>-24958</v>
      </c>
      <c r="AD526" s="36">
        <v>0</v>
      </c>
      <c r="AE526" s="36"/>
      <c r="AF526" s="36"/>
      <c r="AG526" s="36"/>
      <c r="AH526" s="36"/>
      <c r="AI526" s="20">
        <f t="shared" si="25"/>
        <v>-96316</v>
      </c>
      <c r="AJ526" s="20">
        <f t="shared" si="26"/>
        <v>-1</v>
      </c>
    </row>
    <row r="527" spans="1:36" x14ac:dyDescent="0.2">
      <c r="A527" s="17" t="s">
        <v>5124</v>
      </c>
      <c r="B527" s="17">
        <v>39428</v>
      </c>
      <c r="C527" s="20">
        <v>18737</v>
      </c>
      <c r="D527" s="20">
        <v>15000</v>
      </c>
      <c r="M527" s="20">
        <v>13370</v>
      </c>
      <c r="N527" s="20">
        <v>7719</v>
      </c>
      <c r="O527" s="20">
        <v>42452</v>
      </c>
      <c r="P527" s="20">
        <v>0</v>
      </c>
      <c r="W527" s="20">
        <f t="shared" si="24"/>
        <v>97278</v>
      </c>
      <c r="X527" s="36">
        <v>-42465</v>
      </c>
      <c r="Y527" s="36">
        <v>-23470</v>
      </c>
      <c r="Z527" s="36">
        <v>0</v>
      </c>
      <c r="AA527" s="36">
        <v>-4637</v>
      </c>
      <c r="AB527" s="36">
        <v>-2936</v>
      </c>
      <c r="AC527" s="36">
        <v>-23770</v>
      </c>
      <c r="AD527" s="36">
        <v>0</v>
      </c>
      <c r="AE527" s="36"/>
      <c r="AF527" s="36"/>
      <c r="AG527" s="36"/>
      <c r="AH527" s="36"/>
      <c r="AI527" s="20">
        <f t="shared" si="25"/>
        <v>-97278</v>
      </c>
      <c r="AJ527" s="20">
        <f t="shared" si="26"/>
        <v>0</v>
      </c>
    </row>
    <row r="528" spans="1:36" x14ac:dyDescent="0.2">
      <c r="A528" s="17" t="s">
        <v>5125</v>
      </c>
      <c r="B528" s="17">
        <v>39435</v>
      </c>
      <c r="C528" s="20">
        <v>19998</v>
      </c>
      <c r="D528" s="20">
        <v>23500</v>
      </c>
      <c r="M528" s="20">
        <v>13370</v>
      </c>
      <c r="N528" s="20">
        <v>7763</v>
      </c>
      <c r="O528" s="20">
        <v>42965</v>
      </c>
      <c r="P528" s="20">
        <v>0</v>
      </c>
      <c r="W528" s="20">
        <f t="shared" si="24"/>
        <v>107596</v>
      </c>
      <c r="X528" s="36">
        <v>-43862</v>
      </c>
      <c r="Y528" s="36">
        <v>-24608</v>
      </c>
      <c r="Z528" s="36">
        <v>0</v>
      </c>
      <c r="AA528" s="36">
        <v>-4667</v>
      </c>
      <c r="AB528" s="36">
        <v>-2936</v>
      </c>
      <c r="AC528" s="36">
        <v>-31523</v>
      </c>
      <c r="AD528" s="36">
        <v>0</v>
      </c>
      <c r="AE528" s="36"/>
      <c r="AF528" s="36"/>
      <c r="AG528" s="36"/>
      <c r="AH528" s="36"/>
      <c r="AI528" s="20">
        <f t="shared" si="25"/>
        <v>-107596</v>
      </c>
      <c r="AJ528" s="20">
        <f t="shared" si="26"/>
        <v>0</v>
      </c>
    </row>
    <row r="529" spans="1:36" x14ac:dyDescent="0.2">
      <c r="A529" s="17" t="s">
        <v>5125</v>
      </c>
      <c r="B529" s="17">
        <v>39440</v>
      </c>
      <c r="C529" s="20">
        <v>14358</v>
      </c>
      <c r="D529" s="20">
        <v>23500</v>
      </c>
      <c r="M529" s="20">
        <v>13370</v>
      </c>
      <c r="N529" s="20">
        <v>7481</v>
      </c>
      <c r="O529" s="20">
        <v>43533</v>
      </c>
      <c r="P529" s="20">
        <v>0</v>
      </c>
      <c r="W529" s="20">
        <f t="shared" si="24"/>
        <v>102242</v>
      </c>
      <c r="X529" s="36">
        <v>-45022</v>
      </c>
      <c r="Y529" s="36">
        <v>-25768</v>
      </c>
      <c r="Z529" s="36">
        <v>0</v>
      </c>
      <c r="AA529" s="36">
        <v>-4727</v>
      </c>
      <c r="AB529" s="36">
        <v>-2936</v>
      </c>
      <c r="AC529" s="36">
        <v>-23789</v>
      </c>
      <c r="AD529" s="36">
        <v>0</v>
      </c>
      <c r="AE529" s="36"/>
      <c r="AF529" s="36"/>
      <c r="AG529" s="36"/>
      <c r="AH529" s="36"/>
      <c r="AI529" s="20">
        <f t="shared" si="25"/>
        <v>-102242</v>
      </c>
      <c r="AJ529" s="20">
        <f t="shared" si="26"/>
        <v>0</v>
      </c>
    </row>
    <row r="530" spans="1:36" x14ac:dyDescent="0.2">
      <c r="A530" s="17" t="s">
        <v>5126</v>
      </c>
      <c r="B530" s="17">
        <v>39442</v>
      </c>
      <c r="C530" s="20">
        <v>14358</v>
      </c>
      <c r="D530" s="20">
        <v>23500</v>
      </c>
      <c r="M530" s="20">
        <v>13370</v>
      </c>
      <c r="N530" s="20">
        <v>7481</v>
      </c>
      <c r="O530" s="20">
        <v>43533</v>
      </c>
      <c r="W530" s="20">
        <f t="shared" si="24"/>
        <v>102242</v>
      </c>
      <c r="X530" s="36">
        <v>-45022</v>
      </c>
      <c r="Y530" s="36">
        <v>-25768</v>
      </c>
      <c r="Z530" s="36">
        <v>0</v>
      </c>
      <c r="AA530" s="36">
        <v>-4727</v>
      </c>
      <c r="AB530" s="36">
        <v>-2936</v>
      </c>
      <c r="AC530" s="36">
        <v>-23789</v>
      </c>
      <c r="AD530" s="36">
        <v>0</v>
      </c>
      <c r="AE530" s="36"/>
      <c r="AF530" s="36"/>
      <c r="AG530" s="36"/>
      <c r="AH530" s="36"/>
      <c r="AI530" s="20">
        <f t="shared" si="25"/>
        <v>-102242</v>
      </c>
      <c r="AJ530" s="20">
        <f t="shared" si="26"/>
        <v>0</v>
      </c>
    </row>
    <row r="531" spans="1:36" x14ac:dyDescent="0.2">
      <c r="A531" s="17" t="s">
        <v>5127</v>
      </c>
      <c r="B531" s="17">
        <v>39449</v>
      </c>
      <c r="C531" s="20">
        <v>12438</v>
      </c>
      <c r="D531" s="20">
        <v>23500</v>
      </c>
      <c r="M531" s="20">
        <v>13370</v>
      </c>
      <c r="N531" s="20">
        <v>7622</v>
      </c>
      <c r="O531" s="20">
        <v>44104</v>
      </c>
      <c r="P531" s="20">
        <v>0</v>
      </c>
      <c r="W531" s="20">
        <f t="shared" si="24"/>
        <v>101034</v>
      </c>
      <c r="X531" s="36">
        <v>-44509</v>
      </c>
      <c r="Y531" s="36">
        <v>-23611</v>
      </c>
      <c r="Z531" s="36">
        <v>0</v>
      </c>
      <c r="AA531" s="36">
        <v>-4856</v>
      </c>
      <c r="AB531" s="36">
        <v>-2936</v>
      </c>
      <c r="AC531" s="36">
        <v>-25122</v>
      </c>
      <c r="AD531" s="36">
        <v>0</v>
      </c>
      <c r="AE531" s="36"/>
      <c r="AF531" s="36"/>
      <c r="AG531" s="36"/>
      <c r="AH531" s="36"/>
      <c r="AI531" s="20">
        <f t="shared" si="25"/>
        <v>-101034</v>
      </c>
      <c r="AJ531" s="20">
        <f t="shared" si="26"/>
        <v>0</v>
      </c>
    </row>
    <row r="532" spans="1:36" x14ac:dyDescent="0.2">
      <c r="A532" s="17" t="s">
        <v>5128</v>
      </c>
      <c r="B532" s="17">
        <v>39456</v>
      </c>
      <c r="C532" s="20">
        <v>12018</v>
      </c>
      <c r="D532" s="20">
        <v>23500</v>
      </c>
      <c r="M532" s="20">
        <v>13370</v>
      </c>
      <c r="N532" s="20">
        <v>7460</v>
      </c>
      <c r="O532" s="20">
        <v>45548</v>
      </c>
      <c r="P532" s="20">
        <v>0</v>
      </c>
      <c r="W532" s="20">
        <f t="shared" si="24"/>
        <v>101896</v>
      </c>
      <c r="X532" s="36">
        <v>-42043</v>
      </c>
      <c r="Y532" s="36">
        <v>-24791</v>
      </c>
      <c r="Z532" s="36">
        <v>-1300</v>
      </c>
      <c r="AA532" s="36">
        <v>-4872</v>
      </c>
      <c r="AB532" s="36">
        <v>-2936</v>
      </c>
      <c r="AC532" s="36">
        <v>-25953</v>
      </c>
      <c r="AD532" s="36">
        <v>0</v>
      </c>
      <c r="AE532" s="36"/>
      <c r="AF532" s="36"/>
      <c r="AG532" s="36"/>
      <c r="AH532" s="36"/>
      <c r="AI532" s="20">
        <f t="shared" si="25"/>
        <v>-101895</v>
      </c>
      <c r="AJ532" s="20">
        <f t="shared" si="26"/>
        <v>1</v>
      </c>
    </row>
    <row r="533" spans="1:36" x14ac:dyDescent="0.2">
      <c r="A533" s="17" t="s">
        <v>5129</v>
      </c>
      <c r="B533" s="17">
        <v>39463</v>
      </c>
      <c r="C533" s="20">
        <v>8039</v>
      </c>
      <c r="D533" s="20">
        <v>24419</v>
      </c>
      <c r="M533" s="20">
        <v>13370</v>
      </c>
      <c r="N533" s="20">
        <v>7356</v>
      </c>
      <c r="O533" s="20">
        <v>43402</v>
      </c>
      <c r="P533" s="20">
        <v>0</v>
      </c>
      <c r="W533" s="20">
        <f t="shared" si="24"/>
        <v>96586</v>
      </c>
      <c r="X533" s="36">
        <v>-41327</v>
      </c>
      <c r="Y533" s="36">
        <v>-21447</v>
      </c>
      <c r="Z533" s="36">
        <v>0</v>
      </c>
      <c r="AA533" s="36">
        <v>-4872</v>
      </c>
      <c r="AB533" s="36">
        <v>-2936</v>
      </c>
      <c r="AC533" s="36">
        <v>-26005</v>
      </c>
      <c r="AD533" s="36">
        <v>0</v>
      </c>
      <c r="AE533" s="36"/>
      <c r="AF533" s="36"/>
      <c r="AG533" s="36"/>
      <c r="AH533" s="36"/>
      <c r="AI533" s="20">
        <f t="shared" si="25"/>
        <v>-96587</v>
      </c>
      <c r="AJ533" s="20">
        <f t="shared" si="26"/>
        <v>-1</v>
      </c>
    </row>
    <row r="534" spans="1:36" x14ac:dyDescent="0.2">
      <c r="A534" s="17" t="s">
        <v>5130</v>
      </c>
      <c r="B534" s="17">
        <v>39470</v>
      </c>
      <c r="C534" s="20">
        <v>3740</v>
      </c>
      <c r="D534" s="20">
        <v>31999</v>
      </c>
      <c r="M534" s="20">
        <v>13370</v>
      </c>
      <c r="N534" s="20">
        <v>7376</v>
      </c>
      <c r="O534" s="20">
        <v>45673</v>
      </c>
      <c r="P534" s="20">
        <v>0</v>
      </c>
      <c r="W534" s="20">
        <f t="shared" si="24"/>
        <v>102158</v>
      </c>
      <c r="X534" s="36">
        <v>-40934</v>
      </c>
      <c r="Y534" s="36">
        <v>-27115</v>
      </c>
      <c r="Z534" s="36">
        <v>0</v>
      </c>
      <c r="AA534" s="36">
        <v>-4901</v>
      </c>
      <c r="AB534" s="36">
        <v>-2936</v>
      </c>
      <c r="AC534" s="36">
        <v>-26271</v>
      </c>
      <c r="AD534" s="36">
        <v>0</v>
      </c>
      <c r="AE534" s="36"/>
      <c r="AF534" s="36"/>
      <c r="AG534" s="36"/>
      <c r="AH534" s="36"/>
      <c r="AI534" s="20">
        <f t="shared" si="25"/>
        <v>-102157</v>
      </c>
      <c r="AJ534" s="20">
        <f t="shared" si="26"/>
        <v>1</v>
      </c>
    </row>
    <row r="535" spans="1:36" x14ac:dyDescent="0.2">
      <c r="A535" s="17" t="s">
        <v>5131</v>
      </c>
      <c r="B535" s="17">
        <v>39477</v>
      </c>
      <c r="C535" s="20">
        <v>1269</v>
      </c>
      <c r="D535" s="20">
        <v>31999</v>
      </c>
      <c r="M535" s="20">
        <v>9370</v>
      </c>
      <c r="N535" s="20">
        <v>7737</v>
      </c>
      <c r="O535" s="20">
        <v>43724</v>
      </c>
      <c r="P535" s="20">
        <v>0</v>
      </c>
      <c r="W535" s="20">
        <f t="shared" si="24"/>
        <v>94099</v>
      </c>
      <c r="X535" s="36">
        <v>-40914</v>
      </c>
      <c r="Y535" s="36">
        <v>-21928</v>
      </c>
      <c r="Z535" s="36">
        <v>0</v>
      </c>
      <c r="AA535" s="36">
        <v>-3368</v>
      </c>
      <c r="AB535" s="36">
        <v>-2936</v>
      </c>
      <c r="AC535" s="36">
        <v>-24952</v>
      </c>
      <c r="AD535" s="36">
        <v>0</v>
      </c>
      <c r="AE535" s="36"/>
      <c r="AF535" s="36"/>
      <c r="AG535" s="36"/>
      <c r="AH535" s="36"/>
      <c r="AI535" s="20">
        <f t="shared" si="25"/>
        <v>-94098</v>
      </c>
      <c r="AJ535" s="20">
        <f t="shared" si="26"/>
        <v>1</v>
      </c>
    </row>
    <row r="536" spans="1:36" x14ac:dyDescent="0.2">
      <c r="A536" s="17" t="s">
        <v>5132</v>
      </c>
      <c r="B536" s="17">
        <v>39484</v>
      </c>
      <c r="C536" s="20">
        <v>5619</v>
      </c>
      <c r="D536" s="20">
        <v>31999</v>
      </c>
      <c r="M536" s="20">
        <v>7370</v>
      </c>
      <c r="N536" s="20">
        <v>7786</v>
      </c>
      <c r="O536" s="20">
        <v>43183</v>
      </c>
      <c r="P536" s="20">
        <v>0</v>
      </c>
      <c r="W536" s="20">
        <f t="shared" si="24"/>
        <v>95957</v>
      </c>
      <c r="X536" s="36">
        <v>-40768</v>
      </c>
      <c r="Y536" s="36">
        <v>-23186</v>
      </c>
      <c r="Z536" s="36">
        <v>0</v>
      </c>
      <c r="AA536" s="36">
        <v>-3299</v>
      </c>
      <c r="AB536" s="36">
        <v>-2936</v>
      </c>
      <c r="AC536" s="36">
        <v>-25768</v>
      </c>
      <c r="AD536" s="36">
        <v>0</v>
      </c>
      <c r="AE536" s="36"/>
      <c r="AF536" s="36"/>
      <c r="AG536" s="36"/>
      <c r="AH536" s="36"/>
      <c r="AI536" s="20">
        <f t="shared" si="25"/>
        <v>-95957</v>
      </c>
      <c r="AJ536" s="20">
        <f t="shared" si="26"/>
        <v>0</v>
      </c>
    </row>
    <row r="537" spans="1:36" x14ac:dyDescent="0.2">
      <c r="A537" s="17" t="s">
        <v>5133</v>
      </c>
      <c r="B537" s="17">
        <v>39491</v>
      </c>
      <c r="C537" s="20">
        <v>5329</v>
      </c>
      <c r="D537" s="20">
        <v>31999</v>
      </c>
      <c r="M537" s="20">
        <v>7370</v>
      </c>
      <c r="N537" s="20">
        <v>7746</v>
      </c>
      <c r="O537" s="20">
        <v>43866</v>
      </c>
      <c r="P537" s="20">
        <v>0</v>
      </c>
      <c r="W537" s="20">
        <f t="shared" si="24"/>
        <v>96310</v>
      </c>
      <c r="X537" s="36">
        <v>-40756</v>
      </c>
      <c r="Y537" s="36">
        <v>-22147</v>
      </c>
      <c r="Z537" s="36">
        <v>0</v>
      </c>
      <c r="AA537" s="36">
        <v>-3284</v>
      </c>
      <c r="AB537" s="36">
        <v>-2936</v>
      </c>
      <c r="AC537" s="36">
        <v>-27187</v>
      </c>
      <c r="AD537" s="36">
        <v>0</v>
      </c>
      <c r="AE537" s="36"/>
      <c r="AF537" s="36"/>
      <c r="AG537" s="36"/>
      <c r="AH537" s="36"/>
      <c r="AI537" s="20">
        <f t="shared" si="25"/>
        <v>-96310</v>
      </c>
      <c r="AJ537" s="20">
        <f t="shared" si="26"/>
        <v>0</v>
      </c>
    </row>
    <row r="538" spans="1:36" x14ac:dyDescent="0.2">
      <c r="A538" s="17" t="s">
        <v>5134</v>
      </c>
      <c r="B538" s="17">
        <v>39498</v>
      </c>
      <c r="C538" s="20">
        <v>6609</v>
      </c>
      <c r="D538" s="20">
        <v>31999</v>
      </c>
      <c r="M538" s="20">
        <v>7370</v>
      </c>
      <c r="N538" s="20">
        <v>7618</v>
      </c>
      <c r="O538" s="20">
        <v>44020</v>
      </c>
      <c r="P538" s="20">
        <v>0</v>
      </c>
      <c r="W538" s="20">
        <f t="shared" si="24"/>
        <v>97616</v>
      </c>
      <c r="X538" s="36">
        <v>-40933</v>
      </c>
      <c r="Y538" s="36">
        <v>-23824</v>
      </c>
      <c r="Z538" s="36">
        <v>0</v>
      </c>
      <c r="AA538" s="36">
        <v>-3327</v>
      </c>
      <c r="AB538" s="36">
        <v>-2936</v>
      </c>
      <c r="AC538" s="36">
        <v>-26595</v>
      </c>
      <c r="AD538" s="36">
        <v>0</v>
      </c>
      <c r="AE538" s="36"/>
      <c r="AF538" s="36"/>
      <c r="AG538" s="36"/>
      <c r="AH538" s="36"/>
      <c r="AI538" s="20">
        <f t="shared" si="25"/>
        <v>-97615</v>
      </c>
      <c r="AJ538" s="20">
        <f t="shared" si="26"/>
        <v>1</v>
      </c>
    </row>
    <row r="539" spans="1:36" x14ac:dyDescent="0.2">
      <c r="A539" s="17" t="s">
        <v>5135</v>
      </c>
      <c r="B539" s="17">
        <v>39505</v>
      </c>
      <c r="C539" s="20">
        <v>5229</v>
      </c>
      <c r="D539" s="20">
        <v>31999</v>
      </c>
      <c r="M539" s="20">
        <v>7370</v>
      </c>
      <c r="N539" s="20">
        <v>8019</v>
      </c>
      <c r="O539" s="20">
        <v>43836</v>
      </c>
      <c r="P539" s="20">
        <v>0</v>
      </c>
      <c r="W539" s="20">
        <f t="shared" si="24"/>
        <v>96453</v>
      </c>
      <c r="X539" s="36">
        <v>-41140</v>
      </c>
      <c r="Y539" s="36">
        <v>-22045</v>
      </c>
      <c r="Z539" s="36">
        <v>0</v>
      </c>
      <c r="AA539" s="36">
        <v>-3315</v>
      </c>
      <c r="AB539" s="36">
        <v>-2936</v>
      </c>
      <c r="AC539" s="36">
        <v>-27016</v>
      </c>
      <c r="AD539" s="36">
        <v>0</v>
      </c>
      <c r="AE539" s="36"/>
      <c r="AF539" s="36"/>
      <c r="AG539" s="36"/>
      <c r="AH539" s="36"/>
      <c r="AI539" s="20">
        <f t="shared" si="25"/>
        <v>-96452</v>
      </c>
      <c r="AJ539" s="20">
        <f t="shared" si="26"/>
        <v>1</v>
      </c>
    </row>
    <row r="540" spans="1:36" x14ac:dyDescent="0.2">
      <c r="A540" s="17" t="s">
        <v>5136</v>
      </c>
      <c r="B540" s="17">
        <v>39512</v>
      </c>
      <c r="C540" s="20">
        <v>15289</v>
      </c>
      <c r="D540" s="20">
        <v>31999</v>
      </c>
      <c r="M540" s="20">
        <v>7370</v>
      </c>
      <c r="N540" s="20">
        <v>8245</v>
      </c>
      <c r="O540" s="20">
        <v>43051</v>
      </c>
      <c r="P540" s="20">
        <v>0</v>
      </c>
      <c r="W540" s="20">
        <f t="shared" si="24"/>
        <v>105954</v>
      </c>
      <c r="X540" s="36">
        <v>-41334</v>
      </c>
      <c r="Y540" s="36">
        <v>-30979</v>
      </c>
      <c r="Z540" s="36">
        <v>0</v>
      </c>
      <c r="AA540" s="36">
        <v>-3343</v>
      </c>
      <c r="AB540" s="36">
        <v>-2936</v>
      </c>
      <c r="AC540" s="36">
        <v>-27362</v>
      </c>
      <c r="AD540" s="36">
        <v>0</v>
      </c>
      <c r="AE540" s="36"/>
      <c r="AF540" s="36"/>
      <c r="AG540" s="36"/>
      <c r="AH540" s="36"/>
      <c r="AI540" s="20">
        <f t="shared" si="25"/>
        <v>-105954</v>
      </c>
      <c r="AJ540" s="20">
        <f t="shared" si="26"/>
        <v>0</v>
      </c>
    </row>
    <row r="541" spans="1:36" x14ac:dyDescent="0.2">
      <c r="A541" s="17" t="s">
        <v>5137</v>
      </c>
      <c r="B541" s="17">
        <v>39519</v>
      </c>
      <c r="C541" s="20">
        <v>6239</v>
      </c>
      <c r="D541" s="20">
        <v>31999</v>
      </c>
      <c r="M541" s="20">
        <v>7370</v>
      </c>
      <c r="N541" s="20">
        <v>8917</v>
      </c>
      <c r="O541" s="20">
        <v>42702</v>
      </c>
      <c r="P541" s="20">
        <v>0</v>
      </c>
      <c r="W541" s="20">
        <f t="shared" si="24"/>
        <v>97227</v>
      </c>
      <c r="X541" s="36">
        <v>-41409</v>
      </c>
      <c r="Y541" s="36">
        <v>-20896</v>
      </c>
      <c r="Z541" s="36">
        <v>0</v>
      </c>
      <c r="AA541" s="36">
        <v>-4311</v>
      </c>
      <c r="AB541" s="36">
        <v>-2936</v>
      </c>
      <c r="AC541" s="36">
        <v>-27676</v>
      </c>
      <c r="AD541" s="36">
        <v>0</v>
      </c>
      <c r="AE541" s="36"/>
      <c r="AF541" s="36"/>
      <c r="AG541" s="36"/>
      <c r="AH541" s="36"/>
      <c r="AI541" s="20">
        <f t="shared" si="25"/>
        <v>-97228</v>
      </c>
      <c r="AJ541" s="20">
        <f t="shared" si="26"/>
        <v>-1</v>
      </c>
    </row>
    <row r="542" spans="1:36" x14ac:dyDescent="0.2">
      <c r="A542" s="17" t="s">
        <v>5138</v>
      </c>
      <c r="B542" s="17">
        <v>39526</v>
      </c>
      <c r="C542" s="20">
        <v>12769</v>
      </c>
      <c r="D542" s="20">
        <v>31999</v>
      </c>
      <c r="M542" s="20">
        <v>7370</v>
      </c>
      <c r="N542" s="20">
        <v>9205</v>
      </c>
      <c r="O542" s="20">
        <v>40835</v>
      </c>
      <c r="P542" s="20">
        <v>0</v>
      </c>
      <c r="W542" s="20">
        <f t="shared" si="24"/>
        <v>102178</v>
      </c>
      <c r="X542" s="36">
        <v>-42255</v>
      </c>
      <c r="Y542" s="36">
        <v>-27196</v>
      </c>
      <c r="Z542" s="36">
        <v>0</v>
      </c>
      <c r="AA542" s="36">
        <v>-4422</v>
      </c>
      <c r="AB542" s="36">
        <v>-2936</v>
      </c>
      <c r="AC542" s="36">
        <v>-25369</v>
      </c>
      <c r="AD542" s="36">
        <v>0</v>
      </c>
      <c r="AE542" s="36"/>
      <c r="AF542" s="36"/>
      <c r="AG542" s="36"/>
      <c r="AH542" s="36"/>
      <c r="AI542" s="20">
        <f t="shared" si="25"/>
        <v>-102178</v>
      </c>
      <c r="AJ542" s="20">
        <f t="shared" si="26"/>
        <v>0</v>
      </c>
    </row>
    <row r="543" spans="1:36" x14ac:dyDescent="0.2">
      <c r="A543" s="17" t="s">
        <v>5139</v>
      </c>
      <c r="B543" s="17">
        <v>39533</v>
      </c>
      <c r="C543" s="20">
        <v>10929</v>
      </c>
      <c r="D543" s="20">
        <v>31999</v>
      </c>
      <c r="M543" s="20">
        <v>7370</v>
      </c>
      <c r="N543" s="20">
        <v>9160</v>
      </c>
      <c r="O543" s="20">
        <v>39347</v>
      </c>
      <c r="P543" s="20">
        <v>0</v>
      </c>
      <c r="W543" s="20">
        <f t="shared" si="24"/>
        <v>98805</v>
      </c>
      <c r="X543" s="36">
        <v>-42951</v>
      </c>
      <c r="Y543" s="36">
        <v>-23683</v>
      </c>
      <c r="Z543" s="36">
        <v>0</v>
      </c>
      <c r="AA543" s="36">
        <v>-4396</v>
      </c>
      <c r="AB543" s="36">
        <v>-2936</v>
      </c>
      <c r="AC543" s="36">
        <v>-24839</v>
      </c>
      <c r="AD543" s="36">
        <v>0</v>
      </c>
      <c r="AE543" s="36"/>
      <c r="AF543" s="36"/>
      <c r="AG543" s="36"/>
      <c r="AH543" s="36"/>
      <c r="AI543" s="20">
        <f t="shared" si="25"/>
        <v>-98805</v>
      </c>
      <c r="AJ543" s="20">
        <f t="shared" si="26"/>
        <v>0</v>
      </c>
    </row>
    <row r="544" spans="1:36" x14ac:dyDescent="0.2">
      <c r="A544" s="17" t="s">
        <v>5140</v>
      </c>
      <c r="B544" s="17">
        <v>39540</v>
      </c>
      <c r="C544" s="20">
        <v>13619</v>
      </c>
      <c r="D544" s="20">
        <v>31999</v>
      </c>
      <c r="M544" s="20">
        <v>7370</v>
      </c>
      <c r="N544" s="20">
        <v>9455</v>
      </c>
      <c r="O544" s="20">
        <v>38006</v>
      </c>
      <c r="P544" s="20">
        <v>0</v>
      </c>
      <c r="W544" s="20">
        <f t="shared" si="24"/>
        <v>100449</v>
      </c>
      <c r="X544" s="36">
        <v>-41903</v>
      </c>
      <c r="Y544" s="36">
        <v>-27231</v>
      </c>
      <c r="Z544" s="36">
        <v>0</v>
      </c>
      <c r="AA544" s="36">
        <v>-4410</v>
      </c>
      <c r="AB544" s="36">
        <v>-2936</v>
      </c>
      <c r="AC544" s="36">
        <v>-23969</v>
      </c>
      <c r="AD544" s="36">
        <v>0</v>
      </c>
      <c r="AE544" s="36"/>
      <c r="AF544" s="36"/>
      <c r="AG544" s="36"/>
      <c r="AH544" s="36"/>
      <c r="AI544" s="20">
        <f t="shared" si="25"/>
        <v>-100449</v>
      </c>
      <c r="AJ544" s="20">
        <f t="shared" si="26"/>
        <v>0</v>
      </c>
    </row>
    <row r="545" spans="1:36" x14ac:dyDescent="0.2">
      <c r="A545" s="17" t="s">
        <v>5141</v>
      </c>
      <c r="B545" s="17">
        <v>39547</v>
      </c>
      <c r="C545" s="20">
        <v>13359</v>
      </c>
      <c r="D545" s="20">
        <v>31999</v>
      </c>
      <c r="M545" s="20">
        <v>7370</v>
      </c>
      <c r="N545" s="20">
        <v>9511</v>
      </c>
      <c r="O545" s="20">
        <v>36258</v>
      </c>
      <c r="P545" s="20">
        <v>0</v>
      </c>
      <c r="W545" s="20">
        <f t="shared" si="24"/>
        <v>98497</v>
      </c>
      <c r="X545" s="36">
        <v>-41518</v>
      </c>
      <c r="Y545" s="36">
        <v>-26755</v>
      </c>
      <c r="Z545" s="36">
        <v>0</v>
      </c>
      <c r="AA545" s="36">
        <v>-4463</v>
      </c>
      <c r="AB545" s="36">
        <v>-2936</v>
      </c>
      <c r="AC545" s="36">
        <v>-22825</v>
      </c>
      <c r="AD545" s="36">
        <v>0</v>
      </c>
      <c r="AE545" s="36"/>
      <c r="AF545" s="36"/>
      <c r="AG545" s="36"/>
      <c r="AH545" s="36"/>
      <c r="AI545" s="20">
        <f t="shared" si="25"/>
        <v>-98497</v>
      </c>
      <c r="AJ545" s="20">
        <f t="shared" si="26"/>
        <v>0</v>
      </c>
    </row>
    <row r="546" spans="1:36" x14ac:dyDescent="0.2">
      <c r="A546" s="17" t="s">
        <v>5142</v>
      </c>
      <c r="B546" s="17">
        <v>39554</v>
      </c>
      <c r="C546" s="20">
        <v>11009</v>
      </c>
      <c r="D546" s="20">
        <v>36999</v>
      </c>
      <c r="M546" s="20">
        <v>7370</v>
      </c>
      <c r="N546" s="20">
        <v>9535</v>
      </c>
      <c r="O546" s="20">
        <v>34574</v>
      </c>
      <c r="P546" s="20">
        <v>0</v>
      </c>
      <c r="W546" s="20">
        <f t="shared" si="24"/>
        <v>99487</v>
      </c>
      <c r="X546" s="36">
        <v>-41452</v>
      </c>
      <c r="Y546" s="36">
        <v>-28241</v>
      </c>
      <c r="Z546" s="36">
        <v>0</v>
      </c>
      <c r="AA546" s="36">
        <v>-4477</v>
      </c>
      <c r="AB546" s="36">
        <v>-2936</v>
      </c>
      <c r="AC546" s="36">
        <v>-22382</v>
      </c>
      <c r="AD546" s="36">
        <v>0</v>
      </c>
      <c r="AE546" s="36"/>
      <c r="AF546" s="36"/>
      <c r="AG546" s="36"/>
      <c r="AH546" s="36"/>
      <c r="AI546" s="20">
        <f t="shared" si="25"/>
        <v>-99488</v>
      </c>
      <c r="AJ546" s="20">
        <f t="shared" si="26"/>
        <v>-1</v>
      </c>
    </row>
    <row r="547" spans="1:36" x14ac:dyDescent="0.2">
      <c r="A547" s="17" t="s">
        <v>5143</v>
      </c>
      <c r="B547" s="17">
        <v>39561</v>
      </c>
      <c r="C547" s="20">
        <v>13709</v>
      </c>
      <c r="D547" s="20">
        <v>36999</v>
      </c>
      <c r="M547" s="20">
        <v>370</v>
      </c>
      <c r="N547" s="20">
        <v>9459</v>
      </c>
      <c r="O547" s="20">
        <v>36211</v>
      </c>
      <c r="P547" s="20">
        <v>0</v>
      </c>
      <c r="W547" s="20">
        <f t="shared" si="24"/>
        <v>96748</v>
      </c>
      <c r="X547" s="36">
        <v>-41413</v>
      </c>
      <c r="Y547" s="36">
        <v>-28026</v>
      </c>
      <c r="Z547" s="36">
        <v>0</v>
      </c>
      <c r="AA547" s="36">
        <v>-4444</v>
      </c>
      <c r="AB547" s="36">
        <v>-2936</v>
      </c>
      <c r="AC547" s="36">
        <v>-19929</v>
      </c>
      <c r="AD547" s="36">
        <v>0</v>
      </c>
      <c r="AE547" s="36"/>
      <c r="AF547" s="36"/>
      <c r="AG547" s="36"/>
      <c r="AH547" s="36"/>
      <c r="AI547" s="20">
        <f t="shared" si="25"/>
        <v>-96748</v>
      </c>
      <c r="AJ547" s="20">
        <f t="shared" si="26"/>
        <v>0</v>
      </c>
    </row>
    <row r="548" spans="1:36" x14ac:dyDescent="0.2">
      <c r="A548" s="17" t="s">
        <v>5144</v>
      </c>
      <c r="B548" s="17">
        <v>39568</v>
      </c>
      <c r="C548" s="20">
        <v>10019</v>
      </c>
      <c r="D548" s="20">
        <v>36999</v>
      </c>
      <c r="M548" s="20">
        <v>370</v>
      </c>
      <c r="N548" s="20">
        <v>9483</v>
      </c>
      <c r="O548" s="20">
        <v>35377</v>
      </c>
      <c r="P548" s="20">
        <v>0</v>
      </c>
      <c r="W548" s="20">
        <f t="shared" si="24"/>
        <v>92248</v>
      </c>
      <c r="X548" s="36">
        <v>-41729</v>
      </c>
      <c r="Y548" s="36">
        <v>-22983</v>
      </c>
      <c r="Z548" s="36">
        <v>0</v>
      </c>
      <c r="AA548" s="36">
        <v>-4396</v>
      </c>
      <c r="AB548" s="36">
        <v>-2936</v>
      </c>
      <c r="AC548" s="36">
        <v>-20205</v>
      </c>
      <c r="AD548" s="36">
        <v>0</v>
      </c>
      <c r="AE548" s="36"/>
      <c r="AF548" s="36"/>
      <c r="AG548" s="36"/>
      <c r="AH548" s="36"/>
      <c r="AI548" s="20">
        <f t="shared" si="25"/>
        <v>-92249</v>
      </c>
      <c r="AJ548" s="20">
        <f t="shared" si="26"/>
        <v>-1</v>
      </c>
    </row>
    <row r="549" spans="1:36" x14ac:dyDescent="0.2">
      <c r="A549" s="17" t="s">
        <v>5145</v>
      </c>
      <c r="B549" s="17">
        <v>39575</v>
      </c>
      <c r="C549" s="20">
        <v>19678</v>
      </c>
      <c r="D549" s="20">
        <v>36999</v>
      </c>
      <c r="M549" s="20">
        <v>370</v>
      </c>
      <c r="N549" s="20">
        <v>9503</v>
      </c>
      <c r="O549" s="20">
        <v>34366</v>
      </c>
      <c r="P549" s="20">
        <v>0</v>
      </c>
      <c r="W549" s="20">
        <f t="shared" si="24"/>
        <v>100916</v>
      </c>
      <c r="X549" s="36">
        <v>-42360</v>
      </c>
      <c r="Y549" s="36">
        <v>-30985</v>
      </c>
      <c r="Z549" s="36">
        <v>0</v>
      </c>
      <c r="AA549" s="36">
        <v>-4438</v>
      </c>
      <c r="AB549" s="36">
        <v>-2936</v>
      </c>
      <c r="AC549" s="36">
        <v>-20197</v>
      </c>
      <c r="AD549" s="36">
        <v>0</v>
      </c>
      <c r="AE549" s="36"/>
      <c r="AF549" s="36"/>
      <c r="AG549" s="36"/>
      <c r="AH549" s="36"/>
      <c r="AI549" s="20">
        <f t="shared" si="25"/>
        <v>-100916</v>
      </c>
      <c r="AJ549" s="20">
        <f t="shared" si="26"/>
        <v>0</v>
      </c>
    </row>
    <row r="550" spans="1:36" x14ac:dyDescent="0.2">
      <c r="A550" s="17" t="s">
        <v>5146</v>
      </c>
      <c r="B550" s="17">
        <v>39582</v>
      </c>
      <c r="C550" s="20">
        <v>15299</v>
      </c>
      <c r="D550" s="20">
        <v>36799</v>
      </c>
      <c r="M550" s="20">
        <v>370</v>
      </c>
      <c r="N550" s="20">
        <v>9519</v>
      </c>
      <c r="O550" s="20">
        <v>33155</v>
      </c>
      <c r="P550" s="20">
        <v>0</v>
      </c>
      <c r="W550" s="20">
        <f t="shared" si="24"/>
        <v>95142</v>
      </c>
      <c r="X550" s="36">
        <v>-41752</v>
      </c>
      <c r="Y550" s="36">
        <v>-27127</v>
      </c>
      <c r="Z550" s="36">
        <v>0</v>
      </c>
      <c r="AA550" s="36">
        <v>-4463</v>
      </c>
      <c r="AB550" s="36">
        <v>-2936</v>
      </c>
      <c r="AC550" s="36">
        <v>-18864</v>
      </c>
      <c r="AD550" s="36">
        <v>0</v>
      </c>
      <c r="AE550" s="36"/>
      <c r="AF550" s="36"/>
      <c r="AG550" s="36"/>
      <c r="AH550" s="36"/>
      <c r="AI550" s="20">
        <f t="shared" si="25"/>
        <v>-95142</v>
      </c>
      <c r="AJ550" s="20">
        <f t="shared" si="26"/>
        <v>0</v>
      </c>
    </row>
    <row r="551" spans="1:36" x14ac:dyDescent="0.2">
      <c r="A551" s="17" t="s">
        <v>5147</v>
      </c>
      <c r="B551" s="17">
        <v>39589</v>
      </c>
      <c r="C551" s="20">
        <v>13779</v>
      </c>
      <c r="D551" s="20">
        <v>36998</v>
      </c>
      <c r="M551" s="20">
        <v>370</v>
      </c>
      <c r="N551" s="20">
        <v>9523</v>
      </c>
      <c r="O551" s="20">
        <v>33696</v>
      </c>
      <c r="P551" s="20">
        <v>0</v>
      </c>
      <c r="W551" s="20">
        <f t="shared" si="24"/>
        <v>94366</v>
      </c>
      <c r="X551" s="36">
        <v>-41902</v>
      </c>
      <c r="Y551" s="36">
        <v>-26300</v>
      </c>
      <c r="Z551" s="36">
        <v>0</v>
      </c>
      <c r="AA551" s="36">
        <v>-4469</v>
      </c>
      <c r="AB551" s="36">
        <v>-2936</v>
      </c>
      <c r="AC551" s="36">
        <v>-18758</v>
      </c>
      <c r="AD551" s="36">
        <v>0</v>
      </c>
      <c r="AE551" s="36"/>
      <c r="AF551" s="36"/>
      <c r="AG551" s="36"/>
      <c r="AH551" s="36"/>
      <c r="AI551" s="20">
        <f t="shared" si="25"/>
        <v>-94365</v>
      </c>
      <c r="AJ551" s="20">
        <f t="shared" si="26"/>
        <v>1</v>
      </c>
    </row>
    <row r="552" spans="1:36" x14ac:dyDescent="0.2">
      <c r="A552" s="17" t="s">
        <v>5148</v>
      </c>
      <c r="B552" s="17">
        <v>39596</v>
      </c>
      <c r="C552" s="20">
        <v>13949</v>
      </c>
      <c r="D552" s="20">
        <v>36998</v>
      </c>
      <c r="M552" s="20">
        <v>370</v>
      </c>
      <c r="N552" s="20">
        <v>9456</v>
      </c>
      <c r="O552" s="20">
        <v>32256</v>
      </c>
      <c r="P552" s="20">
        <v>0</v>
      </c>
      <c r="W552" s="20">
        <f t="shared" si="24"/>
        <v>93029</v>
      </c>
      <c r="X552" s="36">
        <v>-42690</v>
      </c>
      <c r="Y552" s="36">
        <v>-25632</v>
      </c>
      <c r="Z552" s="36">
        <v>0</v>
      </c>
      <c r="AA552" s="36">
        <v>-4406</v>
      </c>
      <c r="AB552" s="36">
        <v>-2936</v>
      </c>
      <c r="AC552" s="36">
        <v>-17365</v>
      </c>
      <c r="AD552" s="36">
        <v>0</v>
      </c>
      <c r="AE552" s="36"/>
      <c r="AF552" s="36"/>
      <c r="AG552" s="36"/>
      <c r="AH552" s="36"/>
      <c r="AI552" s="20">
        <f t="shared" si="25"/>
        <v>-93029</v>
      </c>
      <c r="AJ552" s="20">
        <f t="shared" si="26"/>
        <v>0</v>
      </c>
    </row>
    <row r="553" spans="1:36" x14ac:dyDescent="0.2">
      <c r="A553" s="17" t="s">
        <v>5149</v>
      </c>
      <c r="B553" s="17">
        <v>39603</v>
      </c>
      <c r="C553" s="20">
        <v>21779</v>
      </c>
      <c r="D553" s="20">
        <v>36998</v>
      </c>
      <c r="M553" s="20">
        <v>370</v>
      </c>
      <c r="N553" s="20">
        <v>9824</v>
      </c>
      <c r="O553" s="20">
        <v>31023</v>
      </c>
      <c r="P553" s="20">
        <v>0</v>
      </c>
      <c r="W553" s="20">
        <f t="shared" si="24"/>
        <v>99994</v>
      </c>
      <c r="X553" s="36">
        <v>-42158</v>
      </c>
      <c r="Y553" s="36">
        <v>-32914</v>
      </c>
      <c r="Z553" s="36">
        <v>0</v>
      </c>
      <c r="AA553" s="36">
        <v>-4440</v>
      </c>
      <c r="AB553" s="36">
        <v>-2275</v>
      </c>
      <c r="AC553" s="36">
        <v>-18208</v>
      </c>
      <c r="AD553" s="36">
        <v>0</v>
      </c>
      <c r="AE553" s="36"/>
      <c r="AF553" s="36"/>
      <c r="AG553" s="36"/>
      <c r="AH553" s="36"/>
      <c r="AI553" s="20">
        <f t="shared" si="25"/>
        <v>-99995</v>
      </c>
      <c r="AJ553" s="20">
        <f t="shared" si="26"/>
        <v>-1</v>
      </c>
    </row>
    <row r="554" spans="1:36" x14ac:dyDescent="0.2">
      <c r="A554" s="17" t="s">
        <v>5150</v>
      </c>
      <c r="B554" s="17">
        <v>39610</v>
      </c>
      <c r="C554" s="20">
        <v>15999</v>
      </c>
      <c r="D554" s="20">
        <v>36998</v>
      </c>
      <c r="M554" s="20">
        <v>370</v>
      </c>
      <c r="N554" s="20">
        <v>9743</v>
      </c>
      <c r="O554" s="20">
        <v>30113</v>
      </c>
      <c r="P554" s="20">
        <v>0</v>
      </c>
      <c r="W554" s="20">
        <f t="shared" si="24"/>
        <v>93223</v>
      </c>
      <c r="X554" s="36">
        <v>-42017</v>
      </c>
      <c r="Y554" s="36">
        <v>-28498</v>
      </c>
      <c r="Z554" s="36">
        <v>0</v>
      </c>
      <c r="AA554" s="36">
        <v>-4411</v>
      </c>
      <c r="AB554" s="36">
        <v>-2275</v>
      </c>
      <c r="AC554" s="36">
        <v>-16022</v>
      </c>
      <c r="AD554" s="36">
        <v>0</v>
      </c>
      <c r="AE554" s="36"/>
      <c r="AF554" s="36"/>
      <c r="AG554" s="36"/>
      <c r="AH554" s="36"/>
      <c r="AI554" s="20">
        <f t="shared" si="25"/>
        <v>-93223</v>
      </c>
      <c r="AJ554" s="20">
        <f t="shared" si="26"/>
        <v>0</v>
      </c>
    </row>
    <row r="555" spans="1:36" x14ac:dyDescent="0.2">
      <c r="A555" s="17" t="s">
        <v>5151</v>
      </c>
      <c r="B555" s="17">
        <v>39617</v>
      </c>
      <c r="C555" s="20">
        <v>16149</v>
      </c>
      <c r="D555" s="20">
        <v>31997</v>
      </c>
      <c r="M555" s="20">
        <v>370</v>
      </c>
      <c r="N555" s="20">
        <v>9746</v>
      </c>
      <c r="O555" s="20">
        <v>28687</v>
      </c>
      <c r="P555" s="20">
        <v>0</v>
      </c>
      <c r="W555" s="20">
        <f t="shared" si="24"/>
        <v>86949</v>
      </c>
      <c r="X555" s="36">
        <v>-42029</v>
      </c>
      <c r="Y555" s="36">
        <v>-23216</v>
      </c>
      <c r="Z555" s="36">
        <v>0</v>
      </c>
      <c r="AA555" s="36">
        <v>-4419</v>
      </c>
      <c r="AB555" s="36">
        <v>-2275</v>
      </c>
      <c r="AC555" s="36">
        <v>-15009</v>
      </c>
      <c r="AD555" s="36">
        <v>0</v>
      </c>
      <c r="AE555" s="36"/>
      <c r="AF555" s="36"/>
      <c r="AG555" s="36"/>
      <c r="AH555" s="36"/>
      <c r="AI555" s="20">
        <f t="shared" si="25"/>
        <v>-86948</v>
      </c>
      <c r="AJ555" s="20">
        <f t="shared" si="26"/>
        <v>1</v>
      </c>
    </row>
    <row r="556" spans="1:36" x14ac:dyDescent="0.2">
      <c r="A556" s="17" t="s">
        <v>5152</v>
      </c>
      <c r="B556" s="17">
        <v>39624</v>
      </c>
      <c r="C556" s="20">
        <v>20929</v>
      </c>
      <c r="D556" s="20">
        <v>31997</v>
      </c>
      <c r="M556" s="20">
        <v>370</v>
      </c>
      <c r="N556" s="20">
        <v>10162</v>
      </c>
      <c r="O556" s="20">
        <v>28379</v>
      </c>
      <c r="P556" s="20">
        <v>0</v>
      </c>
      <c r="W556" s="20">
        <f t="shared" si="24"/>
        <v>91837</v>
      </c>
      <c r="X556" s="36">
        <v>-42180</v>
      </c>
      <c r="Y556" s="36">
        <v>-28649</v>
      </c>
      <c r="Z556" s="36">
        <v>0</v>
      </c>
      <c r="AA556" s="36">
        <v>-4408</v>
      </c>
      <c r="AB556" s="36">
        <v>-2275</v>
      </c>
      <c r="AC556" s="36">
        <v>-14327</v>
      </c>
      <c r="AD556" s="36">
        <v>0</v>
      </c>
      <c r="AE556" s="36"/>
      <c r="AF556" s="36"/>
      <c r="AG556" s="36"/>
      <c r="AH556" s="36"/>
      <c r="AI556" s="20">
        <f t="shared" si="25"/>
        <v>-91839</v>
      </c>
      <c r="AJ556" s="20">
        <f t="shared" si="26"/>
        <v>-2</v>
      </c>
    </row>
    <row r="557" spans="1:36" x14ac:dyDescent="0.2">
      <c r="A557" s="17" t="s">
        <v>5153</v>
      </c>
      <c r="B557" s="17">
        <v>39631</v>
      </c>
      <c r="C557" s="20">
        <v>19759</v>
      </c>
      <c r="D557" s="20">
        <v>31997</v>
      </c>
      <c r="M557" s="20">
        <v>370</v>
      </c>
      <c r="N557" s="20">
        <v>10192</v>
      </c>
      <c r="O557" s="20">
        <v>27631</v>
      </c>
      <c r="P557" s="20">
        <v>0</v>
      </c>
      <c r="W557" s="20">
        <f t="shared" si="24"/>
        <v>89949</v>
      </c>
      <c r="X557" s="36">
        <v>-42429</v>
      </c>
      <c r="Y557" s="36">
        <v>-26325</v>
      </c>
      <c r="Z557" s="36">
        <v>0</v>
      </c>
      <c r="AA557" s="36">
        <v>-4415</v>
      </c>
      <c r="AB557" s="36">
        <v>-2280</v>
      </c>
      <c r="AC557" s="36">
        <v>-14499</v>
      </c>
      <c r="AD557" s="36">
        <v>0</v>
      </c>
      <c r="AE557" s="36"/>
      <c r="AF557" s="36"/>
      <c r="AG557" s="36"/>
      <c r="AH557" s="36"/>
      <c r="AI557" s="20">
        <f t="shared" si="25"/>
        <v>-89948</v>
      </c>
      <c r="AJ557" s="20">
        <f t="shared" si="26"/>
        <v>1</v>
      </c>
    </row>
    <row r="558" spans="1:36" x14ac:dyDescent="0.2">
      <c r="A558" s="17" t="s">
        <v>5154</v>
      </c>
      <c r="B558" s="17">
        <v>39638</v>
      </c>
      <c r="C558" s="20">
        <v>22409</v>
      </c>
      <c r="D558" s="20">
        <v>31997</v>
      </c>
      <c r="M558" s="20">
        <v>370</v>
      </c>
      <c r="N558" s="20">
        <v>10242</v>
      </c>
      <c r="O558" s="20">
        <v>27374</v>
      </c>
      <c r="P558" s="20">
        <v>0</v>
      </c>
      <c r="W558" s="20">
        <f t="shared" si="24"/>
        <v>92392</v>
      </c>
      <c r="X558" s="36">
        <v>-42374</v>
      </c>
      <c r="Y558" s="36">
        <v>-28772</v>
      </c>
      <c r="Z558" s="36">
        <v>0</v>
      </c>
      <c r="AA558" s="36">
        <v>-4432</v>
      </c>
      <c r="AB558" s="36">
        <v>-2280</v>
      </c>
      <c r="AC558" s="36">
        <v>-14533</v>
      </c>
      <c r="AD558" s="36">
        <v>0</v>
      </c>
      <c r="AE558" s="36"/>
      <c r="AF558" s="36"/>
      <c r="AG558" s="36"/>
      <c r="AH558" s="36"/>
      <c r="AI558" s="20">
        <f t="shared" si="25"/>
        <v>-92391</v>
      </c>
      <c r="AJ558" s="20">
        <f t="shared" si="26"/>
        <v>1</v>
      </c>
    </row>
    <row r="559" spans="1:36" x14ac:dyDescent="0.2">
      <c r="A559" s="17" t="s">
        <v>5155</v>
      </c>
      <c r="B559" s="17">
        <v>39645</v>
      </c>
      <c r="C559" s="20">
        <v>31878</v>
      </c>
      <c r="D559" s="20">
        <v>22047</v>
      </c>
      <c r="M559" s="20">
        <v>370</v>
      </c>
      <c r="N559" s="20">
        <v>9927</v>
      </c>
      <c r="O559" s="20">
        <v>26669</v>
      </c>
      <c r="P559" s="20">
        <v>0</v>
      </c>
      <c r="W559" s="20">
        <f t="shared" si="24"/>
        <v>90891</v>
      </c>
      <c r="X559" s="36">
        <v>-42403</v>
      </c>
      <c r="Y559" s="36">
        <v>-27943</v>
      </c>
      <c r="Z559" s="36">
        <v>0</v>
      </c>
      <c r="AA559" s="36">
        <v>-4413</v>
      </c>
      <c r="AB559" s="36">
        <v>-2280</v>
      </c>
      <c r="AC559" s="36">
        <v>-13853</v>
      </c>
      <c r="AD559" s="36">
        <v>0</v>
      </c>
      <c r="AE559" s="36"/>
      <c r="AF559" s="36"/>
      <c r="AG559" s="36"/>
      <c r="AH559" s="36"/>
      <c r="AI559" s="20">
        <f t="shared" si="25"/>
        <v>-90892</v>
      </c>
      <c r="AJ559" s="20">
        <f t="shared" si="26"/>
        <v>-1</v>
      </c>
    </row>
    <row r="560" spans="1:36" x14ac:dyDescent="0.2">
      <c r="A560" s="17" t="s">
        <v>5156</v>
      </c>
      <c r="B560" s="17">
        <v>39652</v>
      </c>
      <c r="C560" s="20">
        <v>32969</v>
      </c>
      <c r="D560" s="20">
        <v>22047</v>
      </c>
      <c r="M560" s="20">
        <v>370</v>
      </c>
      <c r="N560" s="20">
        <v>9863</v>
      </c>
      <c r="O560" s="20">
        <v>26676</v>
      </c>
      <c r="P560" s="20">
        <v>0</v>
      </c>
      <c r="W560" s="20">
        <f t="shared" si="24"/>
        <v>91925</v>
      </c>
      <c r="X560" s="36">
        <v>-42424</v>
      </c>
      <c r="Y560" s="36">
        <v>-28623</v>
      </c>
      <c r="Z560" s="36">
        <v>0</v>
      </c>
      <c r="AA560" s="36">
        <v>-4376</v>
      </c>
      <c r="AB560" s="36">
        <v>-2280</v>
      </c>
      <c r="AC560" s="36">
        <v>-14222</v>
      </c>
      <c r="AD560" s="36">
        <v>0</v>
      </c>
      <c r="AE560" s="36"/>
      <c r="AF560" s="36"/>
      <c r="AG560" s="36"/>
      <c r="AH560" s="36"/>
      <c r="AI560" s="20">
        <f t="shared" si="25"/>
        <v>-91925</v>
      </c>
      <c r="AJ560" s="20">
        <f t="shared" si="26"/>
        <v>0</v>
      </c>
    </row>
    <row r="561" spans="1:36" x14ac:dyDescent="0.2">
      <c r="A561" s="17" t="s">
        <v>5157</v>
      </c>
      <c r="B561" s="17">
        <v>39659</v>
      </c>
      <c r="C561" s="20">
        <v>31669</v>
      </c>
      <c r="D561" s="20">
        <v>22047</v>
      </c>
      <c r="M561" s="20">
        <v>370</v>
      </c>
      <c r="N561" s="20">
        <v>10313</v>
      </c>
      <c r="O561" s="20">
        <v>29579</v>
      </c>
      <c r="P561" s="20">
        <v>0</v>
      </c>
      <c r="W561" s="20">
        <f t="shared" si="24"/>
        <v>93978</v>
      </c>
      <c r="X561" s="36">
        <v>-42570</v>
      </c>
      <c r="Y561" s="36">
        <v>-28046</v>
      </c>
      <c r="Z561" s="36">
        <v>0</v>
      </c>
      <c r="AA561" s="36">
        <v>-4408</v>
      </c>
      <c r="AB561" s="36">
        <v>-2280</v>
      </c>
      <c r="AC561" s="36">
        <v>-16674</v>
      </c>
      <c r="AD561" s="36">
        <v>0</v>
      </c>
      <c r="AE561" s="36"/>
      <c r="AF561" s="36"/>
      <c r="AG561" s="36"/>
      <c r="AH561" s="36"/>
      <c r="AI561" s="20">
        <f t="shared" si="25"/>
        <v>-93978</v>
      </c>
      <c r="AJ561" s="20">
        <f t="shared" si="26"/>
        <v>0</v>
      </c>
    </row>
    <row r="562" spans="1:36" x14ac:dyDescent="0.2">
      <c r="A562" s="17" t="s">
        <v>5158</v>
      </c>
      <c r="B562" s="17">
        <v>39666</v>
      </c>
      <c r="C562" s="20">
        <v>34015</v>
      </c>
      <c r="D562" s="20">
        <v>22047</v>
      </c>
      <c r="M562" s="20">
        <v>370</v>
      </c>
      <c r="N562" s="20">
        <v>10377</v>
      </c>
      <c r="O562" s="20">
        <v>28765</v>
      </c>
      <c r="P562" s="20">
        <v>0</v>
      </c>
      <c r="W562" s="20">
        <f t="shared" si="24"/>
        <v>95574</v>
      </c>
      <c r="X562" s="36">
        <v>-42553</v>
      </c>
      <c r="Y562" s="36">
        <v>-29428</v>
      </c>
      <c r="Z562" s="36">
        <v>0</v>
      </c>
      <c r="AA562" s="36">
        <v>-4453</v>
      </c>
      <c r="AB562" s="36">
        <v>-2280</v>
      </c>
      <c r="AC562" s="36">
        <v>-16860</v>
      </c>
      <c r="AD562" s="36">
        <v>0</v>
      </c>
      <c r="AE562" s="36"/>
      <c r="AF562" s="36"/>
      <c r="AG562" s="36"/>
      <c r="AH562" s="36"/>
      <c r="AI562" s="20">
        <f t="shared" si="25"/>
        <v>-95574</v>
      </c>
      <c r="AJ562" s="20">
        <f t="shared" si="26"/>
        <v>0</v>
      </c>
    </row>
    <row r="563" spans="1:36" x14ac:dyDescent="0.2">
      <c r="A563" s="17" t="s">
        <v>5159</v>
      </c>
      <c r="B563" s="17">
        <v>39673</v>
      </c>
      <c r="C563" s="20">
        <v>32669</v>
      </c>
      <c r="D563" s="20">
        <v>21847</v>
      </c>
      <c r="M563" s="20">
        <v>370</v>
      </c>
      <c r="N563" s="20">
        <v>10490</v>
      </c>
      <c r="O563" s="20">
        <v>27216</v>
      </c>
      <c r="P563" s="20">
        <v>0</v>
      </c>
      <c r="W563" s="20">
        <f t="shared" si="24"/>
        <v>92592</v>
      </c>
      <c r="X563" s="36">
        <v>-42375</v>
      </c>
      <c r="Y563" s="36">
        <v>-27737</v>
      </c>
      <c r="Z563" s="36">
        <v>0</v>
      </c>
      <c r="AA563" s="36">
        <v>-4578</v>
      </c>
      <c r="AB563" s="36">
        <v>-2280</v>
      </c>
      <c r="AC563" s="36">
        <v>-15620</v>
      </c>
      <c r="AD563" s="36">
        <v>0</v>
      </c>
      <c r="AE563" s="36"/>
      <c r="AF563" s="36"/>
      <c r="AG563" s="36"/>
      <c r="AH563" s="36"/>
      <c r="AI563" s="20">
        <f t="shared" si="25"/>
        <v>-92590</v>
      </c>
      <c r="AJ563" s="20">
        <f t="shared" si="26"/>
        <v>2</v>
      </c>
    </row>
    <row r="564" spans="1:36" x14ac:dyDescent="0.2">
      <c r="A564" s="17" t="s">
        <v>5160</v>
      </c>
      <c r="B564" s="17">
        <v>39680</v>
      </c>
      <c r="C564" s="20">
        <v>33919</v>
      </c>
      <c r="D564" s="20">
        <v>22046</v>
      </c>
      <c r="M564" s="20">
        <v>370</v>
      </c>
      <c r="N564" s="20">
        <v>10484</v>
      </c>
      <c r="O564" s="20">
        <v>26609</v>
      </c>
      <c r="P564" s="20">
        <v>0</v>
      </c>
      <c r="W564" s="20">
        <f t="shared" si="24"/>
        <v>93428</v>
      </c>
      <c r="X564" s="36">
        <v>-42530</v>
      </c>
      <c r="Y564" s="36">
        <v>-29126</v>
      </c>
      <c r="Z564" s="36">
        <v>0</v>
      </c>
      <c r="AA564" s="36">
        <v>-4576</v>
      </c>
      <c r="AB564" s="36">
        <v>-2280</v>
      </c>
      <c r="AC564" s="36">
        <v>-14916</v>
      </c>
      <c r="AD564" s="36">
        <v>0</v>
      </c>
      <c r="AE564" s="36"/>
      <c r="AF564" s="36"/>
      <c r="AG564" s="36"/>
      <c r="AH564" s="36"/>
      <c r="AI564" s="20">
        <f t="shared" si="25"/>
        <v>-93428</v>
      </c>
      <c r="AJ564" s="20">
        <f t="shared" si="26"/>
        <v>0</v>
      </c>
    </row>
    <row r="565" spans="1:36" x14ac:dyDescent="0.2">
      <c r="A565" s="17" t="s">
        <v>5161</v>
      </c>
      <c r="B565" s="17">
        <v>39687</v>
      </c>
      <c r="C565" s="20">
        <v>34039</v>
      </c>
      <c r="D565" s="20">
        <v>22046</v>
      </c>
      <c r="M565" s="20">
        <v>370</v>
      </c>
      <c r="N565" s="20">
        <v>10517</v>
      </c>
      <c r="O565" s="20">
        <v>26262</v>
      </c>
      <c r="P565" s="20">
        <v>0</v>
      </c>
      <c r="W565" s="20">
        <f t="shared" si="24"/>
        <v>93234</v>
      </c>
      <c r="X565" s="36">
        <v>-43209</v>
      </c>
      <c r="Y565" s="36">
        <v>-28493</v>
      </c>
      <c r="Z565" s="36">
        <v>0</v>
      </c>
      <c r="AA565" s="36">
        <v>-4618</v>
      </c>
      <c r="AB565" s="36">
        <v>-2280</v>
      </c>
      <c r="AC565" s="36">
        <v>-14634</v>
      </c>
      <c r="AD565" s="36">
        <v>0</v>
      </c>
      <c r="AE565" s="36"/>
      <c r="AF565" s="36"/>
      <c r="AG565" s="36"/>
      <c r="AH565" s="36"/>
      <c r="AI565" s="20">
        <f t="shared" si="25"/>
        <v>-93234</v>
      </c>
      <c r="AJ565" s="20">
        <f t="shared" si="26"/>
        <v>0</v>
      </c>
    </row>
    <row r="566" spans="1:36" x14ac:dyDescent="0.2">
      <c r="A566" s="17" t="s">
        <v>5162</v>
      </c>
      <c r="B566" s="17">
        <v>39694</v>
      </c>
      <c r="C566" s="20">
        <v>42910</v>
      </c>
      <c r="D566" s="20">
        <v>22046</v>
      </c>
      <c r="M566" s="20">
        <v>370</v>
      </c>
      <c r="N566" s="20">
        <v>11166</v>
      </c>
      <c r="O566" s="20">
        <v>21253</v>
      </c>
      <c r="P566" s="20">
        <v>0</v>
      </c>
      <c r="W566" s="20">
        <f t="shared" si="24"/>
        <v>97745</v>
      </c>
      <c r="X566" s="36">
        <v>-42738</v>
      </c>
      <c r="Y566" s="36">
        <v>-32347</v>
      </c>
      <c r="Z566" s="36">
        <v>0</v>
      </c>
      <c r="AA566" s="36">
        <v>-4745</v>
      </c>
      <c r="AB566" s="36">
        <v>-2280</v>
      </c>
      <c r="AC566" s="36">
        <v>-15634</v>
      </c>
      <c r="AD566" s="36">
        <v>0</v>
      </c>
      <c r="AE566" s="36"/>
      <c r="AF566" s="36"/>
      <c r="AG566" s="36"/>
      <c r="AH566" s="36"/>
      <c r="AI566" s="20">
        <f t="shared" si="25"/>
        <v>-97744</v>
      </c>
      <c r="AJ566" s="20">
        <f t="shared" si="26"/>
        <v>1</v>
      </c>
    </row>
    <row r="567" spans="1:36" x14ac:dyDescent="0.2">
      <c r="A567" s="17" t="s">
        <v>5163</v>
      </c>
      <c r="B567" s="17">
        <v>39701</v>
      </c>
      <c r="C567" s="20">
        <v>38789</v>
      </c>
      <c r="D567" s="20">
        <v>22046</v>
      </c>
      <c r="M567" s="20">
        <v>370</v>
      </c>
      <c r="N567" s="20">
        <v>11054</v>
      </c>
      <c r="O567" s="20">
        <v>20916</v>
      </c>
      <c r="P567" s="20">
        <v>0</v>
      </c>
      <c r="W567" s="20">
        <f t="shared" si="24"/>
        <v>93175</v>
      </c>
      <c r="X567" s="36">
        <v>-42597</v>
      </c>
      <c r="Y567" s="36">
        <v>-27592</v>
      </c>
      <c r="Z567" s="36">
        <v>0</v>
      </c>
      <c r="AA567" s="36">
        <v>-4732</v>
      </c>
      <c r="AB567" s="36">
        <v>-2280</v>
      </c>
      <c r="AC567" s="36">
        <v>-15973</v>
      </c>
      <c r="AD567" s="36">
        <v>0</v>
      </c>
      <c r="AE567" s="36"/>
      <c r="AF567" s="36"/>
      <c r="AG567" s="36"/>
      <c r="AH567" s="36"/>
      <c r="AI567" s="20">
        <f t="shared" si="25"/>
        <v>-93174</v>
      </c>
      <c r="AJ567" s="20">
        <f t="shared" si="26"/>
        <v>1</v>
      </c>
    </row>
    <row r="568" spans="1:36" x14ac:dyDescent="0.2">
      <c r="A568" s="17" t="s">
        <v>5164</v>
      </c>
      <c r="B568" s="17">
        <v>39708</v>
      </c>
      <c r="C568" s="20">
        <v>62519</v>
      </c>
      <c r="D568" s="20">
        <v>22046</v>
      </c>
      <c r="M568" s="20">
        <v>370</v>
      </c>
      <c r="N568" s="20">
        <v>11032</v>
      </c>
      <c r="O568" s="20">
        <v>22063</v>
      </c>
      <c r="P568" s="20">
        <v>0</v>
      </c>
      <c r="W568" s="20">
        <f t="shared" si="24"/>
        <v>118030</v>
      </c>
      <c r="X568" s="36">
        <v>-42618</v>
      </c>
      <c r="Y568" s="36">
        <v>-50847</v>
      </c>
      <c r="Z568" s="36">
        <v>0</v>
      </c>
      <c r="AA568" s="36">
        <v>-4669</v>
      </c>
      <c r="AB568" s="36">
        <v>-2280</v>
      </c>
      <c r="AC568" s="36">
        <v>-17617</v>
      </c>
      <c r="AD568" s="36">
        <v>0</v>
      </c>
      <c r="AE568" s="36"/>
      <c r="AF568" s="36"/>
      <c r="AG568" s="36"/>
      <c r="AH568" s="36"/>
      <c r="AI568" s="20">
        <f t="shared" si="25"/>
        <v>-118031</v>
      </c>
      <c r="AJ568" s="20">
        <f t="shared" si="26"/>
        <v>-1</v>
      </c>
    </row>
    <row r="569" spans="1:36" x14ac:dyDescent="0.2">
      <c r="A569" s="17" t="s">
        <v>5165</v>
      </c>
      <c r="B569" s="17">
        <v>39715</v>
      </c>
      <c r="C569" s="20">
        <v>66209</v>
      </c>
      <c r="D569" s="20">
        <v>22046</v>
      </c>
      <c r="M569" s="20">
        <v>370</v>
      </c>
      <c r="N569" s="20">
        <v>11046</v>
      </c>
      <c r="O569" s="20">
        <v>38014</v>
      </c>
      <c r="P569" s="20">
        <v>0</v>
      </c>
      <c r="W569" s="20">
        <f t="shared" si="24"/>
        <v>137685</v>
      </c>
      <c r="X569" s="36">
        <v>-42769</v>
      </c>
      <c r="Y569" s="36">
        <v>-34449</v>
      </c>
      <c r="Z569" s="36">
        <v>-19999</v>
      </c>
      <c r="AA569" s="36">
        <v>-4585</v>
      </c>
      <c r="AB569" s="36">
        <v>-2280</v>
      </c>
      <c r="AC569" s="36">
        <v>-33568</v>
      </c>
      <c r="AD569" s="36">
        <v>-35</v>
      </c>
      <c r="AE569" s="36"/>
      <c r="AF569" s="36"/>
      <c r="AG569" s="36"/>
      <c r="AH569" s="36"/>
      <c r="AI569" s="20">
        <f t="shared" si="25"/>
        <v>-137685</v>
      </c>
      <c r="AJ569" s="20">
        <f t="shared" si="26"/>
        <v>0</v>
      </c>
    </row>
    <row r="570" spans="1:36" x14ac:dyDescent="0.2">
      <c r="A570" s="17" t="s">
        <v>5166</v>
      </c>
      <c r="B570" s="17">
        <v>39722</v>
      </c>
      <c r="C570" s="20">
        <v>52799</v>
      </c>
      <c r="D570" s="20">
        <v>62046</v>
      </c>
      <c r="M570" s="20">
        <v>370</v>
      </c>
      <c r="N570" s="20">
        <v>10855</v>
      </c>
      <c r="O570" s="20">
        <v>60522</v>
      </c>
      <c r="P570" s="20">
        <v>0</v>
      </c>
      <c r="W570" s="20">
        <f t="shared" si="24"/>
        <v>186592</v>
      </c>
      <c r="X570" s="36">
        <v>-42882</v>
      </c>
      <c r="Y570" s="36">
        <v>-55687</v>
      </c>
      <c r="Z570" s="36">
        <v>-10000</v>
      </c>
      <c r="AA570" s="36">
        <v>-4695</v>
      </c>
      <c r="AB570" s="36">
        <v>-2280</v>
      </c>
      <c r="AC570" s="36">
        <v>-68684</v>
      </c>
      <c r="AD570" s="36">
        <v>-2364</v>
      </c>
      <c r="AE570" s="36"/>
      <c r="AF570" s="36"/>
      <c r="AG570" s="36"/>
      <c r="AH570" s="36"/>
      <c r="AI570" s="20">
        <f t="shared" si="25"/>
        <v>-186592</v>
      </c>
      <c r="AJ570" s="20">
        <f t="shared" si="26"/>
        <v>0</v>
      </c>
    </row>
    <row r="571" spans="1:36" x14ac:dyDescent="0.2">
      <c r="A571" s="17" t="s">
        <v>5167</v>
      </c>
      <c r="B571" s="17">
        <v>39729</v>
      </c>
      <c r="C571" s="20">
        <v>14999</v>
      </c>
      <c r="D571" s="20">
        <v>92722</v>
      </c>
      <c r="M571" s="20">
        <v>370</v>
      </c>
      <c r="N571" s="20">
        <v>10540</v>
      </c>
      <c r="O571" s="20">
        <v>80567</v>
      </c>
      <c r="P571" s="20">
        <v>0</v>
      </c>
      <c r="W571" s="20">
        <f t="shared" si="24"/>
        <v>199198</v>
      </c>
      <c r="X571" s="36">
        <v>-43061</v>
      </c>
      <c r="Y571" s="36">
        <v>-49301</v>
      </c>
      <c r="Z571" s="36">
        <v>-24950</v>
      </c>
      <c r="AA571" s="36">
        <v>-4754</v>
      </c>
      <c r="AB571" s="36">
        <v>-2280</v>
      </c>
      <c r="AC571" s="36">
        <v>-70449</v>
      </c>
      <c r="AD571" s="36">
        <v>-4403</v>
      </c>
      <c r="AE571" s="36"/>
      <c r="AF571" s="36"/>
      <c r="AG571" s="36"/>
      <c r="AH571" s="36"/>
      <c r="AI571" s="20">
        <f t="shared" si="25"/>
        <v>-199198</v>
      </c>
      <c r="AJ571" s="20">
        <f t="shared" si="26"/>
        <v>0</v>
      </c>
    </row>
    <row r="572" spans="1:36" x14ac:dyDescent="0.2">
      <c r="A572" s="17" t="s">
        <v>5168</v>
      </c>
      <c r="B572" s="17">
        <v>39736</v>
      </c>
      <c r="C572" s="20">
        <v>0</v>
      </c>
      <c r="D572" s="20">
        <v>104285</v>
      </c>
      <c r="M572" s="20">
        <v>370</v>
      </c>
      <c r="N572" s="20">
        <v>10233</v>
      </c>
      <c r="O572" s="20">
        <v>161859</v>
      </c>
      <c r="P572" s="20">
        <v>0</v>
      </c>
      <c r="W572" s="20">
        <f t="shared" si="24"/>
        <v>276747</v>
      </c>
      <c r="X572" s="36">
        <v>-43304</v>
      </c>
      <c r="Y572" s="36">
        <v>-52568</v>
      </c>
      <c r="Z572" s="36">
        <v>-23550</v>
      </c>
      <c r="AA572" s="36">
        <v>-4702</v>
      </c>
      <c r="AB572" s="36">
        <v>-2280</v>
      </c>
      <c r="AC572" s="36">
        <v>-149482</v>
      </c>
      <c r="AD572" s="36">
        <v>-860</v>
      </c>
      <c r="AE572" s="36"/>
      <c r="AF572" s="36"/>
      <c r="AG572" s="36"/>
      <c r="AH572" s="36"/>
      <c r="AI572" s="20">
        <f t="shared" si="25"/>
        <v>-276746</v>
      </c>
      <c r="AJ572" s="20">
        <f t="shared" si="26"/>
        <v>1</v>
      </c>
    </row>
    <row r="573" spans="1:36" x14ac:dyDescent="0.2">
      <c r="A573" s="17" t="s">
        <v>5169</v>
      </c>
      <c r="B573" s="17">
        <v>39743</v>
      </c>
      <c r="C573" s="20">
        <v>0</v>
      </c>
      <c r="D573" s="20">
        <v>111959</v>
      </c>
      <c r="M573" s="20">
        <v>370</v>
      </c>
      <c r="N573" s="20">
        <v>10412</v>
      </c>
      <c r="O573" s="20">
        <v>169726</v>
      </c>
      <c r="W573" s="20">
        <f t="shared" si="24"/>
        <v>292467</v>
      </c>
      <c r="X573" s="36">
        <v>-43551</v>
      </c>
      <c r="Y573" s="36">
        <v>-41861</v>
      </c>
      <c r="Z573" s="36">
        <v>-41760</v>
      </c>
      <c r="AA573" s="36">
        <v>-4917</v>
      </c>
      <c r="AB573" s="36">
        <v>-2280</v>
      </c>
      <c r="AC573" s="36">
        <v>-158099</v>
      </c>
      <c r="AD573" s="36" t="s">
        <v>5814</v>
      </c>
      <c r="AE573" s="36"/>
      <c r="AF573" s="36"/>
      <c r="AG573" s="36"/>
      <c r="AH573" s="36"/>
      <c r="AI573" s="20">
        <f t="shared" si="25"/>
        <v>-292468</v>
      </c>
      <c r="AJ573" s="20">
        <f t="shared" si="26"/>
        <v>-1</v>
      </c>
    </row>
    <row r="574" spans="1:36" x14ac:dyDescent="0.2">
      <c r="A574" s="17" t="s">
        <v>5170</v>
      </c>
      <c r="B574" s="17">
        <v>39750</v>
      </c>
      <c r="C574" s="20">
        <v>0</v>
      </c>
      <c r="D574" s="20">
        <v>120884</v>
      </c>
      <c r="M574" s="20">
        <v>370</v>
      </c>
      <c r="N574" s="20">
        <v>10805</v>
      </c>
      <c r="O574" s="20">
        <v>134337</v>
      </c>
      <c r="W574" s="20">
        <f t="shared" si="24"/>
        <v>266396</v>
      </c>
      <c r="X574" s="36">
        <v>-43876</v>
      </c>
      <c r="Y574" s="36">
        <v>-42418</v>
      </c>
      <c r="Z574" s="36">
        <v>-50959</v>
      </c>
      <c r="AA574" s="36">
        <v>-4901</v>
      </c>
      <c r="AB574" s="36">
        <v>-2280</v>
      </c>
      <c r="AC574" s="36">
        <v>-121961</v>
      </c>
      <c r="AD574" s="36">
        <v>0</v>
      </c>
      <c r="AE574" s="36"/>
      <c r="AF574" s="36"/>
      <c r="AG574" s="36"/>
      <c r="AH574" s="36"/>
      <c r="AI574" s="20">
        <f t="shared" si="25"/>
        <v>-266395</v>
      </c>
      <c r="AJ574" s="20">
        <f t="shared" si="26"/>
        <v>1</v>
      </c>
    </row>
    <row r="575" spans="1:36" x14ac:dyDescent="0.2">
      <c r="A575" s="17" t="s">
        <v>5171</v>
      </c>
      <c r="B575" s="17">
        <v>39757</v>
      </c>
      <c r="C575" s="20">
        <v>0</v>
      </c>
      <c r="D575" s="20">
        <v>128684</v>
      </c>
      <c r="M575" s="20">
        <v>370</v>
      </c>
      <c r="N575" s="20">
        <v>10901</v>
      </c>
      <c r="O575" s="20">
        <v>111116</v>
      </c>
      <c r="W575" s="20">
        <f t="shared" ref="W575:W638" si="27">SUM(C575:D575,M575:P575)</f>
        <v>251071</v>
      </c>
      <c r="X575" s="36">
        <v>-43998</v>
      </c>
      <c r="Y575" s="36">
        <v>-49193</v>
      </c>
      <c r="Z575" s="36">
        <v>-31470</v>
      </c>
      <c r="AA575" s="36">
        <v>-4992</v>
      </c>
      <c r="AB575" s="36">
        <v>-2280</v>
      </c>
      <c r="AC575" s="36">
        <v>-119137</v>
      </c>
      <c r="AD575" s="36">
        <v>0</v>
      </c>
      <c r="AE575" s="36"/>
      <c r="AF575" s="36"/>
      <c r="AG575" s="36"/>
      <c r="AH575" s="36"/>
      <c r="AI575" s="20">
        <f t="shared" ref="AI575:AI638" si="28">SUM(X575:AD575)</f>
        <v>-251070</v>
      </c>
      <c r="AJ575" s="20">
        <f t="shared" ref="AJ575:AJ638" si="29">W575+AI575</f>
        <v>1</v>
      </c>
    </row>
    <row r="576" spans="1:36" x14ac:dyDescent="0.2">
      <c r="A576" s="17" t="s">
        <v>5172</v>
      </c>
      <c r="B576" s="17">
        <v>39764</v>
      </c>
      <c r="C576" s="20">
        <v>0</v>
      </c>
      <c r="D576" s="20">
        <v>139689</v>
      </c>
      <c r="M576" s="20">
        <v>370</v>
      </c>
      <c r="N576" s="20">
        <v>11119</v>
      </c>
      <c r="O576" s="20">
        <v>85552</v>
      </c>
      <c r="W576" s="20">
        <f t="shared" si="27"/>
        <v>236730</v>
      </c>
      <c r="X576" s="36">
        <v>-44089</v>
      </c>
      <c r="Y576" s="36">
        <v>-52904</v>
      </c>
      <c r="Z576" s="36">
        <v>-35320</v>
      </c>
      <c r="AA576" s="36">
        <v>-5270</v>
      </c>
      <c r="AB576" s="36">
        <v>-2280</v>
      </c>
      <c r="AC576" s="36">
        <v>-96866</v>
      </c>
      <c r="AD576" s="36">
        <v>0</v>
      </c>
      <c r="AE576" s="36"/>
      <c r="AF576" s="36"/>
      <c r="AG576" s="36"/>
      <c r="AH576" s="36"/>
      <c r="AI576" s="20">
        <f t="shared" si="28"/>
        <v>-236729</v>
      </c>
      <c r="AJ576" s="20">
        <f t="shared" si="29"/>
        <v>1</v>
      </c>
    </row>
    <row r="577" spans="1:36" x14ac:dyDescent="0.2">
      <c r="A577" s="17" t="s">
        <v>5173</v>
      </c>
      <c r="B577" s="17">
        <v>39771</v>
      </c>
      <c r="C577" s="20">
        <v>0</v>
      </c>
      <c r="D577" s="20">
        <v>145214</v>
      </c>
      <c r="M577" s="20">
        <v>370</v>
      </c>
      <c r="N577" s="20">
        <v>11043</v>
      </c>
      <c r="O577" s="20">
        <v>105936</v>
      </c>
      <c r="W577" s="20">
        <f t="shared" si="27"/>
        <v>262563</v>
      </c>
      <c r="X577" s="36">
        <v>-44103</v>
      </c>
      <c r="Y577" s="36">
        <v>-36590</v>
      </c>
      <c r="Z577" s="36">
        <v>-52830</v>
      </c>
      <c r="AA577" s="36">
        <v>-5274</v>
      </c>
      <c r="AB577" s="36">
        <v>-2280</v>
      </c>
      <c r="AC577" s="36">
        <v>-121486</v>
      </c>
      <c r="AD577" s="36">
        <v>0</v>
      </c>
      <c r="AE577" s="36"/>
      <c r="AF577" s="36"/>
      <c r="AG577" s="36"/>
      <c r="AH577" s="36"/>
      <c r="AI577" s="20">
        <f t="shared" si="28"/>
        <v>-262563</v>
      </c>
      <c r="AJ577" s="20">
        <f t="shared" si="29"/>
        <v>0</v>
      </c>
    </row>
    <row r="578" spans="1:36" x14ac:dyDescent="0.2">
      <c r="A578" s="17" t="s">
        <v>5174</v>
      </c>
      <c r="B578" s="17">
        <v>39778</v>
      </c>
      <c r="C578" s="20">
        <v>0</v>
      </c>
      <c r="D578" s="20">
        <v>145214</v>
      </c>
      <c r="M578" s="20">
        <v>370</v>
      </c>
      <c r="N578" s="20">
        <v>11357</v>
      </c>
      <c r="O578" s="20">
        <v>82108</v>
      </c>
      <c r="W578" s="20">
        <f t="shared" si="27"/>
        <v>239049</v>
      </c>
      <c r="X578" s="36">
        <v>-44524</v>
      </c>
      <c r="Y578" s="36">
        <v>-43797</v>
      </c>
      <c r="Z578" s="36">
        <v>-60450</v>
      </c>
      <c r="AA578" s="36">
        <v>-5226</v>
      </c>
      <c r="AB578" s="36">
        <v>-2280</v>
      </c>
      <c r="AC578" s="36">
        <v>-82771</v>
      </c>
      <c r="AD578" s="36">
        <v>0</v>
      </c>
      <c r="AE578" s="36"/>
      <c r="AF578" s="36"/>
      <c r="AG578" s="36"/>
      <c r="AH578" s="36"/>
      <c r="AI578" s="20">
        <f t="shared" si="28"/>
        <v>-239048</v>
      </c>
      <c r="AJ578" s="20">
        <f t="shared" si="29"/>
        <v>1</v>
      </c>
    </row>
    <row r="579" spans="1:36" x14ac:dyDescent="0.2">
      <c r="A579" s="17" t="s">
        <v>5175</v>
      </c>
      <c r="B579" s="17">
        <v>39785</v>
      </c>
      <c r="C579" s="20">
        <v>0</v>
      </c>
      <c r="D579" s="20">
        <v>158719</v>
      </c>
      <c r="M579" s="20">
        <v>370</v>
      </c>
      <c r="N579" s="20">
        <v>11710</v>
      </c>
      <c r="O579" s="20">
        <v>88355</v>
      </c>
      <c r="W579" s="20">
        <f t="shared" si="27"/>
        <v>259154</v>
      </c>
      <c r="X579" s="36">
        <v>-44836</v>
      </c>
      <c r="Y579" s="36">
        <v>-38637</v>
      </c>
      <c r="Z579" s="36">
        <v>-69737</v>
      </c>
      <c r="AA579" s="36">
        <v>-5397</v>
      </c>
      <c r="AB579" s="36">
        <v>-2433</v>
      </c>
      <c r="AC579" s="36">
        <v>-98114</v>
      </c>
      <c r="AD579" s="36">
        <v>0</v>
      </c>
      <c r="AE579" s="36"/>
      <c r="AF579" s="36"/>
      <c r="AG579" s="36"/>
      <c r="AH579" s="36"/>
      <c r="AI579" s="20">
        <f t="shared" si="28"/>
        <v>-259154</v>
      </c>
      <c r="AJ579" s="20">
        <f t="shared" si="29"/>
        <v>0</v>
      </c>
    </row>
    <row r="580" spans="1:36" x14ac:dyDescent="0.2">
      <c r="A580" s="17" t="s">
        <v>5176</v>
      </c>
      <c r="B580" s="17">
        <v>39792</v>
      </c>
      <c r="C580" s="20">
        <v>0</v>
      </c>
      <c r="D580" s="20">
        <v>158719</v>
      </c>
      <c r="M580" s="20">
        <v>370</v>
      </c>
      <c r="N580" s="20">
        <v>11644</v>
      </c>
      <c r="O580" s="20">
        <v>65067</v>
      </c>
      <c r="W580" s="20">
        <f t="shared" si="27"/>
        <v>235800</v>
      </c>
      <c r="X580" s="36">
        <v>-45261</v>
      </c>
      <c r="Y580" s="36">
        <v>-49468</v>
      </c>
      <c r="Z580" s="36">
        <v>-56310</v>
      </c>
      <c r="AA580" s="36">
        <v>-5459</v>
      </c>
      <c r="AB580" s="36">
        <v>-2433</v>
      </c>
      <c r="AC580" s="36">
        <v>-76869</v>
      </c>
      <c r="AD580" s="36">
        <v>0</v>
      </c>
      <c r="AE580" s="36"/>
      <c r="AF580" s="36"/>
      <c r="AG580" s="36"/>
      <c r="AH580" s="36"/>
      <c r="AI580" s="20">
        <f t="shared" si="28"/>
        <v>-235800</v>
      </c>
      <c r="AJ580" s="20">
        <f t="shared" si="29"/>
        <v>0</v>
      </c>
    </row>
    <row r="581" spans="1:36" x14ac:dyDescent="0.2">
      <c r="A581" s="17" t="s">
        <v>5177</v>
      </c>
      <c r="B581" s="17">
        <v>39799</v>
      </c>
      <c r="C581" s="20">
        <v>0</v>
      </c>
      <c r="D581" s="20">
        <v>153069</v>
      </c>
      <c r="M581" s="20">
        <v>370</v>
      </c>
      <c r="N581" s="20">
        <v>11803</v>
      </c>
      <c r="O581" s="20">
        <v>60120</v>
      </c>
      <c r="W581" s="20">
        <f t="shared" si="27"/>
        <v>225362</v>
      </c>
      <c r="X581" s="36">
        <v>-45923</v>
      </c>
      <c r="Y581" s="36">
        <v>-37343</v>
      </c>
      <c r="Z581" s="36">
        <v>-77929</v>
      </c>
      <c r="AA581" s="36">
        <v>-5534</v>
      </c>
      <c r="AB581" s="36">
        <v>-2433</v>
      </c>
      <c r="AC581" s="36">
        <v>-56200</v>
      </c>
      <c r="AD581" s="36">
        <v>0</v>
      </c>
      <c r="AE581" s="36"/>
      <c r="AF581" s="36"/>
      <c r="AG581" s="36"/>
      <c r="AH581" s="36"/>
      <c r="AI581" s="20">
        <f t="shared" si="28"/>
        <v>-225362</v>
      </c>
      <c r="AJ581" s="20">
        <f t="shared" si="29"/>
        <v>0</v>
      </c>
    </row>
    <row r="582" spans="1:36" x14ac:dyDescent="0.2">
      <c r="A582" s="17" t="s">
        <v>5177</v>
      </c>
      <c r="B582" s="17">
        <v>39806</v>
      </c>
      <c r="C582" s="20">
        <v>0</v>
      </c>
      <c r="D582" s="20">
        <v>170104</v>
      </c>
      <c r="M582" s="20">
        <v>370</v>
      </c>
      <c r="N582" s="20">
        <v>11948</v>
      </c>
      <c r="O582" s="20">
        <v>54727</v>
      </c>
      <c r="W582" s="20">
        <f t="shared" si="27"/>
        <v>237149</v>
      </c>
      <c r="X582" s="36">
        <v>-49908</v>
      </c>
      <c r="Y582" s="36">
        <v>-41415</v>
      </c>
      <c r="Z582" s="36">
        <v>-83335</v>
      </c>
      <c r="AA582" s="36">
        <v>-5711</v>
      </c>
      <c r="AB582" s="36">
        <v>-2433</v>
      </c>
      <c r="AC582" s="36">
        <v>-54348</v>
      </c>
      <c r="AD582" s="36">
        <v>0</v>
      </c>
      <c r="AE582" s="36"/>
      <c r="AF582" s="36"/>
      <c r="AG582" s="36"/>
      <c r="AH582" s="36"/>
      <c r="AI582" s="20">
        <f t="shared" si="28"/>
        <v>-237150</v>
      </c>
      <c r="AJ582" s="20">
        <f t="shared" si="29"/>
        <v>-1</v>
      </c>
    </row>
    <row r="583" spans="1:36" x14ac:dyDescent="0.2">
      <c r="A583" s="17" t="s">
        <v>5178</v>
      </c>
      <c r="B583" s="17">
        <v>39813</v>
      </c>
      <c r="C583" s="20">
        <v>0</v>
      </c>
      <c r="D583" s="20">
        <v>170104</v>
      </c>
      <c r="M583" s="20">
        <v>19892</v>
      </c>
      <c r="N583" s="20">
        <v>12019</v>
      </c>
      <c r="O583" s="20">
        <v>36476</v>
      </c>
      <c r="W583" s="20">
        <f t="shared" si="27"/>
        <v>238491</v>
      </c>
      <c r="X583" s="36">
        <v>-46886</v>
      </c>
      <c r="Y583" s="36">
        <v>-48628</v>
      </c>
      <c r="Z583" s="36">
        <v>-80855</v>
      </c>
      <c r="AA583" s="36">
        <v>-5814</v>
      </c>
      <c r="AB583" s="36">
        <v>-2433</v>
      </c>
      <c r="AC583" s="36">
        <v>-53875</v>
      </c>
      <c r="AD583" s="36">
        <v>0</v>
      </c>
      <c r="AE583" s="36"/>
      <c r="AF583" s="36"/>
      <c r="AG583" s="36"/>
      <c r="AH583" s="36"/>
      <c r="AI583" s="20">
        <f t="shared" si="28"/>
        <v>-238491</v>
      </c>
      <c r="AJ583" s="20">
        <f t="shared" si="29"/>
        <v>0</v>
      </c>
    </row>
    <row r="584" spans="1:36" x14ac:dyDescent="0.2">
      <c r="A584" s="17" t="s">
        <v>5179</v>
      </c>
      <c r="B584" s="17">
        <v>39820</v>
      </c>
      <c r="C584" s="20">
        <v>0</v>
      </c>
      <c r="D584" s="20">
        <v>170104</v>
      </c>
      <c r="M584" s="20">
        <v>19892</v>
      </c>
      <c r="N584" s="20">
        <v>11764</v>
      </c>
      <c r="O584" s="20">
        <v>35755</v>
      </c>
      <c r="W584" s="20">
        <f t="shared" si="27"/>
        <v>237515</v>
      </c>
      <c r="X584" s="36">
        <v>-45230</v>
      </c>
      <c r="Y584" s="36">
        <v>-46409</v>
      </c>
      <c r="Z584" s="36">
        <v>-87350</v>
      </c>
      <c r="AA584" s="36">
        <v>-5499</v>
      </c>
      <c r="AB584" s="36">
        <v>-2433</v>
      </c>
      <c r="AC584" s="36">
        <v>-50596</v>
      </c>
      <c r="AD584" s="36">
        <v>0</v>
      </c>
      <c r="AE584" s="36"/>
      <c r="AF584" s="36"/>
      <c r="AG584" s="36"/>
      <c r="AH584" s="36"/>
      <c r="AI584" s="20">
        <f t="shared" si="28"/>
        <v>-237517</v>
      </c>
      <c r="AJ584" s="20">
        <f t="shared" si="29"/>
        <v>-2</v>
      </c>
    </row>
    <row r="585" spans="1:36" x14ac:dyDescent="0.2">
      <c r="A585" s="17" t="s">
        <v>5180</v>
      </c>
      <c r="B585" s="17">
        <v>39827</v>
      </c>
      <c r="C585" s="20">
        <v>0</v>
      </c>
      <c r="D585" s="20">
        <v>189900</v>
      </c>
      <c r="M585" s="20">
        <v>19892</v>
      </c>
      <c r="N585" s="20">
        <v>11834</v>
      </c>
      <c r="O585" s="20">
        <v>36159</v>
      </c>
      <c r="W585" s="20">
        <f t="shared" si="27"/>
        <v>257785</v>
      </c>
      <c r="X585" s="36">
        <v>-44972</v>
      </c>
      <c r="Y585" s="36">
        <v>-53388</v>
      </c>
      <c r="Z585" s="36">
        <v>-101250</v>
      </c>
      <c r="AA585" s="36">
        <v>-5621</v>
      </c>
      <c r="AB585" s="36">
        <v>-2427</v>
      </c>
      <c r="AC585" s="36">
        <v>-50126</v>
      </c>
      <c r="AD585" s="36">
        <v>0</v>
      </c>
      <c r="AE585" s="36"/>
      <c r="AF585" s="36"/>
      <c r="AG585" s="36"/>
      <c r="AH585" s="36"/>
      <c r="AI585" s="20">
        <f t="shared" si="28"/>
        <v>-257784</v>
      </c>
      <c r="AJ585" s="20">
        <f t="shared" si="29"/>
        <v>1</v>
      </c>
    </row>
    <row r="586" spans="1:36" x14ac:dyDescent="0.2">
      <c r="A586" s="17" t="s">
        <v>5181</v>
      </c>
      <c r="B586" s="17">
        <v>39834</v>
      </c>
      <c r="C586" s="20">
        <v>0</v>
      </c>
      <c r="D586" s="20">
        <v>150100</v>
      </c>
      <c r="M586" s="20">
        <v>19892</v>
      </c>
      <c r="N586" s="20">
        <v>11972</v>
      </c>
      <c r="O586" s="20">
        <v>36997</v>
      </c>
      <c r="W586" s="20">
        <f t="shared" si="27"/>
        <v>218961</v>
      </c>
      <c r="X586" s="36">
        <v>-44752</v>
      </c>
      <c r="Y586" s="36">
        <v>-37881</v>
      </c>
      <c r="Z586" s="36">
        <v>-76970</v>
      </c>
      <c r="AA586" s="36">
        <v>-5903</v>
      </c>
      <c r="AB586" s="36">
        <v>-2427</v>
      </c>
      <c r="AC586" s="36">
        <v>-51029</v>
      </c>
      <c r="AD586" s="36">
        <v>0</v>
      </c>
      <c r="AE586" s="36"/>
      <c r="AF586" s="36"/>
      <c r="AG586" s="36"/>
      <c r="AH586" s="36"/>
      <c r="AI586" s="20">
        <f t="shared" si="28"/>
        <v>-218962</v>
      </c>
      <c r="AJ586" s="20">
        <f t="shared" si="29"/>
        <v>-1</v>
      </c>
    </row>
    <row r="587" spans="1:36" x14ac:dyDescent="0.2">
      <c r="A587" s="17" t="s">
        <v>5182</v>
      </c>
      <c r="B587" s="17">
        <v>39841</v>
      </c>
      <c r="C587" s="20">
        <v>0</v>
      </c>
      <c r="D587" s="20">
        <v>122858</v>
      </c>
      <c r="M587" s="20">
        <v>19892</v>
      </c>
      <c r="N587" s="20">
        <v>11988</v>
      </c>
      <c r="O587" s="20">
        <v>34784</v>
      </c>
      <c r="W587" s="20">
        <f t="shared" si="27"/>
        <v>189522</v>
      </c>
      <c r="X587" s="36">
        <v>-44670</v>
      </c>
      <c r="Y587" s="36">
        <v>-24022</v>
      </c>
      <c r="Z587" s="36">
        <v>-64429</v>
      </c>
      <c r="AA587" s="36">
        <v>-2882</v>
      </c>
      <c r="AB587" s="36">
        <v>-2427</v>
      </c>
      <c r="AC587" s="36">
        <v>-51092</v>
      </c>
      <c r="AD587" s="36">
        <v>0</v>
      </c>
      <c r="AE587" s="36"/>
      <c r="AF587" s="36"/>
      <c r="AG587" s="36"/>
      <c r="AH587" s="36"/>
      <c r="AI587" s="20">
        <f t="shared" si="28"/>
        <v>-189522</v>
      </c>
      <c r="AJ587" s="20">
        <f t="shared" si="29"/>
        <v>0</v>
      </c>
    </row>
    <row r="588" spans="1:36" x14ac:dyDescent="0.2">
      <c r="A588" s="17" t="s">
        <v>5183</v>
      </c>
      <c r="B588" s="17">
        <v>39848</v>
      </c>
      <c r="C588" s="20">
        <v>2000</v>
      </c>
      <c r="D588" s="20">
        <v>115184</v>
      </c>
      <c r="M588" s="20">
        <v>19892</v>
      </c>
      <c r="N588" s="20">
        <v>11779</v>
      </c>
      <c r="O588" s="20">
        <v>25411</v>
      </c>
      <c r="W588" s="20">
        <f t="shared" si="27"/>
        <v>174266</v>
      </c>
      <c r="X588" s="36">
        <v>-44807</v>
      </c>
      <c r="Y588" s="36">
        <v>-35219</v>
      </c>
      <c r="Z588" s="36">
        <v>-44839</v>
      </c>
      <c r="AA588" s="36">
        <v>-2824</v>
      </c>
      <c r="AB588" s="36">
        <v>-2427</v>
      </c>
      <c r="AC588" s="36">
        <v>-44151</v>
      </c>
      <c r="AD588" s="36">
        <v>0</v>
      </c>
      <c r="AE588" s="36"/>
      <c r="AF588" s="36"/>
      <c r="AG588" s="36"/>
      <c r="AH588" s="36"/>
      <c r="AI588" s="20">
        <f t="shared" si="28"/>
        <v>-174267</v>
      </c>
      <c r="AJ588" s="20">
        <f t="shared" si="29"/>
        <v>-1</v>
      </c>
    </row>
    <row r="589" spans="1:36" x14ac:dyDescent="0.2">
      <c r="A589" s="17" t="s">
        <v>5184</v>
      </c>
      <c r="B589" s="17">
        <v>39855</v>
      </c>
      <c r="C589" s="20">
        <v>0</v>
      </c>
      <c r="D589" s="20">
        <v>126259</v>
      </c>
      <c r="M589" s="20">
        <v>14642</v>
      </c>
      <c r="N589" s="20">
        <v>11881</v>
      </c>
      <c r="O589" s="20">
        <v>28799</v>
      </c>
      <c r="W589" s="20">
        <f t="shared" si="27"/>
        <v>181581</v>
      </c>
      <c r="X589" s="36">
        <v>-44699</v>
      </c>
      <c r="Y589" s="36">
        <v>-42701</v>
      </c>
      <c r="Z589" s="36">
        <v>-41323</v>
      </c>
      <c r="AA589" s="36">
        <v>-2864</v>
      </c>
      <c r="AB589" s="36">
        <v>-2427</v>
      </c>
      <c r="AC589" s="36">
        <v>-47567</v>
      </c>
      <c r="AD589" s="36">
        <v>0</v>
      </c>
      <c r="AE589" s="36"/>
      <c r="AF589" s="36"/>
      <c r="AG589" s="36"/>
      <c r="AH589" s="36"/>
      <c r="AI589" s="20">
        <f t="shared" si="28"/>
        <v>-181581</v>
      </c>
      <c r="AJ589" s="20">
        <f t="shared" si="29"/>
        <v>0</v>
      </c>
    </row>
    <row r="590" spans="1:36" x14ac:dyDescent="0.2">
      <c r="A590" s="17" t="s">
        <v>5185</v>
      </c>
      <c r="B590" s="17">
        <v>39862</v>
      </c>
      <c r="C590" s="20">
        <v>0</v>
      </c>
      <c r="D590" s="20">
        <v>126261</v>
      </c>
      <c r="M590" s="20">
        <v>9392</v>
      </c>
      <c r="N590" s="20">
        <v>11873</v>
      </c>
      <c r="O590" s="20">
        <v>20878</v>
      </c>
      <c r="W590" s="20">
        <f t="shared" si="27"/>
        <v>168404</v>
      </c>
      <c r="X590" s="36">
        <v>-44494</v>
      </c>
      <c r="Y590" s="36">
        <v>-33700</v>
      </c>
      <c r="Z590" s="36">
        <v>-43940</v>
      </c>
      <c r="AA590" s="36">
        <v>-2893</v>
      </c>
      <c r="AB590" s="36">
        <v>-2427</v>
      </c>
      <c r="AC590" s="36">
        <v>-40951</v>
      </c>
      <c r="AD590" s="36">
        <v>0</v>
      </c>
      <c r="AE590" s="36"/>
      <c r="AF590" s="36"/>
      <c r="AG590" s="36"/>
      <c r="AH590" s="36"/>
      <c r="AI590" s="20">
        <f t="shared" si="28"/>
        <v>-168405</v>
      </c>
      <c r="AJ590" s="20">
        <f t="shared" si="29"/>
        <v>-1</v>
      </c>
    </row>
    <row r="591" spans="1:36" x14ac:dyDescent="0.2">
      <c r="A591" s="17" t="s">
        <v>5186</v>
      </c>
      <c r="B591" s="17">
        <v>39869</v>
      </c>
      <c r="C591" s="20">
        <v>0</v>
      </c>
      <c r="D591" s="20">
        <v>138461</v>
      </c>
      <c r="M591" s="20">
        <v>4142</v>
      </c>
      <c r="N591" s="20">
        <v>12293</v>
      </c>
      <c r="O591" s="20">
        <v>22155</v>
      </c>
      <c r="W591" s="20">
        <f t="shared" si="27"/>
        <v>177051</v>
      </c>
      <c r="X591" s="36">
        <v>-44764</v>
      </c>
      <c r="Y591" s="36">
        <v>-46246</v>
      </c>
      <c r="Z591" s="36">
        <v>-37185</v>
      </c>
      <c r="AA591" s="36">
        <v>-2878</v>
      </c>
      <c r="AB591" s="36">
        <v>-2427</v>
      </c>
      <c r="AC591" s="36">
        <v>-43552</v>
      </c>
      <c r="AD591" s="36">
        <v>0</v>
      </c>
      <c r="AE591" s="36"/>
      <c r="AF591" s="36"/>
      <c r="AG591" s="36"/>
      <c r="AH591" s="36"/>
      <c r="AI591" s="20">
        <f t="shared" si="28"/>
        <v>-177052</v>
      </c>
      <c r="AJ591" s="20">
        <f t="shared" si="29"/>
        <v>-1</v>
      </c>
    </row>
    <row r="592" spans="1:36" x14ac:dyDescent="0.2">
      <c r="A592" s="17" t="s">
        <v>5187</v>
      </c>
      <c r="B592" s="17">
        <v>39876</v>
      </c>
      <c r="C592" s="20">
        <v>0</v>
      </c>
      <c r="D592" s="20">
        <v>127456</v>
      </c>
      <c r="M592" s="20">
        <v>4142</v>
      </c>
      <c r="N592" s="20">
        <v>12407</v>
      </c>
      <c r="O592" s="20">
        <v>23013</v>
      </c>
      <c r="W592" s="20">
        <f t="shared" si="27"/>
        <v>167018</v>
      </c>
      <c r="X592" s="36">
        <v>-44980</v>
      </c>
      <c r="Y592" s="36">
        <v>-31436</v>
      </c>
      <c r="Z592" s="36">
        <v>-42220</v>
      </c>
      <c r="AA592" s="36">
        <v>-2903</v>
      </c>
      <c r="AB592" s="36">
        <v>-2427</v>
      </c>
      <c r="AC592" s="36">
        <v>-43053</v>
      </c>
      <c r="AD592" s="36">
        <v>0</v>
      </c>
      <c r="AE592" s="36"/>
      <c r="AF592" s="36"/>
      <c r="AG592" s="36"/>
      <c r="AH592" s="36"/>
      <c r="AI592" s="20">
        <f t="shared" si="28"/>
        <v>-167019</v>
      </c>
      <c r="AJ592" s="20">
        <f t="shared" si="29"/>
        <v>-1</v>
      </c>
    </row>
    <row r="593" spans="1:36" x14ac:dyDescent="0.2">
      <c r="A593" s="17" t="s">
        <v>5188</v>
      </c>
      <c r="B593" s="17">
        <v>39883</v>
      </c>
      <c r="C593" s="20">
        <v>0</v>
      </c>
      <c r="D593" s="20">
        <v>140331</v>
      </c>
      <c r="M593" s="20">
        <v>4142</v>
      </c>
      <c r="N593" s="20">
        <v>13996</v>
      </c>
      <c r="O593" s="20">
        <v>26110</v>
      </c>
      <c r="W593" s="20">
        <f t="shared" si="27"/>
        <v>184579</v>
      </c>
      <c r="X593" s="36">
        <v>-44902</v>
      </c>
      <c r="Y593" s="36">
        <v>-36162</v>
      </c>
      <c r="Z593" s="36">
        <v>-48310</v>
      </c>
      <c r="AA593" s="36">
        <v>-4402</v>
      </c>
      <c r="AB593" s="36">
        <v>-2427</v>
      </c>
      <c r="AC593" s="36">
        <v>-48376</v>
      </c>
      <c r="AD593" s="36">
        <v>0</v>
      </c>
      <c r="AE593" s="36"/>
      <c r="AF593" s="36"/>
      <c r="AG593" s="36"/>
      <c r="AH593" s="36"/>
      <c r="AI593" s="20">
        <f t="shared" si="28"/>
        <v>-184579</v>
      </c>
      <c r="AJ593" s="20">
        <f t="shared" si="29"/>
        <v>0</v>
      </c>
    </row>
    <row r="594" spans="1:36" x14ac:dyDescent="0.2">
      <c r="A594" s="17" t="s">
        <v>5189</v>
      </c>
      <c r="B594" s="17">
        <v>39890</v>
      </c>
      <c r="C594" s="20">
        <v>0</v>
      </c>
      <c r="D594" s="20">
        <v>126827</v>
      </c>
      <c r="M594" s="20">
        <v>4142</v>
      </c>
      <c r="N594" s="20">
        <v>14014</v>
      </c>
      <c r="O594" s="20">
        <v>28376</v>
      </c>
      <c r="W594" s="20">
        <f t="shared" si="27"/>
        <v>173359</v>
      </c>
      <c r="X594" s="36">
        <v>-45465</v>
      </c>
      <c r="Y594" s="36">
        <v>-50892</v>
      </c>
      <c r="Z594" s="36">
        <v>-23800</v>
      </c>
      <c r="AA594" s="36">
        <v>-4365</v>
      </c>
      <c r="AB594" s="36">
        <v>-2427</v>
      </c>
      <c r="AC594" s="36">
        <v>-46411</v>
      </c>
      <c r="AD594" s="36">
        <v>0</v>
      </c>
      <c r="AE594" s="36"/>
      <c r="AF594" s="36"/>
      <c r="AG594" s="36"/>
      <c r="AH594" s="36"/>
      <c r="AI594" s="20">
        <f t="shared" si="28"/>
        <v>-173360</v>
      </c>
      <c r="AJ594" s="20">
        <f t="shared" si="29"/>
        <v>-1</v>
      </c>
    </row>
    <row r="595" spans="1:36" x14ac:dyDescent="0.2">
      <c r="A595" s="17" t="s">
        <v>5190</v>
      </c>
      <c r="B595" s="17">
        <v>39897</v>
      </c>
      <c r="C595" s="20">
        <v>0</v>
      </c>
      <c r="D595" s="20">
        <v>129792</v>
      </c>
      <c r="M595" s="20">
        <v>4142</v>
      </c>
      <c r="N595" s="20">
        <v>13918</v>
      </c>
      <c r="O595" s="20">
        <v>33663</v>
      </c>
      <c r="W595" s="20">
        <f t="shared" si="27"/>
        <v>181515</v>
      </c>
      <c r="X595" s="36">
        <v>-45571</v>
      </c>
      <c r="Y595" s="36">
        <v>-44544</v>
      </c>
      <c r="Z595" s="36">
        <v>-39880</v>
      </c>
      <c r="AA595" s="36">
        <v>-4190</v>
      </c>
      <c r="AB595" s="36">
        <v>-2427</v>
      </c>
      <c r="AC595" s="36">
        <v>-44905</v>
      </c>
      <c r="AD595" s="36">
        <v>0</v>
      </c>
      <c r="AE595" s="36"/>
      <c r="AF595" s="36"/>
      <c r="AG595" s="36"/>
      <c r="AH595" s="36"/>
      <c r="AI595" s="20">
        <f t="shared" si="28"/>
        <v>-181517</v>
      </c>
      <c r="AJ595" s="20">
        <f t="shared" si="29"/>
        <v>-2</v>
      </c>
    </row>
    <row r="596" spans="1:36" x14ac:dyDescent="0.2">
      <c r="A596" s="17" t="s">
        <v>5191</v>
      </c>
      <c r="B596" s="17">
        <v>39904</v>
      </c>
      <c r="C596" s="20">
        <v>0</v>
      </c>
      <c r="D596" s="20">
        <v>129792</v>
      </c>
      <c r="M596" s="20">
        <v>4142</v>
      </c>
      <c r="N596" s="20">
        <v>13934</v>
      </c>
      <c r="O596" s="20">
        <v>41528</v>
      </c>
      <c r="W596" s="20">
        <f t="shared" si="27"/>
        <v>189396</v>
      </c>
      <c r="X596" s="36">
        <v>-45853</v>
      </c>
      <c r="Y596" s="36">
        <v>-58138</v>
      </c>
      <c r="Z596" s="36">
        <v>-34950</v>
      </c>
      <c r="AA596" s="36">
        <v>-4261</v>
      </c>
      <c r="AB596" s="36">
        <v>-2427</v>
      </c>
      <c r="AC596" s="36">
        <v>-43767</v>
      </c>
      <c r="AD596" s="36">
        <v>0</v>
      </c>
      <c r="AE596" s="36"/>
      <c r="AF596" s="36"/>
      <c r="AG596" s="36"/>
      <c r="AH596" s="36"/>
      <c r="AI596" s="20">
        <f t="shared" si="28"/>
        <v>-189396</v>
      </c>
      <c r="AJ596" s="20">
        <f t="shared" si="29"/>
        <v>0</v>
      </c>
    </row>
    <row r="597" spans="1:36" x14ac:dyDescent="0.2">
      <c r="A597" s="17" t="s">
        <v>5192</v>
      </c>
      <c r="B597" s="17">
        <v>39911</v>
      </c>
      <c r="C597" s="20">
        <v>0</v>
      </c>
      <c r="D597" s="20">
        <v>149792</v>
      </c>
      <c r="M597" s="20">
        <v>370</v>
      </c>
      <c r="N597" s="20">
        <v>13710</v>
      </c>
      <c r="O597" s="20">
        <v>50182</v>
      </c>
      <c r="W597" s="20">
        <f t="shared" si="27"/>
        <v>214054</v>
      </c>
      <c r="X597" s="36">
        <v>-46613</v>
      </c>
      <c r="Y597" s="36">
        <v>-69401</v>
      </c>
      <c r="Z597" s="36">
        <v>-47900</v>
      </c>
      <c r="AA597" s="36">
        <v>-4175</v>
      </c>
      <c r="AB597" s="36">
        <v>-2427</v>
      </c>
      <c r="AC597" s="36">
        <v>-43539</v>
      </c>
      <c r="AD597" s="36">
        <v>0</v>
      </c>
      <c r="AE597" s="36"/>
      <c r="AF597" s="36"/>
      <c r="AG597" s="36"/>
      <c r="AH597" s="36"/>
      <c r="AI597" s="20">
        <f t="shared" si="28"/>
        <v>-214055</v>
      </c>
      <c r="AJ597" s="20">
        <f t="shared" si="29"/>
        <v>-1</v>
      </c>
    </row>
    <row r="598" spans="1:36" x14ac:dyDescent="0.2">
      <c r="A598" s="17" t="s">
        <v>5193</v>
      </c>
      <c r="B598" s="17">
        <v>39918</v>
      </c>
      <c r="C598" s="20">
        <v>0</v>
      </c>
      <c r="D598" s="20">
        <v>129716</v>
      </c>
      <c r="M598" s="20">
        <v>370</v>
      </c>
      <c r="N598" s="20">
        <v>13602</v>
      </c>
      <c r="O598" s="20">
        <v>55232</v>
      </c>
      <c r="W598" s="20">
        <f t="shared" si="27"/>
        <v>198920</v>
      </c>
      <c r="X598" s="36">
        <v>-47022</v>
      </c>
      <c r="Y598" s="36">
        <v>-68723</v>
      </c>
      <c r="Z598" s="36">
        <v>-35710</v>
      </c>
      <c r="AA598" s="36">
        <v>-4089</v>
      </c>
      <c r="AB598" s="36">
        <v>-2427</v>
      </c>
      <c r="AC598" s="36">
        <v>-40949</v>
      </c>
      <c r="AD598" s="36">
        <v>0</v>
      </c>
      <c r="AE598" s="36"/>
      <c r="AF598" s="36"/>
      <c r="AG598" s="36"/>
      <c r="AH598" s="36"/>
      <c r="AI598" s="20">
        <f t="shared" si="28"/>
        <v>-198920</v>
      </c>
      <c r="AJ598" s="20">
        <f t="shared" si="29"/>
        <v>0</v>
      </c>
    </row>
    <row r="599" spans="1:36" x14ac:dyDescent="0.2">
      <c r="A599" s="17" t="s">
        <v>5194</v>
      </c>
      <c r="B599" s="17">
        <v>39925</v>
      </c>
      <c r="C599" s="20">
        <v>0</v>
      </c>
      <c r="D599" s="20">
        <v>129719</v>
      </c>
      <c r="M599" s="20">
        <v>370</v>
      </c>
      <c r="N599" s="20">
        <v>13562</v>
      </c>
      <c r="O599" s="20">
        <v>66257</v>
      </c>
      <c r="W599" s="20">
        <f t="shared" si="27"/>
        <v>209908</v>
      </c>
      <c r="X599" s="36">
        <v>-46064</v>
      </c>
      <c r="Y599" s="36">
        <v>-79475</v>
      </c>
      <c r="Z599" s="36">
        <v>-37009</v>
      </c>
      <c r="AA599" s="36">
        <v>-4209</v>
      </c>
      <c r="AB599" s="36">
        <v>-2427</v>
      </c>
      <c r="AC599" s="36">
        <v>-40723</v>
      </c>
      <c r="AD599" s="36">
        <v>0</v>
      </c>
      <c r="AE599" s="36"/>
      <c r="AF599" s="36"/>
      <c r="AG599" s="36"/>
      <c r="AH599" s="36"/>
      <c r="AI599" s="20">
        <f t="shared" si="28"/>
        <v>-209907</v>
      </c>
      <c r="AJ599" s="20">
        <f t="shared" si="29"/>
        <v>1</v>
      </c>
    </row>
    <row r="600" spans="1:36" x14ac:dyDescent="0.2">
      <c r="A600" s="17" t="s">
        <v>5195</v>
      </c>
      <c r="B600" s="17">
        <v>39932</v>
      </c>
      <c r="C600" s="20">
        <v>0</v>
      </c>
      <c r="D600" s="20">
        <v>129719</v>
      </c>
      <c r="M600" s="20">
        <v>370</v>
      </c>
      <c r="N600" s="20">
        <v>13456</v>
      </c>
      <c r="O600" s="20">
        <v>69024</v>
      </c>
      <c r="W600" s="20">
        <f t="shared" si="27"/>
        <v>212569</v>
      </c>
      <c r="X600" s="36">
        <v>-45989</v>
      </c>
      <c r="Y600" s="36">
        <v>-80830</v>
      </c>
      <c r="Z600" s="36">
        <v>-38550</v>
      </c>
      <c r="AA600" s="36">
        <v>-4143</v>
      </c>
      <c r="AB600" s="36">
        <v>-2427</v>
      </c>
      <c r="AC600" s="36">
        <v>-40630</v>
      </c>
      <c r="AD600" s="36">
        <v>0</v>
      </c>
      <c r="AE600" s="36"/>
      <c r="AF600" s="36"/>
      <c r="AG600" s="36"/>
      <c r="AH600" s="36"/>
      <c r="AI600" s="20">
        <f t="shared" si="28"/>
        <v>-212569</v>
      </c>
      <c r="AJ600" s="20">
        <f t="shared" si="29"/>
        <v>0</v>
      </c>
    </row>
    <row r="601" spans="1:36" x14ac:dyDescent="0.2">
      <c r="A601" s="17" t="s">
        <v>5196</v>
      </c>
      <c r="B601" s="17">
        <v>39939</v>
      </c>
      <c r="C601" s="20">
        <v>0</v>
      </c>
      <c r="D601" s="20">
        <v>129719</v>
      </c>
      <c r="M601" s="20">
        <v>370</v>
      </c>
      <c r="N601" s="20">
        <v>13340</v>
      </c>
      <c r="O601" s="20">
        <v>74749</v>
      </c>
      <c r="W601" s="20">
        <f t="shared" si="27"/>
        <v>218178</v>
      </c>
      <c r="X601" s="36">
        <v>-46594</v>
      </c>
      <c r="Y601" s="36">
        <v>-87422</v>
      </c>
      <c r="Z601" s="36">
        <v>-38740</v>
      </c>
      <c r="AA601" s="36">
        <v>-4071</v>
      </c>
      <c r="AB601" s="36">
        <v>-2427</v>
      </c>
      <c r="AC601" s="36">
        <v>-38924</v>
      </c>
      <c r="AD601" s="36">
        <v>0</v>
      </c>
      <c r="AE601" s="36"/>
      <c r="AF601" s="36"/>
      <c r="AG601" s="36"/>
      <c r="AH601" s="36"/>
      <c r="AI601" s="20">
        <f t="shared" si="28"/>
        <v>-218178</v>
      </c>
      <c r="AJ601" s="20">
        <f t="shared" si="29"/>
        <v>0</v>
      </c>
    </row>
    <row r="602" spans="1:36" x14ac:dyDescent="0.2">
      <c r="A602" s="17" t="s">
        <v>5197</v>
      </c>
      <c r="B602" s="17">
        <v>39946</v>
      </c>
      <c r="C602" s="20">
        <v>0</v>
      </c>
      <c r="D602" s="20">
        <v>120779</v>
      </c>
      <c r="M602" s="20">
        <v>370</v>
      </c>
      <c r="N602" s="20">
        <v>13406</v>
      </c>
      <c r="O602" s="20">
        <v>80595</v>
      </c>
      <c r="W602" s="20">
        <f t="shared" si="27"/>
        <v>215150</v>
      </c>
      <c r="X602" s="36">
        <v>-45900</v>
      </c>
      <c r="Y602" s="36">
        <v>-95033</v>
      </c>
      <c r="Z602" s="36">
        <v>-27540</v>
      </c>
      <c r="AA602" s="36">
        <v>-4053</v>
      </c>
      <c r="AB602" s="36">
        <v>-2427</v>
      </c>
      <c r="AC602" s="36">
        <v>-40198</v>
      </c>
      <c r="AD602" s="36">
        <v>0</v>
      </c>
      <c r="AE602" s="36"/>
      <c r="AF602" s="36"/>
      <c r="AG602" s="36"/>
      <c r="AH602" s="36"/>
      <c r="AI602" s="20">
        <f t="shared" si="28"/>
        <v>-215151</v>
      </c>
      <c r="AJ602" s="20">
        <f t="shared" si="29"/>
        <v>-1</v>
      </c>
    </row>
    <row r="603" spans="1:36" x14ac:dyDescent="0.2">
      <c r="A603" s="17" t="s">
        <v>5198</v>
      </c>
      <c r="B603" s="17">
        <v>39953</v>
      </c>
      <c r="C603" s="20">
        <v>0</v>
      </c>
      <c r="D603" s="20">
        <v>120779</v>
      </c>
      <c r="M603" s="20">
        <v>370</v>
      </c>
      <c r="N603" s="20">
        <v>13305</v>
      </c>
      <c r="O603" s="20">
        <v>86668</v>
      </c>
      <c r="W603" s="20">
        <f t="shared" si="27"/>
        <v>221122</v>
      </c>
      <c r="X603" s="36">
        <v>-45921</v>
      </c>
      <c r="Y603" s="36">
        <v>-102669</v>
      </c>
      <c r="Z603" s="36">
        <v>-27190</v>
      </c>
      <c r="AA603" s="36">
        <v>-3932</v>
      </c>
      <c r="AB603" s="36">
        <v>-2427</v>
      </c>
      <c r="AC603" s="36">
        <v>-38983</v>
      </c>
      <c r="AD603" s="36">
        <v>0</v>
      </c>
      <c r="AE603" s="36"/>
      <c r="AF603" s="36"/>
      <c r="AG603" s="36"/>
      <c r="AH603" s="36"/>
      <c r="AI603" s="20">
        <f t="shared" si="28"/>
        <v>-221122</v>
      </c>
      <c r="AJ603" s="20">
        <f t="shared" si="29"/>
        <v>0</v>
      </c>
    </row>
    <row r="604" spans="1:36" x14ac:dyDescent="0.2">
      <c r="A604" s="17" t="s">
        <v>5199</v>
      </c>
      <c r="B604" s="17">
        <v>39960</v>
      </c>
      <c r="C604" s="20">
        <v>0</v>
      </c>
      <c r="D604" s="20">
        <v>111541</v>
      </c>
      <c r="M604" s="20">
        <v>370</v>
      </c>
      <c r="N604" s="20">
        <v>13264</v>
      </c>
      <c r="O604" s="20">
        <v>86150</v>
      </c>
      <c r="W604" s="20">
        <f t="shared" si="27"/>
        <v>211325</v>
      </c>
      <c r="X604" s="36">
        <v>-46566</v>
      </c>
      <c r="Y604" s="36">
        <v>-109631</v>
      </c>
      <c r="Z604" s="36">
        <v>-18980</v>
      </c>
      <c r="AA604" s="36">
        <v>-3823</v>
      </c>
      <c r="AB604" s="36">
        <v>-2427</v>
      </c>
      <c r="AC604" s="36">
        <v>-29897</v>
      </c>
      <c r="AD604" s="36">
        <v>0</v>
      </c>
      <c r="AE604" s="36"/>
      <c r="AF604" s="36"/>
      <c r="AG604" s="36"/>
      <c r="AH604" s="36"/>
      <c r="AI604" s="20">
        <f t="shared" si="28"/>
        <v>-211324</v>
      </c>
      <c r="AJ604" s="20">
        <f t="shared" si="29"/>
        <v>1</v>
      </c>
    </row>
    <row r="605" spans="1:36" x14ac:dyDescent="0.2">
      <c r="A605" s="17" t="s">
        <v>5200</v>
      </c>
      <c r="B605" s="17">
        <v>39967</v>
      </c>
      <c r="C605" s="20">
        <v>0</v>
      </c>
      <c r="D605" s="20">
        <v>111541</v>
      </c>
      <c r="M605" s="20">
        <v>370</v>
      </c>
      <c r="N605" s="20">
        <v>13254</v>
      </c>
      <c r="O605" s="20">
        <v>95431</v>
      </c>
      <c r="W605" s="20">
        <f t="shared" si="27"/>
        <v>220596</v>
      </c>
      <c r="X605" s="36">
        <v>-46250</v>
      </c>
      <c r="Y605" s="36">
        <v>-115650</v>
      </c>
      <c r="Z605" s="36">
        <v>-20399</v>
      </c>
      <c r="AA605" s="36">
        <v>-3740</v>
      </c>
      <c r="AB605" s="36">
        <v>-2547</v>
      </c>
      <c r="AC605" s="36">
        <v>-32010</v>
      </c>
      <c r="AD605" s="36">
        <v>0</v>
      </c>
      <c r="AE605" s="36"/>
      <c r="AF605" s="36"/>
      <c r="AG605" s="36"/>
      <c r="AH605" s="36"/>
      <c r="AI605" s="20">
        <f t="shared" si="28"/>
        <v>-220596</v>
      </c>
      <c r="AJ605" s="20">
        <f t="shared" si="29"/>
        <v>0</v>
      </c>
    </row>
    <row r="606" spans="1:36" x14ac:dyDescent="0.2">
      <c r="A606" s="17" t="s">
        <v>5201</v>
      </c>
      <c r="B606" s="17">
        <v>39974</v>
      </c>
      <c r="C606" s="20">
        <v>0</v>
      </c>
      <c r="D606" s="20">
        <v>100598</v>
      </c>
      <c r="M606" s="20">
        <v>370</v>
      </c>
      <c r="N606" s="20">
        <v>13154</v>
      </c>
      <c r="O606" s="20">
        <v>102908</v>
      </c>
      <c r="W606" s="20">
        <f t="shared" si="27"/>
        <v>217030</v>
      </c>
      <c r="X606" s="36">
        <v>-46068</v>
      </c>
      <c r="Y606" s="36">
        <v>-121059</v>
      </c>
      <c r="Z606" s="36">
        <v>-9690</v>
      </c>
      <c r="AA606" s="36">
        <v>-3718</v>
      </c>
      <c r="AB606" s="36">
        <v>-2547</v>
      </c>
      <c r="AC606" s="36">
        <v>-33948</v>
      </c>
      <c r="AD606" s="36">
        <v>0</v>
      </c>
      <c r="AE606" s="36"/>
      <c r="AF606" s="36"/>
      <c r="AG606" s="36"/>
      <c r="AH606" s="36"/>
      <c r="AI606" s="20">
        <f t="shared" si="28"/>
        <v>-217030</v>
      </c>
      <c r="AJ606" s="20">
        <f t="shared" si="29"/>
        <v>0</v>
      </c>
    </row>
    <row r="607" spans="1:36" x14ac:dyDescent="0.2">
      <c r="A607" s="17" t="s">
        <v>5202</v>
      </c>
      <c r="B607" s="17">
        <v>39981</v>
      </c>
      <c r="C607" s="20">
        <v>0</v>
      </c>
      <c r="D607" s="20">
        <v>100648</v>
      </c>
      <c r="M607" s="20">
        <v>370</v>
      </c>
      <c r="N607" s="20">
        <v>13183</v>
      </c>
      <c r="O607" s="20">
        <v>108517</v>
      </c>
      <c r="W607" s="20">
        <f t="shared" si="27"/>
        <v>222718</v>
      </c>
      <c r="X607" s="36">
        <v>-46029</v>
      </c>
      <c r="Y607" s="36">
        <v>-129525</v>
      </c>
      <c r="Z607" s="36">
        <v>-8370</v>
      </c>
      <c r="AA607" s="36">
        <v>-3754</v>
      </c>
      <c r="AB607" s="36">
        <v>-2547</v>
      </c>
      <c r="AC607" s="36">
        <v>-32493</v>
      </c>
      <c r="AD607" s="36">
        <v>0</v>
      </c>
      <c r="AE607" s="36"/>
      <c r="AF607" s="36"/>
      <c r="AG607" s="36"/>
      <c r="AH607" s="36"/>
      <c r="AI607" s="20">
        <f t="shared" si="28"/>
        <v>-222718</v>
      </c>
      <c r="AJ607" s="20">
        <f t="shared" si="29"/>
        <v>0</v>
      </c>
    </row>
    <row r="608" spans="1:36" x14ac:dyDescent="0.2">
      <c r="A608" s="17" t="s">
        <v>5203</v>
      </c>
      <c r="B608" s="17">
        <v>39988</v>
      </c>
      <c r="C608" s="20">
        <v>0</v>
      </c>
      <c r="D608" s="20">
        <v>91212</v>
      </c>
      <c r="M608" s="20">
        <v>370</v>
      </c>
      <c r="N608" s="20">
        <v>13244</v>
      </c>
      <c r="O608" s="20">
        <v>115279</v>
      </c>
      <c r="W608" s="20">
        <f t="shared" si="27"/>
        <v>220105</v>
      </c>
      <c r="X608" s="36">
        <v>-46143</v>
      </c>
      <c r="Y608" s="36">
        <v>-135300</v>
      </c>
      <c r="Z608" s="36">
        <v>0</v>
      </c>
      <c r="AA608" s="36">
        <v>-3706</v>
      </c>
      <c r="AB608" s="36">
        <v>-2547</v>
      </c>
      <c r="AC608" s="36">
        <v>-32409</v>
      </c>
      <c r="AD608" s="36">
        <v>0</v>
      </c>
      <c r="AE608" s="36"/>
      <c r="AF608" s="36"/>
      <c r="AG608" s="36"/>
      <c r="AH608" s="36"/>
      <c r="AI608" s="20">
        <f t="shared" si="28"/>
        <v>-220105</v>
      </c>
      <c r="AJ608" s="20">
        <f t="shared" si="29"/>
        <v>0</v>
      </c>
    </row>
    <row r="609" spans="1:36" x14ac:dyDescent="0.2">
      <c r="A609" s="17" t="s">
        <v>5204</v>
      </c>
      <c r="B609" s="17">
        <v>39995</v>
      </c>
      <c r="C609" s="20">
        <v>0</v>
      </c>
      <c r="D609" s="20">
        <v>91212</v>
      </c>
      <c r="M609" s="20">
        <v>370</v>
      </c>
      <c r="N609" s="20">
        <v>13274</v>
      </c>
      <c r="O609" s="20">
        <v>121726</v>
      </c>
      <c r="W609" s="20">
        <f t="shared" si="27"/>
        <v>226582</v>
      </c>
      <c r="X609" s="36">
        <v>-46413</v>
      </c>
      <c r="Y609" s="36">
        <v>-140453</v>
      </c>
      <c r="Z609" s="36">
        <v>0</v>
      </c>
      <c r="AA609" s="36">
        <v>-3715</v>
      </c>
      <c r="AB609" s="36">
        <v>-2547</v>
      </c>
      <c r="AC609" s="36">
        <v>-33454</v>
      </c>
      <c r="AD609" s="36">
        <v>0</v>
      </c>
      <c r="AE609" s="36"/>
      <c r="AF609" s="36"/>
      <c r="AG609" s="36"/>
      <c r="AH609" s="36"/>
      <c r="AI609" s="20">
        <f t="shared" si="28"/>
        <v>-226582</v>
      </c>
      <c r="AJ609" s="20">
        <f t="shared" si="29"/>
        <v>0</v>
      </c>
    </row>
    <row r="610" spans="1:36" x14ac:dyDescent="0.2">
      <c r="A610" s="17" t="s">
        <v>5205</v>
      </c>
      <c r="B610" s="17">
        <v>40002</v>
      </c>
      <c r="C610" s="20">
        <v>11740</v>
      </c>
      <c r="D610" s="20">
        <v>79650</v>
      </c>
      <c r="M610" s="20">
        <v>370</v>
      </c>
      <c r="N610" s="20">
        <v>13103</v>
      </c>
      <c r="O610" s="20">
        <v>128867</v>
      </c>
      <c r="W610" s="20">
        <f t="shared" si="27"/>
        <v>233730</v>
      </c>
      <c r="X610" s="36">
        <v>-46454</v>
      </c>
      <c r="Y610" s="36">
        <v>-147469</v>
      </c>
      <c r="Z610" s="36">
        <v>0</v>
      </c>
      <c r="AA610" s="36">
        <v>-3815</v>
      </c>
      <c r="AB610" s="36">
        <v>-2547</v>
      </c>
      <c r="AC610" s="36">
        <v>-33444</v>
      </c>
      <c r="AD610" s="36">
        <v>0</v>
      </c>
      <c r="AE610" s="36"/>
      <c r="AF610" s="36"/>
      <c r="AG610" s="36"/>
      <c r="AH610" s="36"/>
      <c r="AI610" s="20">
        <f t="shared" si="28"/>
        <v>-233729</v>
      </c>
      <c r="AJ610" s="20">
        <f t="shared" si="29"/>
        <v>1</v>
      </c>
    </row>
    <row r="611" spans="1:36" x14ac:dyDescent="0.2">
      <c r="A611" s="17" t="s">
        <v>5206</v>
      </c>
      <c r="B611" s="17">
        <v>40009</v>
      </c>
      <c r="C611" s="20">
        <v>11560</v>
      </c>
      <c r="D611" s="20">
        <v>79651</v>
      </c>
      <c r="M611" s="20">
        <v>370</v>
      </c>
      <c r="N611" s="20">
        <v>13028</v>
      </c>
      <c r="O611" s="20">
        <v>133086</v>
      </c>
      <c r="W611" s="20">
        <f t="shared" si="27"/>
        <v>237695</v>
      </c>
      <c r="X611" s="36">
        <v>-46509</v>
      </c>
      <c r="Y611" s="36">
        <v>-153035</v>
      </c>
      <c r="Z611" s="36">
        <v>0</v>
      </c>
      <c r="AA611" s="36">
        <v>-3732</v>
      </c>
      <c r="AB611" s="36">
        <v>-2547</v>
      </c>
      <c r="AC611" s="36">
        <v>-31873</v>
      </c>
      <c r="AD611" s="36">
        <v>0</v>
      </c>
      <c r="AE611" s="36"/>
      <c r="AF611" s="36"/>
      <c r="AG611" s="36"/>
      <c r="AH611" s="36"/>
      <c r="AI611" s="20">
        <f t="shared" si="28"/>
        <v>-237696</v>
      </c>
      <c r="AJ611" s="20">
        <f t="shared" si="29"/>
        <v>-1</v>
      </c>
    </row>
    <row r="612" spans="1:36" x14ac:dyDescent="0.2">
      <c r="A612" s="17" t="s">
        <v>5207</v>
      </c>
      <c r="B612" s="17">
        <v>40016</v>
      </c>
      <c r="C612" s="20">
        <v>30200</v>
      </c>
      <c r="D612" s="20">
        <v>60956</v>
      </c>
      <c r="M612" s="20">
        <v>370</v>
      </c>
      <c r="N612" s="20">
        <v>13037</v>
      </c>
      <c r="O612" s="20">
        <v>137226</v>
      </c>
      <c r="W612" s="20">
        <f t="shared" si="27"/>
        <v>241789</v>
      </c>
      <c r="X612" s="36">
        <v>-46522</v>
      </c>
      <c r="Y612" s="36">
        <v>-158171</v>
      </c>
      <c r="Z612" s="36">
        <v>0</v>
      </c>
      <c r="AA612" s="36">
        <v>-3732</v>
      </c>
      <c r="AB612" s="36">
        <v>-2547</v>
      </c>
      <c r="AC612" s="36">
        <v>-30817</v>
      </c>
      <c r="AD612" s="36">
        <v>0</v>
      </c>
      <c r="AE612" s="36"/>
      <c r="AF612" s="36"/>
      <c r="AG612" s="36"/>
      <c r="AH612" s="36"/>
      <c r="AI612" s="20">
        <f t="shared" si="28"/>
        <v>-241789</v>
      </c>
      <c r="AJ612" s="20">
        <f t="shared" si="29"/>
        <v>0</v>
      </c>
    </row>
    <row r="613" spans="1:36" x14ac:dyDescent="0.2">
      <c r="A613" s="17" t="s">
        <v>5208</v>
      </c>
      <c r="B613" s="17">
        <v>40023</v>
      </c>
      <c r="C613" s="20">
        <v>29540</v>
      </c>
      <c r="D613" s="20">
        <v>60956</v>
      </c>
      <c r="M613" s="20">
        <v>370</v>
      </c>
      <c r="N613" s="20">
        <v>13038</v>
      </c>
      <c r="O613" s="20">
        <v>141414</v>
      </c>
      <c r="W613" s="20">
        <f t="shared" si="27"/>
        <v>245318</v>
      </c>
      <c r="X613" s="36">
        <v>-46754</v>
      </c>
      <c r="Y613" s="36">
        <v>-161288</v>
      </c>
      <c r="Z613" s="36">
        <v>0</v>
      </c>
      <c r="AA613" s="36">
        <v>-3729</v>
      </c>
      <c r="AB613" s="36">
        <v>-2547</v>
      </c>
      <c r="AC613" s="36">
        <v>-30999</v>
      </c>
      <c r="AD613" s="36">
        <v>0</v>
      </c>
      <c r="AE613" s="36"/>
      <c r="AF613" s="36"/>
      <c r="AG613" s="36"/>
      <c r="AH613" s="36"/>
      <c r="AI613" s="20">
        <f t="shared" si="28"/>
        <v>-245317</v>
      </c>
      <c r="AJ613" s="20">
        <f t="shared" si="29"/>
        <v>1</v>
      </c>
    </row>
    <row r="614" spans="1:36" x14ac:dyDescent="0.2">
      <c r="A614" s="17" t="s">
        <v>5209</v>
      </c>
      <c r="B614" s="17">
        <v>40030</v>
      </c>
      <c r="C614" s="20">
        <v>30080</v>
      </c>
      <c r="D614" s="20">
        <v>60956</v>
      </c>
      <c r="M614" s="20">
        <v>370</v>
      </c>
      <c r="N614" s="20">
        <v>13032</v>
      </c>
      <c r="O614" s="20">
        <v>142201</v>
      </c>
      <c r="W614" s="20">
        <f t="shared" si="27"/>
        <v>246639</v>
      </c>
      <c r="X614" s="36">
        <v>-46761</v>
      </c>
      <c r="Y614" s="36">
        <v>-163866</v>
      </c>
      <c r="Z614" s="36">
        <v>0</v>
      </c>
      <c r="AA614" s="36">
        <v>-3609</v>
      </c>
      <c r="AB614" s="36">
        <v>-2547</v>
      </c>
      <c r="AC614" s="36">
        <v>-29856</v>
      </c>
      <c r="AD614" s="36">
        <v>0</v>
      </c>
      <c r="AE614" s="36"/>
      <c r="AF614" s="36"/>
      <c r="AG614" s="36"/>
      <c r="AH614" s="36"/>
      <c r="AI614" s="20">
        <f t="shared" si="28"/>
        <v>-246639</v>
      </c>
      <c r="AJ614" s="20">
        <f t="shared" si="29"/>
        <v>0</v>
      </c>
    </row>
    <row r="615" spans="1:36" x14ac:dyDescent="0.2">
      <c r="A615" s="17" t="s">
        <v>5210</v>
      </c>
      <c r="B615" s="17">
        <v>40037</v>
      </c>
      <c r="C615" s="20">
        <v>0</v>
      </c>
      <c r="D615" s="20">
        <v>58174</v>
      </c>
      <c r="M615" s="20">
        <v>370</v>
      </c>
      <c r="N615" s="20">
        <v>13104</v>
      </c>
      <c r="O615" s="20">
        <v>145706</v>
      </c>
      <c r="W615" s="20">
        <f t="shared" si="27"/>
        <v>217354</v>
      </c>
      <c r="X615" s="36">
        <v>-46671</v>
      </c>
      <c r="Y615" s="36">
        <v>-133654</v>
      </c>
      <c r="Z615" s="36">
        <v>0</v>
      </c>
      <c r="AA615" s="36">
        <v>-3700</v>
      </c>
      <c r="AB615" s="36">
        <v>-2547</v>
      </c>
      <c r="AC615" s="36">
        <v>-30783</v>
      </c>
      <c r="AD615" s="36">
        <v>0</v>
      </c>
      <c r="AE615" s="36"/>
      <c r="AF615" s="36"/>
      <c r="AG615" s="36"/>
      <c r="AH615" s="36"/>
      <c r="AI615" s="20">
        <f t="shared" si="28"/>
        <v>-217355</v>
      </c>
      <c r="AJ615" s="20">
        <f t="shared" si="29"/>
        <v>-1</v>
      </c>
    </row>
    <row r="616" spans="1:36" x14ac:dyDescent="0.2">
      <c r="A616" s="17" t="s">
        <v>5211</v>
      </c>
      <c r="B616" s="17">
        <v>40044</v>
      </c>
      <c r="C616" s="20">
        <v>0</v>
      </c>
      <c r="D616" s="20">
        <v>58174</v>
      </c>
      <c r="M616" s="20">
        <v>370</v>
      </c>
      <c r="N616" s="20">
        <v>13165</v>
      </c>
      <c r="O616" s="20">
        <v>148802</v>
      </c>
      <c r="W616" s="20">
        <f t="shared" si="27"/>
        <v>220511</v>
      </c>
      <c r="X616" s="36">
        <v>-46556</v>
      </c>
      <c r="Y616" s="36">
        <v>-137850</v>
      </c>
      <c r="Z616" s="36">
        <v>0</v>
      </c>
      <c r="AA616" s="36">
        <v>-3716</v>
      </c>
      <c r="AB616" s="36">
        <v>-2547</v>
      </c>
      <c r="AC616" s="36">
        <v>-29843</v>
      </c>
      <c r="AD616" s="36">
        <v>0</v>
      </c>
      <c r="AE616" s="36"/>
      <c r="AF616" s="36"/>
      <c r="AG616" s="36"/>
      <c r="AH616" s="36"/>
      <c r="AI616" s="20">
        <f t="shared" si="28"/>
        <v>-220512</v>
      </c>
      <c r="AJ616" s="20">
        <f t="shared" si="29"/>
        <v>-1</v>
      </c>
    </row>
    <row r="617" spans="1:36" x14ac:dyDescent="0.2">
      <c r="A617" s="17" t="s">
        <v>5212</v>
      </c>
      <c r="B617" s="17">
        <v>40051</v>
      </c>
      <c r="C617" s="20">
        <v>0</v>
      </c>
      <c r="D617" s="20">
        <v>52730</v>
      </c>
      <c r="M617" s="20">
        <v>370</v>
      </c>
      <c r="N617" s="20">
        <v>13276</v>
      </c>
      <c r="O617" s="20">
        <v>153876</v>
      </c>
      <c r="W617" s="20">
        <f t="shared" si="27"/>
        <v>220252</v>
      </c>
      <c r="X617" s="36">
        <v>-46740</v>
      </c>
      <c r="Y617" s="36">
        <v>-136357</v>
      </c>
      <c r="Z617" s="36">
        <v>0</v>
      </c>
      <c r="AA617" s="36">
        <v>-3778</v>
      </c>
      <c r="AB617" s="36">
        <v>-2547</v>
      </c>
      <c r="AC617" s="36">
        <v>-30830</v>
      </c>
      <c r="AD617" s="36">
        <v>0</v>
      </c>
      <c r="AE617" s="36"/>
      <c r="AF617" s="36"/>
      <c r="AG617" s="36"/>
      <c r="AH617" s="36"/>
      <c r="AI617" s="20">
        <f t="shared" si="28"/>
        <v>-220252</v>
      </c>
      <c r="AJ617" s="20">
        <f t="shared" si="29"/>
        <v>0</v>
      </c>
    </row>
    <row r="618" spans="1:36" x14ac:dyDescent="0.2">
      <c r="A618" s="17" t="s">
        <v>5213</v>
      </c>
      <c r="B618" s="17">
        <v>40058</v>
      </c>
      <c r="C618" s="20">
        <v>0</v>
      </c>
      <c r="D618" s="20">
        <v>52730</v>
      </c>
      <c r="M618" s="20">
        <v>370</v>
      </c>
      <c r="N618" s="20">
        <v>13395</v>
      </c>
      <c r="O618" s="20">
        <v>155119</v>
      </c>
      <c r="W618" s="20">
        <f t="shared" si="27"/>
        <v>221614</v>
      </c>
      <c r="X618" s="36">
        <v>-47320</v>
      </c>
      <c r="Y618" s="36">
        <v>-137648</v>
      </c>
      <c r="Z618" s="36">
        <v>0</v>
      </c>
      <c r="AA618" s="36">
        <v>-3776</v>
      </c>
      <c r="AB618" s="36">
        <v>-2547</v>
      </c>
      <c r="AC618" s="36">
        <v>-30324</v>
      </c>
      <c r="AD618" s="36">
        <v>0</v>
      </c>
      <c r="AE618" s="36"/>
      <c r="AF618" s="36"/>
      <c r="AG618" s="36"/>
      <c r="AH618" s="36"/>
      <c r="AI618" s="20">
        <f t="shared" si="28"/>
        <v>-221615</v>
      </c>
      <c r="AJ618" s="20">
        <f t="shared" si="29"/>
        <v>-1</v>
      </c>
    </row>
    <row r="619" spans="1:36" x14ac:dyDescent="0.2">
      <c r="A619" s="17" t="s">
        <v>5214</v>
      </c>
      <c r="B619" s="17">
        <v>40065</v>
      </c>
      <c r="C619" s="20">
        <v>0</v>
      </c>
      <c r="D619" s="20">
        <v>47483</v>
      </c>
      <c r="M619" s="20">
        <v>370</v>
      </c>
      <c r="N619" s="20">
        <v>13328</v>
      </c>
      <c r="O619" s="20">
        <v>160044</v>
      </c>
      <c r="W619" s="20">
        <f t="shared" si="27"/>
        <v>221225</v>
      </c>
      <c r="X619" s="36">
        <v>-47307</v>
      </c>
      <c r="Y619" s="36">
        <v>-135833</v>
      </c>
      <c r="Z619" s="36">
        <v>0</v>
      </c>
      <c r="AA619" s="36">
        <v>-3701</v>
      </c>
      <c r="AB619" s="36">
        <v>-2547</v>
      </c>
      <c r="AC619" s="36">
        <v>-31837</v>
      </c>
      <c r="AD619" s="36">
        <v>0</v>
      </c>
      <c r="AE619" s="36"/>
      <c r="AF619" s="36"/>
      <c r="AG619" s="36"/>
      <c r="AH619" s="36"/>
      <c r="AI619" s="20">
        <f t="shared" si="28"/>
        <v>-221225</v>
      </c>
      <c r="AJ619" s="20">
        <f t="shared" si="29"/>
        <v>0</v>
      </c>
    </row>
    <row r="620" spans="1:36" x14ac:dyDescent="0.2">
      <c r="A620" s="17" t="s">
        <v>5215</v>
      </c>
      <c r="B620" s="17">
        <v>40072</v>
      </c>
      <c r="C620" s="20">
        <v>0</v>
      </c>
      <c r="D620" s="20">
        <v>47883</v>
      </c>
      <c r="M620" s="20">
        <v>370</v>
      </c>
      <c r="N620" s="20">
        <v>13375</v>
      </c>
      <c r="O620" s="20">
        <v>164361</v>
      </c>
      <c r="W620" s="20">
        <f t="shared" si="27"/>
        <v>225989</v>
      </c>
      <c r="X620" s="36">
        <v>-46736</v>
      </c>
      <c r="Y620" s="36">
        <v>-139814</v>
      </c>
      <c r="Z620" s="36">
        <v>0</v>
      </c>
      <c r="AA620" s="36">
        <v>-3712</v>
      </c>
      <c r="AB620" s="36">
        <v>-2547</v>
      </c>
      <c r="AC620" s="36">
        <v>-33180</v>
      </c>
      <c r="AD620" s="36">
        <v>0</v>
      </c>
      <c r="AE620" s="36"/>
      <c r="AF620" s="36"/>
      <c r="AG620" s="36"/>
      <c r="AH620" s="36"/>
      <c r="AI620" s="20">
        <f t="shared" si="28"/>
        <v>-225989</v>
      </c>
      <c r="AJ620" s="20">
        <f t="shared" si="29"/>
        <v>0</v>
      </c>
    </row>
    <row r="621" spans="1:36" x14ac:dyDescent="0.2">
      <c r="A621" s="17" t="s">
        <v>5216</v>
      </c>
      <c r="B621" s="17">
        <v>40079</v>
      </c>
      <c r="C621" s="20">
        <v>0</v>
      </c>
      <c r="D621" s="20">
        <v>39464</v>
      </c>
      <c r="M621" s="20">
        <v>370</v>
      </c>
      <c r="N621" s="20">
        <v>13447</v>
      </c>
      <c r="O621" s="20">
        <v>169432</v>
      </c>
      <c r="W621" s="20">
        <f t="shared" si="27"/>
        <v>222713</v>
      </c>
      <c r="X621" s="36">
        <v>-46698</v>
      </c>
      <c r="Y621" s="36">
        <v>-135025</v>
      </c>
      <c r="Z621" s="36">
        <v>0</v>
      </c>
      <c r="AA621" s="36">
        <v>-3728</v>
      </c>
      <c r="AB621" s="36">
        <v>-2547</v>
      </c>
      <c r="AC621" s="36">
        <v>-34715</v>
      </c>
      <c r="AD621" s="36">
        <v>0</v>
      </c>
      <c r="AE621" s="36"/>
      <c r="AF621" s="36"/>
      <c r="AG621" s="36"/>
      <c r="AH621" s="36"/>
      <c r="AI621" s="20">
        <f t="shared" si="28"/>
        <v>-222713</v>
      </c>
      <c r="AJ621" s="20">
        <f t="shared" si="29"/>
        <v>0</v>
      </c>
    </row>
    <row r="622" spans="1:36" x14ac:dyDescent="0.2">
      <c r="A622" s="17" t="s">
        <v>5217</v>
      </c>
      <c r="B622" s="17">
        <v>40086</v>
      </c>
      <c r="C622" s="20">
        <v>0</v>
      </c>
      <c r="D622" s="20">
        <v>39464</v>
      </c>
      <c r="M622" s="20">
        <v>370</v>
      </c>
      <c r="N622" s="20">
        <v>13563</v>
      </c>
      <c r="O622" s="20">
        <v>173010</v>
      </c>
      <c r="W622" s="20">
        <f t="shared" si="27"/>
        <v>226407</v>
      </c>
      <c r="X622" s="36">
        <v>-47040</v>
      </c>
      <c r="Y622" s="36">
        <v>-138591</v>
      </c>
      <c r="Z622" s="36">
        <v>0</v>
      </c>
      <c r="AA622" s="36">
        <v>-3834</v>
      </c>
      <c r="AB622" s="36">
        <v>-2547</v>
      </c>
      <c r="AC622" s="36">
        <v>-34396</v>
      </c>
      <c r="AD622" s="36">
        <v>0</v>
      </c>
      <c r="AE622" s="36"/>
      <c r="AF622" s="36"/>
      <c r="AG622" s="36"/>
      <c r="AH622" s="36"/>
      <c r="AI622" s="20">
        <f t="shared" si="28"/>
        <v>-226408</v>
      </c>
      <c r="AJ622" s="20">
        <f t="shared" si="29"/>
        <v>-1</v>
      </c>
    </row>
    <row r="623" spans="1:36" x14ac:dyDescent="0.2">
      <c r="A623" s="17" t="s">
        <v>5218</v>
      </c>
      <c r="B623" s="17">
        <v>40093</v>
      </c>
      <c r="C623" s="20">
        <v>0</v>
      </c>
      <c r="D623" s="20">
        <v>32735</v>
      </c>
      <c r="M623" s="20">
        <v>370</v>
      </c>
      <c r="N623" s="20">
        <v>13655</v>
      </c>
      <c r="O623" s="20">
        <v>175441</v>
      </c>
      <c r="W623" s="20">
        <f t="shared" si="27"/>
        <v>222201</v>
      </c>
      <c r="X623" s="36">
        <v>-46958</v>
      </c>
      <c r="Y623" s="36">
        <v>-136421</v>
      </c>
      <c r="Z623" s="36">
        <v>0</v>
      </c>
      <c r="AA623" s="36">
        <v>-3852</v>
      </c>
      <c r="AB623" s="36">
        <v>-2547</v>
      </c>
      <c r="AC623" s="36">
        <v>-32423</v>
      </c>
      <c r="AD623" s="36">
        <v>0</v>
      </c>
      <c r="AE623" s="36"/>
      <c r="AF623" s="36"/>
      <c r="AG623" s="36"/>
      <c r="AH623" s="36"/>
      <c r="AI623" s="20">
        <f t="shared" si="28"/>
        <v>-222201</v>
      </c>
      <c r="AJ623" s="20">
        <f t="shared" si="29"/>
        <v>0</v>
      </c>
    </row>
    <row r="624" spans="1:36" x14ac:dyDescent="0.2">
      <c r="A624" s="17" t="s">
        <v>5219</v>
      </c>
      <c r="B624" s="17">
        <v>40100</v>
      </c>
      <c r="C624" s="20">
        <v>0</v>
      </c>
      <c r="D624" s="20">
        <v>32815</v>
      </c>
      <c r="M624" s="20">
        <v>370</v>
      </c>
      <c r="N624" s="20">
        <v>13661</v>
      </c>
      <c r="O624" s="20">
        <v>178327</v>
      </c>
      <c r="W624" s="20">
        <f t="shared" si="27"/>
        <v>225173</v>
      </c>
      <c r="X624" s="36">
        <v>-46922</v>
      </c>
      <c r="Y624" s="36">
        <v>-140779</v>
      </c>
      <c r="Z624" s="36">
        <v>0</v>
      </c>
      <c r="AA624" s="36">
        <v>-3839</v>
      </c>
      <c r="AB624" s="36">
        <v>-2547</v>
      </c>
      <c r="AC624" s="36">
        <v>-31087</v>
      </c>
      <c r="AD624" s="36">
        <v>0</v>
      </c>
      <c r="AE624" s="36"/>
      <c r="AF624" s="36"/>
      <c r="AG624" s="36"/>
      <c r="AH624" s="36"/>
      <c r="AI624" s="20">
        <f t="shared" si="28"/>
        <v>-225174</v>
      </c>
      <c r="AJ624" s="20">
        <f t="shared" si="29"/>
        <v>-1</v>
      </c>
    </row>
    <row r="625" spans="1:36" x14ac:dyDescent="0.2">
      <c r="A625" s="17" t="s">
        <v>5220</v>
      </c>
      <c r="B625" s="17">
        <v>40107</v>
      </c>
      <c r="C625" s="20">
        <v>0</v>
      </c>
      <c r="D625" s="20">
        <v>33560</v>
      </c>
      <c r="M625" s="20">
        <v>370</v>
      </c>
      <c r="N625" s="20">
        <v>13472</v>
      </c>
      <c r="O625" s="20">
        <v>182564</v>
      </c>
      <c r="W625" s="20">
        <f t="shared" si="27"/>
        <v>229966</v>
      </c>
      <c r="X625" s="36">
        <v>-46998</v>
      </c>
      <c r="Y625" s="36">
        <v>-146633</v>
      </c>
      <c r="Z625" s="36">
        <v>0</v>
      </c>
      <c r="AA625" s="36">
        <v>-3681</v>
      </c>
      <c r="AB625" s="36">
        <v>-2545</v>
      </c>
      <c r="AC625" s="36">
        <v>-30108</v>
      </c>
      <c r="AD625" s="36">
        <v>0</v>
      </c>
      <c r="AE625" s="36"/>
      <c r="AF625" s="36"/>
      <c r="AG625" s="36"/>
      <c r="AH625" s="36"/>
      <c r="AI625" s="20">
        <f t="shared" si="28"/>
        <v>-229965</v>
      </c>
      <c r="AJ625" s="20">
        <f t="shared" si="29"/>
        <v>1</v>
      </c>
    </row>
    <row r="626" spans="1:36" x14ac:dyDescent="0.2">
      <c r="A626" s="17" t="s">
        <v>5221</v>
      </c>
      <c r="B626" s="17">
        <v>40114</v>
      </c>
      <c r="C626" s="20">
        <v>0</v>
      </c>
      <c r="D626" s="20">
        <v>33560</v>
      </c>
      <c r="M626" s="20">
        <v>370</v>
      </c>
      <c r="N626" s="20">
        <v>13555</v>
      </c>
      <c r="O626" s="20">
        <v>187860</v>
      </c>
      <c r="W626" s="20">
        <f t="shared" si="27"/>
        <v>235345</v>
      </c>
      <c r="X626" s="36">
        <v>-47164</v>
      </c>
      <c r="Y626" s="36">
        <v>-150669</v>
      </c>
      <c r="Z626" s="36">
        <v>0</v>
      </c>
      <c r="AA626" s="36">
        <v>-3739</v>
      </c>
      <c r="AB626" s="36">
        <v>-2545</v>
      </c>
      <c r="AC626" s="36">
        <v>-31227</v>
      </c>
      <c r="AD626" s="36">
        <v>0</v>
      </c>
      <c r="AE626" s="36"/>
      <c r="AF626" s="36"/>
      <c r="AG626" s="36"/>
      <c r="AH626" s="36"/>
      <c r="AI626" s="20">
        <f t="shared" si="28"/>
        <v>-235344</v>
      </c>
      <c r="AJ626" s="20">
        <f t="shared" si="29"/>
        <v>1</v>
      </c>
    </row>
    <row r="627" spans="1:36" x14ac:dyDescent="0.2">
      <c r="A627" s="17" t="s">
        <v>5222</v>
      </c>
      <c r="B627" s="17">
        <v>40121</v>
      </c>
      <c r="C627" s="20">
        <v>0</v>
      </c>
      <c r="D627" s="20">
        <v>33560</v>
      </c>
      <c r="M627" s="20">
        <v>370</v>
      </c>
      <c r="N627" s="20">
        <v>13533</v>
      </c>
      <c r="O627" s="20">
        <v>189479</v>
      </c>
      <c r="W627" s="20">
        <f t="shared" si="27"/>
        <v>236942</v>
      </c>
      <c r="X627" s="36">
        <v>-47334</v>
      </c>
      <c r="Y627" s="36">
        <v>-151727</v>
      </c>
      <c r="Z627" s="36">
        <v>0</v>
      </c>
      <c r="AA627" s="36">
        <v>-3691</v>
      </c>
      <c r="AB627" s="36">
        <v>-2545</v>
      </c>
      <c r="AC627" s="36">
        <v>-31644</v>
      </c>
      <c r="AD627" s="36">
        <v>0</v>
      </c>
      <c r="AE627" s="36"/>
      <c r="AF627" s="36"/>
      <c r="AG627" s="36"/>
      <c r="AH627" s="36"/>
      <c r="AI627" s="20">
        <f t="shared" si="28"/>
        <v>-236941</v>
      </c>
      <c r="AJ627" s="20">
        <f t="shared" si="29"/>
        <v>1</v>
      </c>
    </row>
    <row r="628" spans="1:36" x14ac:dyDescent="0.2">
      <c r="A628" s="17" t="s">
        <v>5223</v>
      </c>
      <c r="B628" s="17">
        <v>40128</v>
      </c>
      <c r="C628" s="20">
        <v>0</v>
      </c>
      <c r="D628" s="20">
        <v>29522</v>
      </c>
      <c r="M628" s="20">
        <v>370</v>
      </c>
      <c r="N628" s="20">
        <v>13583</v>
      </c>
      <c r="O628" s="20">
        <v>190068</v>
      </c>
      <c r="W628" s="20">
        <f t="shared" si="27"/>
        <v>233543</v>
      </c>
      <c r="X628" s="36">
        <v>-47193</v>
      </c>
      <c r="Y628" s="36">
        <v>-147528</v>
      </c>
      <c r="Z628" s="36">
        <v>0</v>
      </c>
      <c r="AA628" s="36">
        <v>-3697</v>
      </c>
      <c r="AB628" s="36">
        <v>-2545</v>
      </c>
      <c r="AC628" s="36">
        <v>-32579</v>
      </c>
      <c r="AD628" s="36">
        <v>0</v>
      </c>
      <c r="AE628" s="36"/>
      <c r="AF628" s="36"/>
      <c r="AG628" s="36"/>
      <c r="AH628" s="36"/>
      <c r="AI628" s="20">
        <f t="shared" si="28"/>
        <v>-233542</v>
      </c>
      <c r="AJ628" s="20">
        <f t="shared" si="29"/>
        <v>1</v>
      </c>
    </row>
    <row r="629" spans="1:36" x14ac:dyDescent="0.2">
      <c r="A629" s="17" t="s">
        <v>5224</v>
      </c>
      <c r="B629" s="17">
        <v>40135</v>
      </c>
      <c r="C629" s="20">
        <v>0</v>
      </c>
      <c r="D629" s="20">
        <v>29522</v>
      </c>
      <c r="M629" s="20">
        <v>370</v>
      </c>
      <c r="N629" s="20">
        <v>13551</v>
      </c>
      <c r="O629" s="20">
        <v>191778</v>
      </c>
      <c r="W629" s="20">
        <f t="shared" si="27"/>
        <v>235221</v>
      </c>
      <c r="X629" s="36">
        <v>-47234</v>
      </c>
      <c r="Y629" s="36">
        <v>-150483</v>
      </c>
      <c r="Z629" s="36">
        <v>0</v>
      </c>
      <c r="AA629" s="36">
        <v>-3661</v>
      </c>
      <c r="AB629" s="36">
        <v>-2545</v>
      </c>
      <c r="AC629" s="36">
        <v>-31298</v>
      </c>
      <c r="AD629" s="36">
        <v>0</v>
      </c>
      <c r="AE629" s="36"/>
      <c r="AF629" s="36"/>
      <c r="AG629" s="36"/>
      <c r="AH629" s="36"/>
      <c r="AI629" s="20">
        <f t="shared" si="28"/>
        <v>-235221</v>
      </c>
      <c r="AJ629" s="20">
        <f t="shared" si="29"/>
        <v>0</v>
      </c>
    </row>
    <row r="630" spans="1:36" x14ac:dyDescent="0.2">
      <c r="A630" s="17" t="s">
        <v>5225</v>
      </c>
      <c r="B630" s="17">
        <v>40142</v>
      </c>
      <c r="C630" s="20">
        <v>0</v>
      </c>
      <c r="D630" s="20">
        <v>27651</v>
      </c>
      <c r="M630" s="20">
        <v>370</v>
      </c>
      <c r="N630" s="20">
        <v>13644</v>
      </c>
      <c r="O630" s="20">
        <v>192966</v>
      </c>
      <c r="W630" s="20">
        <f t="shared" si="27"/>
        <v>234631</v>
      </c>
      <c r="X630" s="36">
        <v>-49278</v>
      </c>
      <c r="Y630" s="36">
        <v>-145583</v>
      </c>
      <c r="Z630" s="36">
        <v>0</v>
      </c>
      <c r="AA630" s="36">
        <v>-3682</v>
      </c>
      <c r="AB630" s="36">
        <v>-2545</v>
      </c>
      <c r="AC630" s="36">
        <v>-33543</v>
      </c>
      <c r="AD630" s="36">
        <v>0</v>
      </c>
      <c r="AE630" s="36"/>
      <c r="AF630" s="36"/>
      <c r="AG630" s="36"/>
      <c r="AH630" s="36"/>
      <c r="AI630" s="20">
        <f t="shared" si="28"/>
        <v>-234631</v>
      </c>
      <c r="AJ630" s="20">
        <f t="shared" si="29"/>
        <v>0</v>
      </c>
    </row>
    <row r="631" spans="1:36" x14ac:dyDescent="0.2">
      <c r="A631" s="17" t="s">
        <v>5226</v>
      </c>
      <c r="B631" s="17">
        <v>40149</v>
      </c>
      <c r="C631" s="20">
        <v>0</v>
      </c>
      <c r="D631" s="20">
        <v>27651</v>
      </c>
      <c r="M631" s="20">
        <v>370</v>
      </c>
      <c r="N631" s="20">
        <v>13649</v>
      </c>
      <c r="O631" s="20">
        <v>197591</v>
      </c>
      <c r="W631" s="20">
        <f t="shared" si="27"/>
        <v>239261</v>
      </c>
      <c r="X631" s="36">
        <v>-50033</v>
      </c>
      <c r="Y631" s="36">
        <v>-147452</v>
      </c>
      <c r="Z631" s="36">
        <v>0</v>
      </c>
      <c r="AA631" s="36">
        <v>-3680</v>
      </c>
      <c r="AB631" s="36">
        <v>-2599</v>
      </c>
      <c r="AC631" s="36">
        <v>-35497</v>
      </c>
      <c r="AD631" s="36">
        <v>0</v>
      </c>
      <c r="AE631" s="36"/>
      <c r="AF631" s="36"/>
      <c r="AG631" s="36"/>
      <c r="AH631" s="36"/>
      <c r="AI631" s="20">
        <f t="shared" si="28"/>
        <v>-239261</v>
      </c>
      <c r="AJ631" s="20">
        <f t="shared" si="29"/>
        <v>0</v>
      </c>
    </row>
    <row r="632" spans="1:36" x14ac:dyDescent="0.2">
      <c r="A632" s="17" t="s">
        <v>5227</v>
      </c>
      <c r="B632" s="17">
        <v>40156</v>
      </c>
      <c r="C632" s="20">
        <v>0</v>
      </c>
      <c r="D632" s="20">
        <v>25341</v>
      </c>
      <c r="M632" s="20">
        <v>370</v>
      </c>
      <c r="N632" s="20">
        <v>13283</v>
      </c>
      <c r="O632" s="20">
        <v>199793</v>
      </c>
      <c r="W632" s="20">
        <f t="shared" si="27"/>
        <v>238787</v>
      </c>
      <c r="X632" s="36">
        <v>-50273</v>
      </c>
      <c r="Y632" s="36">
        <v>-145872</v>
      </c>
      <c r="Z632" s="36">
        <v>0</v>
      </c>
      <c r="AA632" s="36">
        <v>-3777</v>
      </c>
      <c r="AB632" s="36">
        <v>-2599</v>
      </c>
      <c r="AC632" s="36">
        <v>-36266</v>
      </c>
      <c r="AD632" s="36">
        <v>0</v>
      </c>
      <c r="AE632" s="36"/>
      <c r="AF632" s="36"/>
      <c r="AG632" s="36"/>
      <c r="AH632" s="36"/>
      <c r="AI632" s="20">
        <f t="shared" si="28"/>
        <v>-238787</v>
      </c>
      <c r="AJ632" s="20">
        <f t="shared" si="29"/>
        <v>0</v>
      </c>
    </row>
    <row r="633" spans="1:36" x14ac:dyDescent="0.2">
      <c r="A633" s="17" t="s">
        <v>5228</v>
      </c>
      <c r="B633" s="17">
        <v>40163</v>
      </c>
      <c r="C633" s="20">
        <v>0</v>
      </c>
      <c r="D633" s="20">
        <v>25541</v>
      </c>
      <c r="M633" s="20">
        <v>370</v>
      </c>
      <c r="N633" s="20">
        <v>13174</v>
      </c>
      <c r="O633" s="20">
        <v>201347</v>
      </c>
      <c r="W633" s="20">
        <f t="shared" si="27"/>
        <v>240432</v>
      </c>
      <c r="X633" s="36">
        <v>-51077</v>
      </c>
      <c r="Y633" s="36">
        <v>-147356</v>
      </c>
      <c r="Z633" s="36">
        <v>0</v>
      </c>
      <c r="AA633" s="36">
        <v>-3731</v>
      </c>
      <c r="AB633" s="36">
        <v>-2599</v>
      </c>
      <c r="AC633" s="36">
        <v>-35669</v>
      </c>
      <c r="AD633" s="36">
        <v>0</v>
      </c>
      <c r="AE633" s="36"/>
      <c r="AF633" s="36"/>
      <c r="AG633" s="36"/>
      <c r="AH633" s="36"/>
      <c r="AI633" s="20">
        <f t="shared" si="28"/>
        <v>-240432</v>
      </c>
      <c r="AJ633" s="20">
        <f t="shared" si="29"/>
        <v>0</v>
      </c>
    </row>
    <row r="634" spans="1:36" x14ac:dyDescent="0.2">
      <c r="A634" s="17" t="s">
        <v>5229</v>
      </c>
      <c r="B634" s="17">
        <v>40170</v>
      </c>
      <c r="C634" s="20">
        <v>0</v>
      </c>
      <c r="D634" s="20">
        <v>23991</v>
      </c>
      <c r="M634" s="20">
        <v>370</v>
      </c>
      <c r="N634" s="20">
        <v>13213</v>
      </c>
      <c r="O634" s="20">
        <v>200392</v>
      </c>
      <c r="W634" s="20">
        <f t="shared" si="27"/>
        <v>237966</v>
      </c>
      <c r="X634" s="36">
        <v>-53078</v>
      </c>
      <c r="Y634" s="36">
        <v>-144446</v>
      </c>
      <c r="Z634" s="36">
        <v>0</v>
      </c>
      <c r="AA634" s="36">
        <v>-3826</v>
      </c>
      <c r="AB634" s="36">
        <v>-2599</v>
      </c>
      <c r="AC634" s="36">
        <v>-34016</v>
      </c>
      <c r="AD634" s="36">
        <v>0</v>
      </c>
      <c r="AE634" s="36"/>
      <c r="AF634" s="36"/>
      <c r="AG634" s="36"/>
      <c r="AH634" s="36"/>
      <c r="AI634" s="20">
        <f t="shared" si="28"/>
        <v>-237965</v>
      </c>
      <c r="AJ634" s="20">
        <f t="shared" si="29"/>
        <v>1</v>
      </c>
    </row>
    <row r="635" spans="1:36" x14ac:dyDescent="0.2">
      <c r="A635" s="17" t="s">
        <v>5230</v>
      </c>
      <c r="B635" s="17">
        <v>40177</v>
      </c>
      <c r="C635" s="20">
        <v>0</v>
      </c>
      <c r="D635" s="20">
        <v>23991</v>
      </c>
      <c r="M635" s="20">
        <v>370</v>
      </c>
      <c r="N635" s="20">
        <v>13179</v>
      </c>
      <c r="O635" s="20">
        <v>200153</v>
      </c>
      <c r="W635" s="20">
        <f t="shared" si="27"/>
        <v>237693</v>
      </c>
      <c r="X635" s="36">
        <v>-52866</v>
      </c>
      <c r="Y635" s="36">
        <v>-144026</v>
      </c>
      <c r="Z635" s="36">
        <v>0</v>
      </c>
      <c r="AA635" s="36">
        <v>-3810</v>
      </c>
      <c r="AB635" s="36">
        <v>-2599</v>
      </c>
      <c r="AC635" s="36">
        <v>-34393</v>
      </c>
      <c r="AD635" s="36">
        <v>0</v>
      </c>
      <c r="AE635" s="36"/>
      <c r="AF635" s="36"/>
      <c r="AG635" s="36"/>
      <c r="AH635" s="36"/>
      <c r="AI635" s="20">
        <f t="shared" si="28"/>
        <v>-237694</v>
      </c>
      <c r="AJ635" s="20">
        <f t="shared" si="29"/>
        <v>-1</v>
      </c>
    </row>
    <row r="636" spans="1:36" x14ac:dyDescent="0.2">
      <c r="A636" s="17" t="s">
        <v>5231</v>
      </c>
      <c r="B636" s="17">
        <v>40184</v>
      </c>
      <c r="C636" s="20">
        <v>0</v>
      </c>
      <c r="D636" s="20">
        <v>23991</v>
      </c>
      <c r="M636" s="20">
        <v>370</v>
      </c>
      <c r="N636" s="20">
        <v>13086</v>
      </c>
      <c r="O636" s="20">
        <v>200309</v>
      </c>
      <c r="W636" s="20">
        <f t="shared" si="27"/>
        <v>237756</v>
      </c>
      <c r="X636" s="36">
        <v>-51215</v>
      </c>
      <c r="Y636" s="36">
        <v>-147181</v>
      </c>
      <c r="Z636" s="36">
        <v>0</v>
      </c>
      <c r="AA636" s="36">
        <v>-3814</v>
      </c>
      <c r="AB636" s="36">
        <v>-2574</v>
      </c>
      <c r="AC636" s="36">
        <v>-32972</v>
      </c>
      <c r="AD636" s="36">
        <v>0</v>
      </c>
      <c r="AE636" s="36"/>
      <c r="AF636" s="36"/>
      <c r="AG636" s="36"/>
      <c r="AH636" s="36"/>
      <c r="AI636" s="20">
        <f t="shared" si="28"/>
        <v>-237756</v>
      </c>
      <c r="AJ636" s="20">
        <f t="shared" si="29"/>
        <v>0</v>
      </c>
    </row>
    <row r="637" spans="1:36" x14ac:dyDescent="0.2">
      <c r="A637" s="17" t="s">
        <v>5232</v>
      </c>
      <c r="B637" s="17">
        <v>40191</v>
      </c>
      <c r="C637" s="20">
        <v>0</v>
      </c>
      <c r="D637" s="20">
        <v>24092</v>
      </c>
      <c r="M637" s="20">
        <v>370</v>
      </c>
      <c r="N637" s="20">
        <v>12704</v>
      </c>
      <c r="O637" s="20">
        <v>204774</v>
      </c>
      <c r="W637" s="20">
        <f t="shared" si="27"/>
        <v>241940</v>
      </c>
      <c r="X637" s="36">
        <v>-50036</v>
      </c>
      <c r="Y637" s="36">
        <v>-151976</v>
      </c>
      <c r="Z637" s="36">
        <v>0</v>
      </c>
      <c r="AA637" s="36">
        <v>-3753</v>
      </c>
      <c r="AB637" s="36">
        <v>-2574</v>
      </c>
      <c r="AC637" s="36">
        <v>-33600</v>
      </c>
      <c r="AD637" s="36">
        <v>0</v>
      </c>
      <c r="AE637" s="36"/>
      <c r="AF637" s="36"/>
      <c r="AG637" s="36"/>
      <c r="AH637" s="36"/>
      <c r="AI637" s="20">
        <f t="shared" si="28"/>
        <v>-241939</v>
      </c>
      <c r="AJ637" s="20">
        <f t="shared" si="29"/>
        <v>1</v>
      </c>
    </row>
    <row r="638" spans="1:36" x14ac:dyDescent="0.2">
      <c r="A638" s="17" t="s">
        <v>5233</v>
      </c>
      <c r="B638" s="17">
        <v>40198</v>
      </c>
      <c r="C638" s="20">
        <v>0</v>
      </c>
      <c r="D638" s="20">
        <v>24797</v>
      </c>
      <c r="M638" s="20">
        <v>370</v>
      </c>
      <c r="N638" s="20">
        <v>12601</v>
      </c>
      <c r="O638" s="20">
        <v>207716</v>
      </c>
      <c r="W638" s="20">
        <f t="shared" si="27"/>
        <v>245484</v>
      </c>
      <c r="X638" s="36">
        <v>-49496</v>
      </c>
      <c r="Y638" s="36">
        <v>-156592</v>
      </c>
      <c r="Z638" s="36">
        <v>0</v>
      </c>
      <c r="AA638" s="36">
        <v>-3753</v>
      </c>
      <c r="AB638" s="36">
        <v>-2574</v>
      </c>
      <c r="AC638" s="36">
        <v>-33069</v>
      </c>
      <c r="AD638" s="36">
        <v>0</v>
      </c>
      <c r="AE638" s="36"/>
      <c r="AF638" s="36"/>
      <c r="AG638" s="36"/>
      <c r="AH638" s="36"/>
      <c r="AI638" s="20">
        <f t="shared" si="28"/>
        <v>-245484</v>
      </c>
      <c r="AJ638" s="20">
        <f t="shared" si="29"/>
        <v>0</v>
      </c>
    </row>
    <row r="639" spans="1:36" x14ac:dyDescent="0.2">
      <c r="A639" s="17" t="s">
        <v>5234</v>
      </c>
      <c r="B639" s="17">
        <v>40205</v>
      </c>
      <c r="C639" s="20">
        <v>0</v>
      </c>
      <c r="D639" s="20">
        <v>24797</v>
      </c>
      <c r="M639" s="20">
        <v>370</v>
      </c>
      <c r="N639" s="20">
        <v>12684</v>
      </c>
      <c r="O639" s="20">
        <v>211844</v>
      </c>
      <c r="W639" s="20">
        <f t="shared" ref="W639:W702" si="30">SUM(C639:D639,M639:P639)</f>
        <v>249695</v>
      </c>
      <c r="X639" s="36">
        <v>-49488</v>
      </c>
      <c r="Y639" s="36">
        <v>-159434</v>
      </c>
      <c r="Z639" s="36">
        <v>0</v>
      </c>
      <c r="AA639" s="36">
        <v>-3774</v>
      </c>
      <c r="AB639" s="36">
        <v>-2574</v>
      </c>
      <c r="AC639" s="36">
        <v>-34425</v>
      </c>
      <c r="AD639" s="36">
        <v>0</v>
      </c>
      <c r="AE639" s="36"/>
      <c r="AF639" s="36"/>
      <c r="AG639" s="36"/>
      <c r="AH639" s="36"/>
      <c r="AI639" s="20">
        <f t="shared" ref="AI639:AI702" si="31">SUM(X639:AD639)</f>
        <v>-249695</v>
      </c>
      <c r="AJ639" s="20">
        <f t="shared" ref="AJ639:AJ702" si="32">W639+AI639</f>
        <v>0</v>
      </c>
    </row>
    <row r="640" spans="1:36" x14ac:dyDescent="0.2">
      <c r="A640" s="17" t="s">
        <v>5235</v>
      </c>
      <c r="B640" s="17">
        <v>40212</v>
      </c>
      <c r="C640" s="20">
        <v>0</v>
      </c>
      <c r="D640" s="20">
        <v>24797</v>
      </c>
      <c r="M640" s="20">
        <v>370</v>
      </c>
      <c r="N640" s="20">
        <v>12714</v>
      </c>
      <c r="O640" s="20">
        <v>212810</v>
      </c>
      <c r="W640" s="20">
        <f t="shared" si="30"/>
        <v>250691</v>
      </c>
      <c r="X640" s="36">
        <v>-49615</v>
      </c>
      <c r="Y640" s="36">
        <v>-160079</v>
      </c>
      <c r="Z640" s="36">
        <v>0</v>
      </c>
      <c r="AA640" s="36">
        <v>-3832</v>
      </c>
      <c r="AB640" s="36">
        <v>-2574</v>
      </c>
      <c r="AC640" s="36">
        <v>-34591</v>
      </c>
      <c r="AD640" s="36">
        <v>0</v>
      </c>
      <c r="AE640" s="36"/>
      <c r="AF640" s="36"/>
      <c r="AG640" s="36"/>
      <c r="AH640" s="36"/>
      <c r="AI640" s="20">
        <f t="shared" si="31"/>
        <v>-250691</v>
      </c>
      <c r="AJ640" s="20">
        <f t="shared" si="32"/>
        <v>0</v>
      </c>
    </row>
    <row r="641" spans="1:36" x14ac:dyDescent="0.2">
      <c r="A641" s="17" t="s">
        <v>5236</v>
      </c>
      <c r="B641" s="17">
        <v>40219</v>
      </c>
      <c r="C641" s="20">
        <v>0</v>
      </c>
      <c r="D641" s="20">
        <v>20557</v>
      </c>
      <c r="M641" s="20">
        <v>370</v>
      </c>
      <c r="N641" s="20">
        <v>12763</v>
      </c>
      <c r="O641" s="20">
        <v>212260</v>
      </c>
      <c r="W641" s="20">
        <f t="shared" si="30"/>
        <v>245950</v>
      </c>
      <c r="X641" s="36">
        <v>-49531</v>
      </c>
      <c r="Y641" s="36">
        <v>-154730</v>
      </c>
      <c r="Z641" s="36">
        <v>0</v>
      </c>
      <c r="AA641" s="36">
        <v>-3915</v>
      </c>
      <c r="AB641" s="36">
        <v>-2574</v>
      </c>
      <c r="AC641" s="36">
        <v>-35200</v>
      </c>
      <c r="AD641" s="36">
        <v>0</v>
      </c>
      <c r="AE641" s="36"/>
      <c r="AF641" s="36"/>
      <c r="AG641" s="36"/>
      <c r="AH641" s="36"/>
      <c r="AI641" s="20">
        <f t="shared" si="31"/>
        <v>-245950</v>
      </c>
      <c r="AJ641" s="20">
        <f t="shared" si="32"/>
        <v>0</v>
      </c>
    </row>
    <row r="642" spans="1:36" x14ac:dyDescent="0.2">
      <c r="A642" s="17" t="s">
        <v>5237</v>
      </c>
      <c r="B642" s="17">
        <v>40226</v>
      </c>
      <c r="C642" s="20">
        <v>0</v>
      </c>
      <c r="D642" s="20">
        <v>20607</v>
      </c>
      <c r="M642" s="20">
        <v>370</v>
      </c>
      <c r="N642" s="20">
        <v>12691</v>
      </c>
      <c r="O642" s="20">
        <v>213612</v>
      </c>
      <c r="W642" s="20">
        <f t="shared" si="30"/>
        <v>247280</v>
      </c>
      <c r="X642" s="36">
        <v>-49486</v>
      </c>
      <c r="Y642" s="36">
        <v>-155165</v>
      </c>
      <c r="Z642" s="36">
        <v>0</v>
      </c>
      <c r="AA642" s="36">
        <v>-3881</v>
      </c>
      <c r="AB642" s="36">
        <v>-2574</v>
      </c>
      <c r="AC642" s="36">
        <v>-36174</v>
      </c>
      <c r="AD642" s="36">
        <v>0</v>
      </c>
      <c r="AE642" s="36"/>
      <c r="AF642" s="36"/>
      <c r="AG642" s="36"/>
      <c r="AH642" s="36"/>
      <c r="AI642" s="20">
        <f t="shared" si="31"/>
        <v>-247280</v>
      </c>
      <c r="AJ642" s="20">
        <f t="shared" si="32"/>
        <v>0</v>
      </c>
    </row>
    <row r="643" spans="1:36" x14ac:dyDescent="0.2">
      <c r="A643" s="17" t="s">
        <v>5238</v>
      </c>
      <c r="B643" s="17">
        <v>40233</v>
      </c>
      <c r="C643" s="20">
        <v>0</v>
      </c>
      <c r="D643" s="20">
        <v>21409</v>
      </c>
      <c r="M643" s="20">
        <v>370</v>
      </c>
      <c r="N643" s="20">
        <v>12807</v>
      </c>
      <c r="O643" s="20">
        <v>213380</v>
      </c>
      <c r="W643" s="20">
        <f t="shared" si="30"/>
        <v>247966</v>
      </c>
      <c r="X643" s="36">
        <v>-49628</v>
      </c>
      <c r="Y643" s="36">
        <v>-155646</v>
      </c>
      <c r="Z643" s="36">
        <v>0</v>
      </c>
      <c r="AA643" s="36">
        <v>-3950</v>
      </c>
      <c r="AB643" s="36">
        <v>-2574</v>
      </c>
      <c r="AC643" s="36">
        <v>-36167</v>
      </c>
      <c r="AD643" s="36">
        <v>0</v>
      </c>
      <c r="AE643" s="36"/>
      <c r="AF643" s="36"/>
      <c r="AG643" s="36"/>
      <c r="AH643" s="36"/>
      <c r="AI643" s="20">
        <f t="shared" si="31"/>
        <v>-247965</v>
      </c>
      <c r="AJ643" s="20">
        <f t="shared" si="32"/>
        <v>1</v>
      </c>
    </row>
    <row r="644" spans="1:36" x14ac:dyDescent="0.2">
      <c r="A644" s="17" t="s">
        <v>5239</v>
      </c>
      <c r="B644" s="17">
        <v>40240</v>
      </c>
      <c r="C644" s="20">
        <v>0</v>
      </c>
      <c r="D644" s="20">
        <v>21409</v>
      </c>
      <c r="M644" s="20">
        <v>370</v>
      </c>
      <c r="N644" s="20">
        <v>12883</v>
      </c>
      <c r="O644" s="20">
        <v>213612</v>
      </c>
      <c r="W644" s="20">
        <f t="shared" si="30"/>
        <v>248274</v>
      </c>
      <c r="X644" s="36">
        <v>-49798</v>
      </c>
      <c r="Y644" s="36">
        <v>-154642</v>
      </c>
      <c r="Z644" s="36">
        <v>0</v>
      </c>
      <c r="AA644" s="36">
        <v>-4049</v>
      </c>
      <c r="AB644" s="36">
        <v>-2574</v>
      </c>
      <c r="AC644" s="36">
        <v>-37212</v>
      </c>
      <c r="AD644" s="36">
        <v>0</v>
      </c>
      <c r="AE644" s="36"/>
      <c r="AF644" s="36"/>
      <c r="AG644" s="36"/>
      <c r="AH644" s="36"/>
      <c r="AI644" s="20">
        <f t="shared" si="31"/>
        <v>-248275</v>
      </c>
      <c r="AJ644" s="20">
        <f t="shared" si="32"/>
        <v>-1</v>
      </c>
    </row>
    <row r="645" spans="1:36" x14ac:dyDescent="0.2">
      <c r="A645" s="17" t="s">
        <v>5240</v>
      </c>
      <c r="B645" s="17">
        <v>40247</v>
      </c>
      <c r="C645" s="20">
        <v>0</v>
      </c>
      <c r="D645" s="20">
        <v>19909</v>
      </c>
      <c r="M645" s="20">
        <v>370</v>
      </c>
      <c r="N645" s="20">
        <v>14061</v>
      </c>
      <c r="O645" s="20">
        <v>216213</v>
      </c>
      <c r="W645" s="20">
        <f t="shared" si="30"/>
        <v>250553</v>
      </c>
      <c r="X645" s="36">
        <v>-49866</v>
      </c>
      <c r="Y645" s="36">
        <v>-150352</v>
      </c>
      <c r="Z645" s="36">
        <v>0</v>
      </c>
      <c r="AA645" s="36">
        <v>-5403</v>
      </c>
      <c r="AB645" s="36">
        <v>-2574</v>
      </c>
      <c r="AC645" s="36">
        <v>-42357</v>
      </c>
      <c r="AD645" s="36">
        <v>0</v>
      </c>
      <c r="AE645" s="36"/>
      <c r="AF645" s="36"/>
      <c r="AG645" s="36"/>
      <c r="AH645" s="36"/>
      <c r="AI645" s="20">
        <f t="shared" si="31"/>
        <v>-250552</v>
      </c>
      <c r="AJ645" s="20">
        <f t="shared" si="32"/>
        <v>1</v>
      </c>
    </row>
    <row r="646" spans="1:36" x14ac:dyDescent="0.2">
      <c r="A646" s="17" t="s">
        <v>5241</v>
      </c>
      <c r="B646" s="17">
        <v>40254</v>
      </c>
      <c r="C646" s="20">
        <v>0</v>
      </c>
      <c r="D646" s="20">
        <v>19909</v>
      </c>
      <c r="M646" s="20">
        <v>370</v>
      </c>
      <c r="N646" s="20">
        <v>14016</v>
      </c>
      <c r="O646" s="20">
        <v>215175</v>
      </c>
      <c r="W646" s="20">
        <f t="shared" si="30"/>
        <v>249470</v>
      </c>
      <c r="X646" s="36">
        <v>-50041</v>
      </c>
      <c r="Y646" s="36">
        <v>-150034</v>
      </c>
      <c r="Z646" s="36">
        <v>0</v>
      </c>
      <c r="AA646" s="36">
        <v>-5287</v>
      </c>
      <c r="AB646" s="36">
        <v>-2574</v>
      </c>
      <c r="AC646" s="36">
        <v>-41534</v>
      </c>
      <c r="AD646" s="36">
        <v>0</v>
      </c>
      <c r="AE646" s="36"/>
      <c r="AF646" s="36"/>
      <c r="AG646" s="36"/>
      <c r="AH646" s="36"/>
      <c r="AI646" s="20">
        <f t="shared" si="31"/>
        <v>-249470</v>
      </c>
      <c r="AJ646" s="20">
        <f t="shared" si="32"/>
        <v>0</v>
      </c>
    </row>
    <row r="647" spans="1:36" x14ac:dyDescent="0.2">
      <c r="A647" s="17" t="s">
        <v>5242</v>
      </c>
      <c r="B647" s="17">
        <v>40261</v>
      </c>
      <c r="C647" s="20">
        <v>0</v>
      </c>
      <c r="D647" s="20">
        <v>23504</v>
      </c>
      <c r="M647" s="20">
        <v>370</v>
      </c>
      <c r="N647" s="20">
        <v>14071</v>
      </c>
      <c r="O647" s="20">
        <v>213676</v>
      </c>
      <c r="W647" s="20">
        <f t="shared" si="30"/>
        <v>251621</v>
      </c>
      <c r="X647" s="36">
        <v>-50400</v>
      </c>
      <c r="Y647" s="36">
        <v>-153404</v>
      </c>
      <c r="Z647" s="36">
        <v>0</v>
      </c>
      <c r="AA647" s="36">
        <v>-4071</v>
      </c>
      <c r="AB647" s="36">
        <v>-2574</v>
      </c>
      <c r="AC647" s="36">
        <v>-41172</v>
      </c>
      <c r="AD647" s="36">
        <v>0</v>
      </c>
      <c r="AE647" s="36"/>
      <c r="AF647" s="36"/>
      <c r="AG647" s="36"/>
      <c r="AH647" s="36"/>
      <c r="AI647" s="20">
        <f t="shared" si="31"/>
        <v>-251621</v>
      </c>
      <c r="AJ647" s="20">
        <f t="shared" si="32"/>
        <v>0</v>
      </c>
    </row>
    <row r="648" spans="1:36" x14ac:dyDescent="0.2">
      <c r="A648" s="17" t="s">
        <v>5243</v>
      </c>
      <c r="B648" s="17">
        <v>40268</v>
      </c>
      <c r="C648" s="20">
        <v>0</v>
      </c>
      <c r="D648" s="20">
        <v>23504</v>
      </c>
      <c r="M648" s="20">
        <v>370</v>
      </c>
      <c r="N648" s="20">
        <v>14014</v>
      </c>
      <c r="O648" s="20">
        <v>214448</v>
      </c>
      <c r="W648" s="20">
        <f t="shared" si="30"/>
        <v>252336</v>
      </c>
      <c r="X648" s="36">
        <v>-51249</v>
      </c>
      <c r="Y648" s="36">
        <v>-152945</v>
      </c>
      <c r="Z648" s="36">
        <v>0</v>
      </c>
      <c r="AA648" s="36">
        <v>-4006</v>
      </c>
      <c r="AB648" s="36">
        <v>-2574</v>
      </c>
      <c r="AC648" s="36">
        <v>-41561</v>
      </c>
      <c r="AD648" s="36">
        <v>0</v>
      </c>
      <c r="AE648" s="36"/>
      <c r="AF648" s="36"/>
      <c r="AG648" s="36"/>
      <c r="AH648" s="36"/>
      <c r="AI648" s="20">
        <f t="shared" si="31"/>
        <v>-252335</v>
      </c>
      <c r="AJ648" s="20">
        <f t="shared" si="32"/>
        <v>1</v>
      </c>
    </row>
    <row r="649" spans="1:36" x14ac:dyDescent="0.2">
      <c r="A649" s="17" t="s">
        <v>5244</v>
      </c>
      <c r="B649" s="17">
        <v>40275</v>
      </c>
      <c r="C649" s="20">
        <v>0</v>
      </c>
      <c r="D649" s="20">
        <v>23504</v>
      </c>
      <c r="M649" s="20">
        <v>370</v>
      </c>
      <c r="N649" s="20">
        <v>13942</v>
      </c>
      <c r="O649" s="20">
        <v>213854</v>
      </c>
      <c r="W649" s="20">
        <f t="shared" si="30"/>
        <v>251670</v>
      </c>
      <c r="X649" s="36">
        <v>-51809</v>
      </c>
      <c r="Y649" s="36">
        <v>-152307</v>
      </c>
      <c r="Z649" s="36">
        <v>0</v>
      </c>
      <c r="AA649" s="36">
        <v>-3992</v>
      </c>
      <c r="AB649" s="36">
        <v>-2574</v>
      </c>
      <c r="AC649" s="36">
        <v>-40988</v>
      </c>
      <c r="AD649" s="36">
        <v>0</v>
      </c>
      <c r="AE649" s="36"/>
      <c r="AF649" s="36"/>
      <c r="AG649" s="36"/>
      <c r="AH649" s="36"/>
      <c r="AI649" s="20">
        <f t="shared" si="31"/>
        <v>-251670</v>
      </c>
      <c r="AJ649" s="20">
        <f t="shared" si="32"/>
        <v>0</v>
      </c>
    </row>
    <row r="650" spans="1:36" x14ac:dyDescent="0.2">
      <c r="A650" s="17" t="s">
        <v>5245</v>
      </c>
      <c r="B650" s="17">
        <v>40282</v>
      </c>
      <c r="C650" s="20">
        <v>0</v>
      </c>
      <c r="D650" s="20">
        <v>21894</v>
      </c>
      <c r="M650" s="20">
        <v>370</v>
      </c>
      <c r="N650" s="20">
        <v>13729</v>
      </c>
      <c r="O650" s="20">
        <v>214319</v>
      </c>
      <c r="W650" s="20">
        <f t="shared" si="30"/>
        <v>250312</v>
      </c>
      <c r="X650" s="36">
        <v>-50611</v>
      </c>
      <c r="Y650" s="36">
        <v>-151924</v>
      </c>
      <c r="Z650" s="36">
        <v>0</v>
      </c>
      <c r="AA650" s="36">
        <v>-3930</v>
      </c>
      <c r="AB650" s="36">
        <v>-2574</v>
      </c>
      <c r="AC650" s="36">
        <v>-41272</v>
      </c>
      <c r="AD650" s="36">
        <v>0</v>
      </c>
      <c r="AE650" s="36"/>
      <c r="AF650" s="36"/>
      <c r="AG650" s="36"/>
      <c r="AH650" s="36"/>
      <c r="AI650" s="20">
        <f t="shared" si="31"/>
        <v>-250311</v>
      </c>
      <c r="AJ650" s="20">
        <f t="shared" si="32"/>
        <v>1</v>
      </c>
    </row>
    <row r="651" spans="1:36" x14ac:dyDescent="0.2">
      <c r="A651" s="17" t="s">
        <v>5246</v>
      </c>
      <c r="B651" s="17">
        <v>40289</v>
      </c>
      <c r="C651" s="20">
        <v>0</v>
      </c>
      <c r="D651" s="20">
        <v>20994</v>
      </c>
      <c r="M651" s="20">
        <v>370</v>
      </c>
      <c r="N651" s="20">
        <v>13692</v>
      </c>
      <c r="O651" s="20">
        <v>215124</v>
      </c>
      <c r="W651" s="20">
        <f t="shared" si="30"/>
        <v>250180</v>
      </c>
      <c r="X651" s="36">
        <v>-50514</v>
      </c>
      <c r="Y651" s="36">
        <v>-151808</v>
      </c>
      <c r="Z651" s="36">
        <v>0</v>
      </c>
      <c r="AA651" s="36">
        <v>-3945</v>
      </c>
      <c r="AB651" s="36">
        <v>-2574</v>
      </c>
      <c r="AC651" s="36">
        <v>-41338</v>
      </c>
      <c r="AD651" s="36">
        <v>0</v>
      </c>
      <c r="AE651" s="36"/>
      <c r="AF651" s="36"/>
      <c r="AG651" s="36"/>
      <c r="AH651" s="36"/>
      <c r="AI651" s="20">
        <f t="shared" si="31"/>
        <v>-250179</v>
      </c>
      <c r="AJ651" s="20">
        <f t="shared" si="32"/>
        <v>1</v>
      </c>
    </row>
    <row r="652" spans="1:36" x14ac:dyDescent="0.2">
      <c r="A652" s="17" t="s">
        <v>5247</v>
      </c>
      <c r="B652" s="17">
        <v>40296</v>
      </c>
      <c r="C652" s="20">
        <v>0</v>
      </c>
      <c r="D652" s="20">
        <v>20994</v>
      </c>
      <c r="M652" s="20">
        <v>370</v>
      </c>
      <c r="N652" s="20">
        <v>13745</v>
      </c>
      <c r="O652" s="20">
        <v>214797</v>
      </c>
      <c r="W652" s="20">
        <f t="shared" si="30"/>
        <v>249906</v>
      </c>
      <c r="X652" s="36">
        <v>-50745</v>
      </c>
      <c r="Y652" s="36">
        <v>-151493</v>
      </c>
      <c r="Z652" s="36">
        <v>0</v>
      </c>
      <c r="AA652" s="36">
        <v>-3995</v>
      </c>
      <c r="AB652" s="36">
        <v>-2574</v>
      </c>
      <c r="AC652" s="36">
        <v>-41098</v>
      </c>
      <c r="AD652" s="36">
        <v>0</v>
      </c>
      <c r="AE652" s="36"/>
      <c r="AF652" s="36"/>
      <c r="AG652" s="36"/>
      <c r="AH652" s="36"/>
      <c r="AI652" s="20">
        <f t="shared" si="31"/>
        <v>-249905</v>
      </c>
      <c r="AJ652" s="20">
        <f t="shared" si="32"/>
        <v>1</v>
      </c>
    </row>
    <row r="653" spans="1:36" x14ac:dyDescent="0.2">
      <c r="A653" s="17" t="s">
        <v>5248</v>
      </c>
      <c r="B653" s="17">
        <v>40303</v>
      </c>
      <c r="C653" s="20">
        <v>0</v>
      </c>
      <c r="D653" s="20">
        <v>20994</v>
      </c>
      <c r="M653" s="20">
        <v>370</v>
      </c>
      <c r="N653" s="20">
        <v>13779</v>
      </c>
      <c r="O653" s="20">
        <v>214399</v>
      </c>
      <c r="W653" s="20">
        <f t="shared" si="30"/>
        <v>249542</v>
      </c>
      <c r="X653" s="36">
        <v>-51469</v>
      </c>
      <c r="Y653" s="36">
        <v>-150509</v>
      </c>
      <c r="Z653" s="36">
        <v>0</v>
      </c>
      <c r="AA653" s="36">
        <v>-4017</v>
      </c>
      <c r="AB653" s="36">
        <v>-2574</v>
      </c>
      <c r="AC653" s="36">
        <v>-40972</v>
      </c>
      <c r="AD653" s="36">
        <v>0</v>
      </c>
      <c r="AE653" s="36"/>
      <c r="AF653" s="36"/>
      <c r="AG653" s="36"/>
      <c r="AH653" s="36"/>
      <c r="AI653" s="20">
        <f t="shared" si="31"/>
        <v>-249541</v>
      </c>
      <c r="AJ653" s="20">
        <f t="shared" si="32"/>
        <v>1</v>
      </c>
    </row>
    <row r="654" spans="1:36" x14ac:dyDescent="0.2">
      <c r="A654" s="17" t="s">
        <v>5249</v>
      </c>
      <c r="B654" s="17">
        <v>40310</v>
      </c>
      <c r="C654" s="20">
        <v>0</v>
      </c>
      <c r="D654" s="20">
        <v>20994</v>
      </c>
      <c r="M654" s="20">
        <v>370</v>
      </c>
      <c r="N654" s="20">
        <v>13808</v>
      </c>
      <c r="O654" s="20">
        <v>214755</v>
      </c>
      <c r="W654" s="20">
        <f t="shared" si="30"/>
        <v>249927</v>
      </c>
      <c r="X654" s="36">
        <v>-50850</v>
      </c>
      <c r="Y654" s="36">
        <v>-151440</v>
      </c>
      <c r="Z654" s="36">
        <v>0</v>
      </c>
      <c r="AA654" s="36">
        <v>-4087</v>
      </c>
      <c r="AB654" s="36">
        <v>-2574</v>
      </c>
      <c r="AC654" s="36">
        <v>-40976</v>
      </c>
      <c r="AD654" s="36">
        <v>0</v>
      </c>
      <c r="AE654" s="36"/>
      <c r="AF654" s="36"/>
      <c r="AG654" s="36"/>
      <c r="AH654" s="36"/>
      <c r="AI654" s="20">
        <f t="shared" si="31"/>
        <v>-249927</v>
      </c>
      <c r="AJ654" s="20">
        <f t="shared" si="32"/>
        <v>0</v>
      </c>
    </row>
    <row r="655" spans="1:36" x14ac:dyDescent="0.2">
      <c r="A655" s="17" t="s">
        <v>5250</v>
      </c>
      <c r="B655" s="17">
        <v>40317</v>
      </c>
      <c r="C655" s="20">
        <v>0</v>
      </c>
      <c r="D655" s="20">
        <v>20994</v>
      </c>
      <c r="M655" s="20">
        <v>370</v>
      </c>
      <c r="N655" s="20">
        <v>13825</v>
      </c>
      <c r="O655" s="20">
        <v>215976</v>
      </c>
      <c r="W655" s="20">
        <f t="shared" si="30"/>
        <v>251165</v>
      </c>
      <c r="X655" s="36">
        <v>-50920</v>
      </c>
      <c r="Y655" s="36">
        <v>-150934</v>
      </c>
      <c r="Z655" s="36">
        <v>0</v>
      </c>
      <c r="AA655" s="36">
        <v>-4230</v>
      </c>
      <c r="AB655" s="36">
        <v>-2574</v>
      </c>
      <c r="AC655" s="36">
        <v>-42506</v>
      </c>
      <c r="AD655" s="36">
        <v>0</v>
      </c>
      <c r="AE655" s="36"/>
      <c r="AF655" s="36"/>
      <c r="AG655" s="36"/>
      <c r="AH655" s="36"/>
      <c r="AI655" s="20">
        <f t="shared" si="31"/>
        <v>-251164</v>
      </c>
      <c r="AJ655" s="20">
        <f t="shared" si="32"/>
        <v>1</v>
      </c>
    </row>
    <row r="656" spans="1:36" x14ac:dyDescent="0.2">
      <c r="A656" s="17" t="s">
        <v>5251</v>
      </c>
      <c r="B656" s="17">
        <v>40324</v>
      </c>
      <c r="C656" s="20">
        <v>0</v>
      </c>
      <c r="D656" s="20">
        <v>21742</v>
      </c>
      <c r="M656" s="20">
        <v>370</v>
      </c>
      <c r="N656" s="20">
        <v>13756</v>
      </c>
      <c r="O656" s="20">
        <v>216435</v>
      </c>
      <c r="W656" s="20">
        <f t="shared" si="30"/>
        <v>252303</v>
      </c>
      <c r="X656" s="36">
        <v>-51164</v>
      </c>
      <c r="Y656" s="36">
        <v>-150918</v>
      </c>
      <c r="Z656" s="36">
        <v>0</v>
      </c>
      <c r="AA656" s="36">
        <v>-4202</v>
      </c>
      <c r="AB656" s="36">
        <v>-2574</v>
      </c>
      <c r="AC656" s="36">
        <v>-43444</v>
      </c>
      <c r="AD656" s="36">
        <v>0</v>
      </c>
      <c r="AE656" s="36"/>
      <c r="AF656" s="36"/>
      <c r="AG656" s="36"/>
      <c r="AH656" s="36"/>
      <c r="AI656" s="20">
        <f t="shared" si="31"/>
        <v>-252302</v>
      </c>
      <c r="AJ656" s="20">
        <f t="shared" si="32"/>
        <v>1</v>
      </c>
    </row>
    <row r="657" spans="1:36" x14ac:dyDescent="0.2">
      <c r="A657" s="17" t="s">
        <v>5252</v>
      </c>
      <c r="B657" s="17">
        <v>40331</v>
      </c>
      <c r="C657" s="20">
        <v>0</v>
      </c>
      <c r="D657" s="20">
        <v>21742</v>
      </c>
      <c r="M657" s="20">
        <v>370</v>
      </c>
      <c r="N657" s="20">
        <v>13679</v>
      </c>
      <c r="O657" s="20">
        <v>216219</v>
      </c>
      <c r="W657" s="20">
        <f t="shared" si="30"/>
        <v>252010</v>
      </c>
      <c r="X657" s="36">
        <v>-51871</v>
      </c>
      <c r="Y657" s="36">
        <v>-150899</v>
      </c>
      <c r="Z657" s="36">
        <v>0</v>
      </c>
      <c r="AA657" s="36">
        <v>-4163</v>
      </c>
      <c r="AB657" s="36">
        <v>-2570</v>
      </c>
      <c r="AC657" s="36">
        <v>-42507</v>
      </c>
      <c r="AD657" s="36">
        <v>0</v>
      </c>
      <c r="AE657" s="36"/>
      <c r="AF657" s="36"/>
      <c r="AG657" s="36"/>
      <c r="AH657" s="36"/>
      <c r="AI657" s="20">
        <f t="shared" si="31"/>
        <v>-252010</v>
      </c>
      <c r="AJ657" s="20">
        <f t="shared" si="32"/>
        <v>0</v>
      </c>
    </row>
    <row r="658" spans="1:36" x14ac:dyDescent="0.2">
      <c r="A658" s="17" t="s">
        <v>5253</v>
      </c>
      <c r="B658" s="17">
        <v>40338</v>
      </c>
      <c r="C658" s="20">
        <v>0</v>
      </c>
      <c r="D658" s="20">
        <v>21742</v>
      </c>
      <c r="M658" s="20">
        <v>370</v>
      </c>
      <c r="N658" s="20">
        <v>13545</v>
      </c>
      <c r="O658" s="20">
        <v>215598</v>
      </c>
      <c r="W658" s="20">
        <f t="shared" si="30"/>
        <v>251255</v>
      </c>
      <c r="X658" s="36">
        <v>-51302</v>
      </c>
      <c r="Y658" s="36">
        <v>-149564</v>
      </c>
      <c r="Z658" s="36">
        <v>0</v>
      </c>
      <c r="AA658" s="36">
        <v>-4159</v>
      </c>
      <c r="AB658" s="36">
        <v>-2562</v>
      </c>
      <c r="AC658" s="36">
        <v>-43668</v>
      </c>
      <c r="AD658" s="36">
        <v>0</v>
      </c>
      <c r="AE658" s="36"/>
      <c r="AF658" s="36"/>
      <c r="AG658" s="36"/>
      <c r="AH658" s="36"/>
      <c r="AI658" s="20">
        <f t="shared" si="31"/>
        <v>-251255</v>
      </c>
      <c r="AJ658" s="20">
        <f t="shared" si="32"/>
        <v>0</v>
      </c>
    </row>
    <row r="659" spans="1:36" x14ac:dyDescent="0.2">
      <c r="A659" s="17" t="s">
        <v>5254</v>
      </c>
      <c r="B659" s="17">
        <v>40345</v>
      </c>
      <c r="C659" s="20">
        <v>0</v>
      </c>
      <c r="D659" s="20">
        <v>20392</v>
      </c>
      <c r="M659" s="20">
        <v>370</v>
      </c>
      <c r="N659" s="20">
        <v>13531</v>
      </c>
      <c r="O659" s="20">
        <v>216363</v>
      </c>
      <c r="W659" s="20">
        <f t="shared" si="30"/>
        <v>250656</v>
      </c>
      <c r="X659" s="36">
        <v>-51206</v>
      </c>
      <c r="Y659" s="36">
        <v>-149003</v>
      </c>
      <c r="Z659" s="36">
        <v>0</v>
      </c>
      <c r="AA659" s="36">
        <v>-4093</v>
      </c>
      <c r="AB659" s="36">
        <v>-2570</v>
      </c>
      <c r="AC659" s="36">
        <v>-43783</v>
      </c>
      <c r="AD659" s="36">
        <v>0</v>
      </c>
      <c r="AE659" s="36"/>
      <c r="AF659" s="36"/>
      <c r="AG659" s="36"/>
      <c r="AH659" s="36"/>
      <c r="AI659" s="20">
        <f t="shared" si="31"/>
        <v>-250655</v>
      </c>
      <c r="AJ659" s="20">
        <f t="shared" si="32"/>
        <v>1</v>
      </c>
    </row>
    <row r="660" spans="1:36" x14ac:dyDescent="0.2">
      <c r="A660" s="17" t="s">
        <v>5255</v>
      </c>
      <c r="B660" s="17">
        <v>40352</v>
      </c>
      <c r="C660" s="20">
        <v>0</v>
      </c>
      <c r="D660" s="20">
        <v>21202</v>
      </c>
      <c r="M660" s="20">
        <v>370</v>
      </c>
      <c r="N660" s="20">
        <v>13573</v>
      </c>
      <c r="O660" s="20">
        <v>216250</v>
      </c>
      <c r="W660" s="20">
        <f t="shared" si="30"/>
        <v>251395</v>
      </c>
      <c r="X660" s="36">
        <v>-51145</v>
      </c>
      <c r="Y660" s="36">
        <v>-149685</v>
      </c>
      <c r="Z660" s="36">
        <v>0</v>
      </c>
      <c r="AA660" s="36">
        <v>-4081</v>
      </c>
      <c r="AB660" s="36">
        <v>-2570</v>
      </c>
      <c r="AC660" s="36">
        <v>-43913</v>
      </c>
      <c r="AD660" s="36">
        <v>0</v>
      </c>
      <c r="AE660" s="36"/>
      <c r="AF660" s="36"/>
      <c r="AG660" s="36"/>
      <c r="AH660" s="36"/>
      <c r="AI660" s="20">
        <f t="shared" si="31"/>
        <v>-251394</v>
      </c>
      <c r="AJ660" s="20">
        <f t="shared" si="32"/>
        <v>1</v>
      </c>
    </row>
    <row r="661" spans="1:36" x14ac:dyDescent="0.2">
      <c r="A661" s="17" t="s">
        <v>5256</v>
      </c>
      <c r="B661" s="17">
        <v>40359</v>
      </c>
      <c r="C661" s="20">
        <v>0</v>
      </c>
      <c r="D661" s="20">
        <v>21202</v>
      </c>
      <c r="M661" s="20">
        <v>370</v>
      </c>
      <c r="N661" s="20">
        <v>13631</v>
      </c>
      <c r="O661" s="20">
        <v>215469</v>
      </c>
      <c r="W661" s="20">
        <f t="shared" si="30"/>
        <v>250672</v>
      </c>
      <c r="X661" s="36">
        <v>-51412</v>
      </c>
      <c r="Y661" s="36">
        <v>-149534</v>
      </c>
      <c r="Z661" s="36">
        <v>0</v>
      </c>
      <c r="AA661" s="36">
        <v>-4067</v>
      </c>
      <c r="AB661" s="36">
        <v>-2570</v>
      </c>
      <c r="AC661" s="36">
        <v>-43088</v>
      </c>
      <c r="AD661" s="36">
        <v>0</v>
      </c>
      <c r="AE661" s="36"/>
      <c r="AF661" s="36"/>
      <c r="AG661" s="36"/>
      <c r="AH661" s="36"/>
      <c r="AI661" s="20">
        <f t="shared" si="31"/>
        <v>-250671</v>
      </c>
      <c r="AJ661" s="20">
        <f t="shared" si="32"/>
        <v>1</v>
      </c>
    </row>
    <row r="662" spans="1:36" x14ac:dyDescent="0.2">
      <c r="A662" s="17" t="s">
        <v>5257</v>
      </c>
      <c r="B662" s="17">
        <v>40366</v>
      </c>
      <c r="C662" s="20">
        <v>0</v>
      </c>
      <c r="D662" s="20">
        <v>21202</v>
      </c>
      <c r="M662" s="20">
        <v>370</v>
      </c>
      <c r="N662" s="20">
        <v>13645</v>
      </c>
      <c r="O662" s="20">
        <v>214964</v>
      </c>
      <c r="W662" s="20">
        <f t="shared" si="30"/>
        <v>250181</v>
      </c>
      <c r="X662" s="36">
        <v>-51267</v>
      </c>
      <c r="Y662" s="36">
        <v>-150041</v>
      </c>
      <c r="Z662" s="36">
        <v>0</v>
      </c>
      <c r="AA662" s="36">
        <v>-4007</v>
      </c>
      <c r="AB662" s="36">
        <v>-2570</v>
      </c>
      <c r="AC662" s="36">
        <v>-42295</v>
      </c>
      <c r="AD662" s="36">
        <v>0</v>
      </c>
      <c r="AE662" s="36"/>
      <c r="AF662" s="36"/>
      <c r="AG662" s="36"/>
      <c r="AH662" s="36"/>
      <c r="AI662" s="20">
        <f t="shared" si="31"/>
        <v>-250180</v>
      </c>
      <c r="AJ662" s="20">
        <f t="shared" si="32"/>
        <v>1</v>
      </c>
    </row>
    <row r="663" spans="1:36" x14ac:dyDescent="0.2">
      <c r="A663" s="17" t="s">
        <v>5258</v>
      </c>
      <c r="B663" s="17">
        <v>40373</v>
      </c>
      <c r="C663" s="20">
        <v>0</v>
      </c>
      <c r="D663" s="20">
        <v>19852</v>
      </c>
      <c r="M663" s="20">
        <v>370</v>
      </c>
      <c r="N663" s="20">
        <v>13606</v>
      </c>
      <c r="O663" s="20">
        <v>216033</v>
      </c>
      <c r="W663" s="20">
        <f t="shared" si="30"/>
        <v>249861</v>
      </c>
      <c r="X663" s="36">
        <v>-51063</v>
      </c>
      <c r="Y663" s="36">
        <v>-148110</v>
      </c>
      <c r="Z663" s="36">
        <v>0</v>
      </c>
      <c r="AA663" s="36">
        <v>-3986</v>
      </c>
      <c r="AB663" s="36">
        <v>-2570</v>
      </c>
      <c r="AC663" s="36">
        <v>-44132</v>
      </c>
      <c r="AD663" s="36">
        <v>0</v>
      </c>
      <c r="AE663" s="36"/>
      <c r="AF663" s="36"/>
      <c r="AG663" s="36"/>
      <c r="AH663" s="36"/>
      <c r="AI663" s="20">
        <f t="shared" si="31"/>
        <v>-249861</v>
      </c>
      <c r="AJ663" s="20">
        <f t="shared" si="32"/>
        <v>0</v>
      </c>
    </row>
    <row r="664" spans="1:36" x14ac:dyDescent="0.2">
      <c r="A664" s="17" t="s">
        <v>5259</v>
      </c>
      <c r="B664" s="17">
        <v>40380</v>
      </c>
      <c r="C664" s="20">
        <v>0</v>
      </c>
      <c r="D664" s="20">
        <v>22797</v>
      </c>
      <c r="M664" s="20">
        <v>370</v>
      </c>
      <c r="N664" s="20">
        <v>13652</v>
      </c>
      <c r="O664" s="20">
        <v>215099</v>
      </c>
      <c r="W664" s="20">
        <f t="shared" si="30"/>
        <v>251918</v>
      </c>
      <c r="X664" s="36">
        <v>-51037</v>
      </c>
      <c r="Y664" s="36">
        <v>-150937</v>
      </c>
      <c r="Z664" s="36">
        <v>0</v>
      </c>
      <c r="AA664" s="36">
        <v>-4008</v>
      </c>
      <c r="AB664" s="36">
        <v>-2570</v>
      </c>
      <c r="AC664" s="36">
        <v>-43364</v>
      </c>
      <c r="AD664" s="36">
        <v>0</v>
      </c>
      <c r="AE664" s="36"/>
      <c r="AF664" s="36"/>
      <c r="AG664" s="36"/>
      <c r="AH664" s="36"/>
      <c r="AI664" s="20">
        <f t="shared" si="31"/>
        <v>-251916</v>
      </c>
      <c r="AJ664" s="20">
        <f t="shared" si="32"/>
        <v>2</v>
      </c>
    </row>
    <row r="665" spans="1:36" x14ac:dyDescent="0.2">
      <c r="A665" s="17" t="s">
        <v>5260</v>
      </c>
      <c r="B665" s="17">
        <v>40387</v>
      </c>
      <c r="C665" s="20">
        <v>0</v>
      </c>
      <c r="D665" s="20">
        <v>22797</v>
      </c>
      <c r="M665" s="20">
        <v>370</v>
      </c>
      <c r="N665" s="20">
        <v>13605</v>
      </c>
      <c r="O665" s="20">
        <v>215380</v>
      </c>
      <c r="W665" s="20">
        <f t="shared" si="30"/>
        <v>252152</v>
      </c>
      <c r="X665" s="36">
        <v>-51285</v>
      </c>
      <c r="Y665" s="36">
        <v>-151116</v>
      </c>
      <c r="Z665" s="36">
        <v>0</v>
      </c>
      <c r="AA665" s="36">
        <v>-3903</v>
      </c>
      <c r="AB665" s="36">
        <v>-2570</v>
      </c>
      <c r="AC665" s="36">
        <v>-43277</v>
      </c>
      <c r="AD665" s="36">
        <v>0</v>
      </c>
      <c r="AE665" s="36"/>
      <c r="AF665" s="36"/>
      <c r="AG665" s="36"/>
      <c r="AH665" s="36"/>
      <c r="AI665" s="20">
        <f t="shared" si="31"/>
        <v>-252151</v>
      </c>
      <c r="AJ665" s="20">
        <f t="shared" si="32"/>
        <v>1</v>
      </c>
    </row>
    <row r="666" spans="1:36" x14ac:dyDescent="0.2">
      <c r="A666" s="17" t="s">
        <v>5261</v>
      </c>
      <c r="B666" s="17">
        <v>40394</v>
      </c>
      <c r="C666" s="20">
        <v>0</v>
      </c>
      <c r="D666" s="20">
        <v>22797</v>
      </c>
      <c r="M666" s="20">
        <v>370</v>
      </c>
      <c r="N666" s="20">
        <v>13659</v>
      </c>
      <c r="O666" s="20">
        <v>214638</v>
      </c>
      <c r="W666" s="20">
        <f t="shared" si="30"/>
        <v>251464</v>
      </c>
      <c r="X666" s="36">
        <v>-51383</v>
      </c>
      <c r="Y666" s="36">
        <v>-151165</v>
      </c>
      <c r="Z666" s="36">
        <v>0</v>
      </c>
      <c r="AA666" s="36">
        <v>-3846</v>
      </c>
      <c r="AB666" s="36">
        <v>-2570</v>
      </c>
      <c r="AC666" s="36">
        <v>-42500</v>
      </c>
      <c r="AD666" s="36">
        <v>0</v>
      </c>
      <c r="AE666" s="36"/>
      <c r="AF666" s="36"/>
      <c r="AG666" s="36"/>
      <c r="AH666" s="36"/>
      <c r="AI666" s="20">
        <f t="shared" si="31"/>
        <v>-251464</v>
      </c>
      <c r="AJ666" s="20">
        <f t="shared" si="32"/>
        <v>0</v>
      </c>
    </row>
    <row r="667" spans="1:36" x14ac:dyDescent="0.2">
      <c r="A667" s="17" t="s">
        <v>5262</v>
      </c>
      <c r="B667" s="17">
        <v>40401</v>
      </c>
      <c r="C667" s="20">
        <v>0</v>
      </c>
      <c r="D667" s="20">
        <v>22797</v>
      </c>
      <c r="M667" s="20">
        <v>370</v>
      </c>
      <c r="N667" s="20">
        <v>13711</v>
      </c>
      <c r="O667" s="20">
        <v>214082</v>
      </c>
      <c r="W667" s="20">
        <f t="shared" si="30"/>
        <v>250960</v>
      </c>
      <c r="X667" s="36">
        <v>-51089</v>
      </c>
      <c r="Y667" s="36">
        <v>-151676</v>
      </c>
      <c r="Z667" s="36">
        <v>0</v>
      </c>
      <c r="AA667" s="36">
        <v>-3905</v>
      </c>
      <c r="AB667" s="36">
        <v>-2570</v>
      </c>
      <c r="AC667" s="36">
        <v>-41719</v>
      </c>
      <c r="AD667" s="36">
        <v>0</v>
      </c>
      <c r="AE667" s="36"/>
      <c r="AF667" s="36"/>
      <c r="AG667" s="36"/>
      <c r="AH667" s="36"/>
      <c r="AI667" s="20">
        <f t="shared" si="31"/>
        <v>-250959</v>
      </c>
      <c r="AJ667" s="20">
        <f t="shared" si="32"/>
        <v>1</v>
      </c>
    </row>
    <row r="668" spans="1:36" x14ac:dyDescent="0.2">
      <c r="A668" s="17" t="s">
        <v>5263</v>
      </c>
      <c r="B668" s="17">
        <v>40408</v>
      </c>
      <c r="C668" s="20">
        <v>0</v>
      </c>
      <c r="D668" s="20">
        <v>21447</v>
      </c>
      <c r="M668" s="20">
        <v>370</v>
      </c>
      <c r="N668" s="20">
        <v>13718</v>
      </c>
      <c r="O668" s="20">
        <v>214383</v>
      </c>
      <c r="W668" s="20">
        <f t="shared" si="30"/>
        <v>249918</v>
      </c>
      <c r="X668" s="36">
        <v>-51105</v>
      </c>
      <c r="Y668" s="36">
        <v>-151082</v>
      </c>
      <c r="Z668" s="36">
        <v>0</v>
      </c>
      <c r="AA668" s="36">
        <v>-3911</v>
      </c>
      <c r="AB668" s="36">
        <v>-2570</v>
      </c>
      <c r="AC668" s="36">
        <v>-41248</v>
      </c>
      <c r="AD668" s="36">
        <v>0</v>
      </c>
      <c r="AE668" s="36"/>
      <c r="AF668" s="36"/>
      <c r="AG668" s="36"/>
      <c r="AH668" s="36"/>
      <c r="AI668" s="20">
        <f t="shared" si="31"/>
        <v>-249916</v>
      </c>
      <c r="AJ668" s="20">
        <f t="shared" si="32"/>
        <v>2</v>
      </c>
    </row>
    <row r="669" spans="1:36" x14ac:dyDescent="0.2">
      <c r="A669" s="17" t="s">
        <v>5264</v>
      </c>
      <c r="B669" s="17">
        <v>40415</v>
      </c>
      <c r="C669" s="20">
        <v>0</v>
      </c>
      <c r="D669" s="20">
        <v>18950</v>
      </c>
      <c r="M669" s="20">
        <v>370</v>
      </c>
      <c r="N669" s="20">
        <v>13789</v>
      </c>
      <c r="O669" s="20">
        <v>214600</v>
      </c>
      <c r="W669" s="20">
        <f t="shared" si="30"/>
        <v>247709</v>
      </c>
      <c r="X669" s="36">
        <v>-51392</v>
      </c>
      <c r="Y669" s="36">
        <v>-147556</v>
      </c>
      <c r="Z669" s="36">
        <v>0</v>
      </c>
      <c r="AA669" s="36">
        <v>-3963</v>
      </c>
      <c r="AB669" s="36">
        <v>-2570</v>
      </c>
      <c r="AC669" s="36">
        <v>-42227</v>
      </c>
      <c r="AD669" s="36">
        <v>0</v>
      </c>
      <c r="AE669" s="36"/>
      <c r="AF669" s="36"/>
      <c r="AG669" s="36"/>
      <c r="AH669" s="36"/>
      <c r="AI669" s="20">
        <f t="shared" si="31"/>
        <v>-247708</v>
      </c>
      <c r="AJ669" s="20">
        <f t="shared" si="32"/>
        <v>1</v>
      </c>
    </row>
    <row r="670" spans="1:36" x14ac:dyDescent="0.2">
      <c r="A670" s="17" t="s">
        <v>5265</v>
      </c>
      <c r="B670" s="17">
        <v>40422</v>
      </c>
      <c r="C670" s="20">
        <v>0</v>
      </c>
      <c r="D670" s="20">
        <v>18950</v>
      </c>
      <c r="M670" s="20">
        <v>370</v>
      </c>
      <c r="N670" s="20">
        <v>14027</v>
      </c>
      <c r="O670" s="20">
        <v>214115</v>
      </c>
      <c r="W670" s="20">
        <f t="shared" si="30"/>
        <v>247462</v>
      </c>
      <c r="X670" s="36">
        <v>-52300</v>
      </c>
      <c r="Y670" s="36">
        <v>-146421</v>
      </c>
      <c r="Z670" s="36">
        <v>0</v>
      </c>
      <c r="AA670" s="36">
        <v>-3953</v>
      </c>
      <c r="AB670" s="36">
        <v>-2570</v>
      </c>
      <c r="AC670" s="36">
        <v>-42218</v>
      </c>
      <c r="AD670" s="36">
        <v>0</v>
      </c>
      <c r="AE670" s="36"/>
      <c r="AF670" s="36"/>
      <c r="AG670" s="36"/>
      <c r="AH670" s="36"/>
      <c r="AI670" s="20">
        <f t="shared" si="31"/>
        <v>-247462</v>
      </c>
      <c r="AJ670" s="20">
        <f t="shared" si="32"/>
        <v>0</v>
      </c>
    </row>
    <row r="671" spans="1:36" x14ac:dyDescent="0.2">
      <c r="A671" s="17" t="s">
        <v>5266</v>
      </c>
      <c r="B671" s="17">
        <v>40429</v>
      </c>
      <c r="C671" s="20">
        <v>0</v>
      </c>
      <c r="D671" s="20">
        <v>18950</v>
      </c>
      <c r="M671" s="20">
        <v>370</v>
      </c>
      <c r="N671" s="20">
        <v>13962</v>
      </c>
      <c r="O671" s="20">
        <v>214653</v>
      </c>
      <c r="W671" s="20">
        <f t="shared" si="30"/>
        <v>247935</v>
      </c>
      <c r="X671" s="36">
        <v>-51438</v>
      </c>
      <c r="Y671" s="36">
        <v>-144195</v>
      </c>
      <c r="Z671" s="36">
        <v>0</v>
      </c>
      <c r="AA671" s="36">
        <v>-3946</v>
      </c>
      <c r="AB671" s="36">
        <v>-2548</v>
      </c>
      <c r="AC671" s="36">
        <v>-45809</v>
      </c>
      <c r="AD671" s="36">
        <v>0</v>
      </c>
      <c r="AE671" s="36"/>
      <c r="AF671" s="36"/>
      <c r="AG671" s="36"/>
      <c r="AH671" s="36"/>
      <c r="AI671" s="20">
        <f t="shared" si="31"/>
        <v>-247936</v>
      </c>
      <c r="AJ671" s="20">
        <f t="shared" si="32"/>
        <v>-1</v>
      </c>
    </row>
    <row r="672" spans="1:36" x14ac:dyDescent="0.2">
      <c r="A672" s="17" t="s">
        <v>5267</v>
      </c>
      <c r="B672" s="17">
        <v>40436</v>
      </c>
      <c r="C672" s="20">
        <v>0</v>
      </c>
      <c r="D672" s="20">
        <v>17600</v>
      </c>
      <c r="M672" s="20">
        <v>370</v>
      </c>
      <c r="N672" s="20">
        <v>13952</v>
      </c>
      <c r="O672" s="20">
        <v>213578</v>
      </c>
      <c r="W672" s="20">
        <f t="shared" si="30"/>
        <v>245500</v>
      </c>
      <c r="X672" s="36">
        <v>-50988</v>
      </c>
      <c r="Y672" s="36">
        <v>-143594</v>
      </c>
      <c r="Z672" s="36">
        <v>0</v>
      </c>
      <c r="AA672" s="36">
        <v>-3909</v>
      </c>
      <c r="AB672" s="36">
        <v>-2548</v>
      </c>
      <c r="AC672" s="36">
        <v>-44461</v>
      </c>
      <c r="AD672" s="36">
        <v>0</v>
      </c>
      <c r="AE672" s="36"/>
      <c r="AF672" s="36"/>
      <c r="AG672" s="36"/>
      <c r="AH672" s="36"/>
      <c r="AI672" s="20">
        <f t="shared" si="31"/>
        <v>-245500</v>
      </c>
      <c r="AJ672" s="20">
        <f t="shared" si="32"/>
        <v>0</v>
      </c>
    </row>
    <row r="673" spans="1:36" x14ac:dyDescent="0.2">
      <c r="A673" s="17" t="s">
        <v>5268</v>
      </c>
      <c r="B673" s="17">
        <v>40443</v>
      </c>
      <c r="C673" s="20">
        <v>0</v>
      </c>
      <c r="D673" s="20">
        <v>17600</v>
      </c>
      <c r="M673" s="20">
        <v>370</v>
      </c>
      <c r="N673" s="20">
        <v>14094</v>
      </c>
      <c r="O673" s="20">
        <v>212593</v>
      </c>
      <c r="W673" s="20">
        <f t="shared" si="30"/>
        <v>244657</v>
      </c>
      <c r="X673" s="36">
        <v>-51050</v>
      </c>
      <c r="Y673" s="36">
        <v>-143847</v>
      </c>
      <c r="Z673" s="36">
        <v>0</v>
      </c>
      <c r="AA673" s="36">
        <v>-3905</v>
      </c>
      <c r="AB673" s="36">
        <v>-2548</v>
      </c>
      <c r="AC673" s="36">
        <v>-43307</v>
      </c>
      <c r="AD673" s="36">
        <v>0</v>
      </c>
      <c r="AE673" s="36"/>
      <c r="AF673" s="36"/>
      <c r="AG673" s="36"/>
      <c r="AH673" s="36"/>
      <c r="AI673" s="20">
        <f t="shared" si="31"/>
        <v>-244657</v>
      </c>
      <c r="AJ673" s="20">
        <f t="shared" si="32"/>
        <v>0</v>
      </c>
    </row>
    <row r="674" spans="1:36" x14ac:dyDescent="0.2">
      <c r="A674" s="17" t="s">
        <v>5269</v>
      </c>
      <c r="B674" s="17">
        <v>40450</v>
      </c>
      <c r="C674" s="20">
        <v>0</v>
      </c>
      <c r="D674" s="20">
        <v>17600</v>
      </c>
      <c r="M674" s="20">
        <v>370</v>
      </c>
      <c r="N674" s="20">
        <v>14132</v>
      </c>
      <c r="O674" s="20">
        <v>212752</v>
      </c>
      <c r="W674" s="20">
        <f t="shared" si="30"/>
        <v>244854</v>
      </c>
      <c r="X674" s="36">
        <v>-51367</v>
      </c>
      <c r="Y674" s="36">
        <v>-143841</v>
      </c>
      <c r="Z674" s="36">
        <v>0</v>
      </c>
      <c r="AA674" s="36">
        <v>-3871</v>
      </c>
      <c r="AB674" s="36">
        <v>-2548</v>
      </c>
      <c r="AC674" s="36">
        <v>-43228</v>
      </c>
      <c r="AD674" s="36">
        <v>0</v>
      </c>
      <c r="AE674" s="36"/>
      <c r="AF674" s="36"/>
      <c r="AG674" s="36"/>
      <c r="AH674" s="36"/>
      <c r="AI674" s="20">
        <f t="shared" si="31"/>
        <v>-244855</v>
      </c>
      <c r="AJ674" s="20">
        <f t="shared" si="32"/>
        <v>-1</v>
      </c>
    </row>
    <row r="675" spans="1:36" x14ac:dyDescent="0.2">
      <c r="A675" s="17" t="s">
        <v>5270</v>
      </c>
      <c r="B675" s="17">
        <v>40457</v>
      </c>
      <c r="C675" s="20">
        <v>0</v>
      </c>
      <c r="D675" s="20">
        <v>17600</v>
      </c>
      <c r="M675" s="20">
        <v>370</v>
      </c>
      <c r="N675" s="20">
        <v>14150</v>
      </c>
      <c r="O675" s="20">
        <v>212338</v>
      </c>
      <c r="W675" s="20">
        <f t="shared" si="30"/>
        <v>244458</v>
      </c>
      <c r="X675" s="36">
        <v>-51209</v>
      </c>
      <c r="Y675" s="36">
        <v>-143692</v>
      </c>
      <c r="Z675" s="36">
        <v>0</v>
      </c>
      <c r="AA675" s="36">
        <v>-3851</v>
      </c>
      <c r="AB675" s="36">
        <v>-2548</v>
      </c>
      <c r="AC675" s="36">
        <v>-43158</v>
      </c>
      <c r="AD675" s="36">
        <v>0</v>
      </c>
      <c r="AE675" s="36"/>
      <c r="AF675" s="36"/>
      <c r="AG675" s="36"/>
      <c r="AH675" s="36"/>
      <c r="AI675" s="20">
        <f t="shared" si="31"/>
        <v>-244458</v>
      </c>
      <c r="AJ675" s="20">
        <f t="shared" si="32"/>
        <v>0</v>
      </c>
    </row>
    <row r="676" spans="1:36" x14ac:dyDescent="0.2">
      <c r="A676" s="17" t="s">
        <v>5271</v>
      </c>
      <c r="B676" s="17">
        <v>40464</v>
      </c>
      <c r="C676" s="20">
        <v>0</v>
      </c>
      <c r="D676" s="20">
        <v>16250</v>
      </c>
      <c r="M676" s="20">
        <v>370</v>
      </c>
      <c r="N676" s="20">
        <v>14193</v>
      </c>
      <c r="O676" s="20">
        <v>212932</v>
      </c>
      <c r="W676" s="20">
        <f t="shared" si="30"/>
        <v>243745</v>
      </c>
      <c r="X676" s="36">
        <v>-51145</v>
      </c>
      <c r="Y676" s="36">
        <v>-142714</v>
      </c>
      <c r="Z676" s="36">
        <v>0</v>
      </c>
      <c r="AA676" s="36">
        <v>-3865</v>
      </c>
      <c r="AB676" s="36">
        <v>-2548</v>
      </c>
      <c r="AC676" s="36">
        <v>-43474</v>
      </c>
      <c r="AD676" s="36">
        <v>0</v>
      </c>
      <c r="AE676" s="36"/>
      <c r="AF676" s="36"/>
      <c r="AG676" s="36"/>
      <c r="AH676" s="36"/>
      <c r="AI676" s="20">
        <f t="shared" si="31"/>
        <v>-243746</v>
      </c>
      <c r="AJ676" s="20">
        <f t="shared" si="32"/>
        <v>-1</v>
      </c>
    </row>
    <row r="677" spans="1:36" x14ac:dyDescent="0.2">
      <c r="A677" s="17" t="s">
        <v>5272</v>
      </c>
      <c r="B677" s="17">
        <v>40471</v>
      </c>
      <c r="C677" s="20">
        <v>0</v>
      </c>
      <c r="D677" s="20">
        <v>16250</v>
      </c>
      <c r="M677" s="20">
        <v>370</v>
      </c>
      <c r="N677" s="20">
        <v>14174</v>
      </c>
      <c r="O677" s="20">
        <v>213191</v>
      </c>
      <c r="W677" s="20">
        <f t="shared" si="30"/>
        <v>243985</v>
      </c>
      <c r="X677" s="36">
        <v>-51145</v>
      </c>
      <c r="Y677" s="36">
        <v>-142878</v>
      </c>
      <c r="Z677" s="36">
        <v>0</v>
      </c>
      <c r="AA677" s="36">
        <v>-3860</v>
      </c>
      <c r="AB677" s="36">
        <v>-2548</v>
      </c>
      <c r="AC677" s="36">
        <v>-43554</v>
      </c>
      <c r="AD677" s="36">
        <v>0</v>
      </c>
      <c r="AE677" s="36"/>
      <c r="AF677" s="36"/>
      <c r="AG677" s="36"/>
      <c r="AH677" s="36"/>
      <c r="AI677" s="20">
        <f t="shared" si="31"/>
        <v>-243985</v>
      </c>
      <c r="AJ677" s="20">
        <f t="shared" si="32"/>
        <v>0</v>
      </c>
    </row>
    <row r="678" spans="1:36" x14ac:dyDescent="0.2">
      <c r="A678" s="17" t="s">
        <v>5273</v>
      </c>
      <c r="B678" s="17">
        <v>40478</v>
      </c>
      <c r="C678" s="20">
        <v>0</v>
      </c>
      <c r="D678" s="20">
        <v>16250</v>
      </c>
      <c r="M678" s="20">
        <v>370</v>
      </c>
      <c r="N678" s="20">
        <v>14162</v>
      </c>
      <c r="O678" s="20">
        <v>213381</v>
      </c>
      <c r="W678" s="20">
        <f t="shared" si="30"/>
        <v>244163</v>
      </c>
      <c r="X678" s="36">
        <v>-51520</v>
      </c>
      <c r="Y678" s="36">
        <v>-143329</v>
      </c>
      <c r="Z678" s="36">
        <v>0</v>
      </c>
      <c r="AA678" s="36">
        <v>-3875</v>
      </c>
      <c r="AB678" s="36">
        <v>-2548</v>
      </c>
      <c r="AC678" s="36">
        <v>-42890</v>
      </c>
      <c r="AD678" s="36">
        <v>0</v>
      </c>
      <c r="AE678" s="36"/>
      <c r="AF678" s="36"/>
      <c r="AG678" s="36"/>
      <c r="AH678" s="36"/>
      <c r="AI678" s="20">
        <f t="shared" si="31"/>
        <v>-244162</v>
      </c>
      <c r="AJ678" s="20">
        <f t="shared" si="32"/>
        <v>1</v>
      </c>
    </row>
    <row r="679" spans="1:36" x14ac:dyDescent="0.2">
      <c r="A679" s="17" t="s">
        <v>5274</v>
      </c>
      <c r="B679" s="17">
        <v>40485</v>
      </c>
      <c r="C679" s="20">
        <v>0</v>
      </c>
      <c r="D679" s="20">
        <v>16250</v>
      </c>
      <c r="M679" s="20">
        <v>370</v>
      </c>
      <c r="N679" s="20">
        <v>14215</v>
      </c>
      <c r="O679" s="20">
        <v>213530</v>
      </c>
      <c r="W679" s="20">
        <f t="shared" si="30"/>
        <v>244365</v>
      </c>
      <c r="X679" s="36">
        <v>-51513</v>
      </c>
      <c r="Y679" s="36">
        <v>-143755</v>
      </c>
      <c r="Z679" s="36">
        <v>0</v>
      </c>
      <c r="AA679" s="36">
        <v>-3805</v>
      </c>
      <c r="AB679" s="36">
        <v>-2548</v>
      </c>
      <c r="AC679" s="36">
        <v>-42743</v>
      </c>
      <c r="AD679" s="36">
        <v>0</v>
      </c>
      <c r="AE679" s="36"/>
      <c r="AF679" s="36"/>
      <c r="AG679" s="36"/>
      <c r="AH679" s="36"/>
      <c r="AI679" s="20">
        <f t="shared" si="31"/>
        <v>-244364</v>
      </c>
      <c r="AJ679" s="20">
        <f t="shared" si="32"/>
        <v>1</v>
      </c>
    </row>
    <row r="680" spans="1:36" x14ac:dyDescent="0.2">
      <c r="A680" s="17" t="s">
        <v>5275</v>
      </c>
      <c r="B680" s="17">
        <v>40492</v>
      </c>
      <c r="C680" s="20">
        <v>0</v>
      </c>
      <c r="D680" s="20">
        <v>16250</v>
      </c>
      <c r="M680" s="20">
        <v>370</v>
      </c>
      <c r="N680" s="20">
        <v>14129</v>
      </c>
      <c r="O680" s="20">
        <v>213419</v>
      </c>
      <c r="W680" s="20">
        <f t="shared" si="30"/>
        <v>244168</v>
      </c>
      <c r="X680" s="36">
        <v>-51391</v>
      </c>
      <c r="Y680" s="36">
        <v>-143538</v>
      </c>
      <c r="Z680" s="36">
        <v>0</v>
      </c>
      <c r="AA680" s="36">
        <v>-3808</v>
      </c>
      <c r="AB680" s="36">
        <v>-2548</v>
      </c>
      <c r="AC680" s="36">
        <v>-42882</v>
      </c>
      <c r="AD680" s="36">
        <v>0</v>
      </c>
      <c r="AE680" s="36"/>
      <c r="AF680" s="36"/>
      <c r="AG680" s="36"/>
      <c r="AH680" s="36"/>
      <c r="AI680" s="20">
        <f t="shared" si="31"/>
        <v>-244167</v>
      </c>
      <c r="AJ680" s="20">
        <f t="shared" si="32"/>
        <v>1</v>
      </c>
    </row>
    <row r="681" spans="1:36" x14ac:dyDescent="0.2">
      <c r="A681" s="17" t="s">
        <v>5276</v>
      </c>
      <c r="B681" s="17">
        <v>40499</v>
      </c>
      <c r="C681" s="20">
        <v>0</v>
      </c>
      <c r="D681" s="20">
        <v>14900</v>
      </c>
      <c r="M681" s="20">
        <v>370</v>
      </c>
      <c r="N681" s="20">
        <v>14098</v>
      </c>
      <c r="O681" s="20">
        <v>213304</v>
      </c>
      <c r="W681" s="20">
        <f t="shared" si="30"/>
        <v>242672</v>
      </c>
      <c r="X681" s="36">
        <v>-51459</v>
      </c>
      <c r="Y681" s="36">
        <v>-142354</v>
      </c>
      <c r="Z681" s="36">
        <v>0</v>
      </c>
      <c r="AA681" s="36">
        <v>-3834</v>
      </c>
      <c r="AB681" s="36">
        <v>-2548</v>
      </c>
      <c r="AC681" s="36">
        <v>-42477</v>
      </c>
      <c r="AD681" s="36">
        <v>0</v>
      </c>
      <c r="AE681" s="36"/>
      <c r="AF681" s="36"/>
      <c r="AG681" s="36"/>
      <c r="AH681" s="36"/>
      <c r="AI681" s="20">
        <f t="shared" si="31"/>
        <v>-242672</v>
      </c>
      <c r="AJ681" s="20">
        <f t="shared" si="32"/>
        <v>0</v>
      </c>
    </row>
    <row r="682" spans="1:36" x14ac:dyDescent="0.2">
      <c r="A682" s="17" t="s">
        <v>5277</v>
      </c>
      <c r="B682" s="17">
        <v>40506</v>
      </c>
      <c r="C682" s="20">
        <v>0</v>
      </c>
      <c r="D682" s="20">
        <v>17400</v>
      </c>
      <c r="M682" s="20">
        <v>370</v>
      </c>
      <c r="N682" s="20">
        <v>14144</v>
      </c>
      <c r="O682" s="20">
        <v>213880</v>
      </c>
      <c r="W682" s="20">
        <f t="shared" si="30"/>
        <v>245794</v>
      </c>
      <c r="X682" s="36">
        <v>-51756</v>
      </c>
      <c r="Y682" s="36">
        <v>-144327</v>
      </c>
      <c r="Z682" s="36">
        <v>0</v>
      </c>
      <c r="AA682" s="36">
        <v>-3864</v>
      </c>
      <c r="AB682" s="36">
        <v>-2548</v>
      </c>
      <c r="AC682" s="36">
        <v>-43298</v>
      </c>
      <c r="AD682" s="36">
        <v>0</v>
      </c>
      <c r="AE682" s="36"/>
      <c r="AF682" s="36"/>
      <c r="AG682" s="36"/>
      <c r="AH682" s="36"/>
      <c r="AI682" s="20">
        <f t="shared" si="31"/>
        <v>-245793</v>
      </c>
      <c r="AJ682" s="20">
        <f t="shared" si="32"/>
        <v>1</v>
      </c>
    </row>
    <row r="683" spans="1:36" x14ac:dyDescent="0.2">
      <c r="A683" s="17" t="s">
        <v>5278</v>
      </c>
      <c r="B683" s="17">
        <v>40513</v>
      </c>
      <c r="C683" s="20">
        <v>0</v>
      </c>
      <c r="D683" s="20">
        <v>17400</v>
      </c>
      <c r="M683" s="20">
        <v>370</v>
      </c>
      <c r="N683" s="20">
        <v>13893</v>
      </c>
      <c r="O683" s="20">
        <v>213704</v>
      </c>
      <c r="W683" s="20">
        <f t="shared" si="30"/>
        <v>245367</v>
      </c>
      <c r="X683" s="36">
        <v>-52475</v>
      </c>
      <c r="Y683" s="36">
        <v>-143357</v>
      </c>
      <c r="Z683" s="36">
        <v>0</v>
      </c>
      <c r="AA683" s="36">
        <v>-3913</v>
      </c>
      <c r="AB683" s="36">
        <v>-2447</v>
      </c>
      <c r="AC683" s="36">
        <v>-43174</v>
      </c>
      <c r="AD683" s="36">
        <v>0</v>
      </c>
      <c r="AE683" s="36"/>
      <c r="AF683" s="36"/>
      <c r="AG683" s="36"/>
      <c r="AH683" s="36"/>
      <c r="AI683" s="20">
        <f t="shared" si="31"/>
        <v>-245366</v>
      </c>
      <c r="AJ683" s="20">
        <f t="shared" si="32"/>
        <v>1</v>
      </c>
    </row>
    <row r="684" spans="1:36" x14ac:dyDescent="0.2">
      <c r="A684" s="17" t="s">
        <v>5279</v>
      </c>
      <c r="B684" s="17">
        <v>40520</v>
      </c>
      <c r="C684" s="20">
        <v>0</v>
      </c>
      <c r="D684" s="20">
        <v>17400</v>
      </c>
      <c r="M684" s="20">
        <v>370</v>
      </c>
      <c r="N684" s="20">
        <v>13796</v>
      </c>
      <c r="O684" s="20">
        <v>214053</v>
      </c>
      <c r="W684" s="20">
        <f t="shared" si="30"/>
        <v>245619</v>
      </c>
      <c r="X684" s="36">
        <v>-52899</v>
      </c>
      <c r="Y684" s="36">
        <v>-140041</v>
      </c>
      <c r="Z684" s="36">
        <v>0</v>
      </c>
      <c r="AA684" s="36">
        <v>-3857</v>
      </c>
      <c r="AB684" s="36">
        <v>-2447</v>
      </c>
      <c r="AC684" s="36">
        <v>-46376</v>
      </c>
      <c r="AD684" s="36">
        <v>0</v>
      </c>
      <c r="AE684" s="36"/>
      <c r="AF684" s="36"/>
      <c r="AG684" s="36"/>
      <c r="AH684" s="36"/>
      <c r="AI684" s="20">
        <f t="shared" si="31"/>
        <v>-245620</v>
      </c>
      <c r="AJ684" s="20">
        <f t="shared" si="32"/>
        <v>-1</v>
      </c>
    </row>
    <row r="685" spans="1:36" x14ac:dyDescent="0.2">
      <c r="A685" s="17" t="s">
        <v>5280</v>
      </c>
      <c r="B685" s="17">
        <v>40527</v>
      </c>
      <c r="C685" s="20">
        <v>0</v>
      </c>
      <c r="D685" s="20">
        <v>16800</v>
      </c>
      <c r="M685" s="20">
        <v>370</v>
      </c>
      <c r="N685" s="20">
        <v>13836</v>
      </c>
      <c r="O685" s="20">
        <v>215298</v>
      </c>
      <c r="W685" s="20">
        <f t="shared" si="30"/>
        <v>246304</v>
      </c>
      <c r="X685" s="36">
        <v>-53165</v>
      </c>
      <c r="Y685" s="36">
        <v>-139699</v>
      </c>
      <c r="Z685" s="36">
        <v>0</v>
      </c>
      <c r="AA685" s="36">
        <v>-3891</v>
      </c>
      <c r="AB685" s="36">
        <v>-2445</v>
      </c>
      <c r="AC685" s="36">
        <v>-47104</v>
      </c>
      <c r="AD685" s="36">
        <v>0</v>
      </c>
      <c r="AE685" s="36"/>
      <c r="AF685" s="36"/>
      <c r="AG685" s="36"/>
      <c r="AH685" s="36"/>
      <c r="AI685" s="20">
        <f t="shared" si="31"/>
        <v>-246304</v>
      </c>
      <c r="AJ685" s="20">
        <f t="shared" si="32"/>
        <v>0</v>
      </c>
    </row>
    <row r="686" spans="1:36" x14ac:dyDescent="0.2">
      <c r="A686" s="17" t="s">
        <v>5281</v>
      </c>
      <c r="B686" s="17">
        <v>40534</v>
      </c>
      <c r="C686" s="20">
        <v>0</v>
      </c>
      <c r="D686" s="20">
        <v>16800</v>
      </c>
      <c r="M686" s="20">
        <v>370</v>
      </c>
      <c r="N686" s="20">
        <v>13871</v>
      </c>
      <c r="O686" s="20">
        <v>216045</v>
      </c>
      <c r="W686" s="20">
        <f t="shared" si="30"/>
        <v>247086</v>
      </c>
      <c r="X686" s="36">
        <v>-54657</v>
      </c>
      <c r="Y686" s="36">
        <v>-138321</v>
      </c>
      <c r="Z686" s="36">
        <v>0</v>
      </c>
      <c r="AA686" s="36">
        <v>-3948</v>
      </c>
      <c r="AB686" s="36">
        <v>-2445</v>
      </c>
      <c r="AC686" s="36">
        <v>-47714</v>
      </c>
      <c r="AD686" s="36">
        <v>0</v>
      </c>
      <c r="AE686" s="36"/>
      <c r="AF686" s="36"/>
      <c r="AG686" s="36"/>
      <c r="AH686" s="36"/>
      <c r="AI686" s="20">
        <f t="shared" si="31"/>
        <v>-247085</v>
      </c>
      <c r="AJ686" s="20">
        <f t="shared" si="32"/>
        <v>1</v>
      </c>
    </row>
    <row r="687" spans="1:36" x14ac:dyDescent="0.2">
      <c r="A687" s="17" t="s">
        <v>5282</v>
      </c>
      <c r="B687" s="17">
        <v>40541</v>
      </c>
      <c r="C687" s="20">
        <v>0</v>
      </c>
      <c r="D687" s="20">
        <v>16800</v>
      </c>
      <c r="M687" s="20">
        <v>370</v>
      </c>
      <c r="N687" s="20">
        <v>13868</v>
      </c>
      <c r="O687" s="20">
        <v>215869</v>
      </c>
      <c r="W687" s="20">
        <f t="shared" si="30"/>
        <v>246907</v>
      </c>
      <c r="X687" s="36">
        <v>-54807</v>
      </c>
      <c r="Y687" s="36">
        <v>-138349</v>
      </c>
      <c r="Z687" s="36">
        <v>0</v>
      </c>
      <c r="AA687" s="36">
        <v>-3938</v>
      </c>
      <c r="AB687" s="36">
        <v>-2445</v>
      </c>
      <c r="AC687" s="36">
        <v>-47367</v>
      </c>
      <c r="AD687" s="36">
        <v>0</v>
      </c>
      <c r="AE687" s="36"/>
      <c r="AF687" s="36"/>
      <c r="AG687" s="36"/>
      <c r="AH687" s="36"/>
      <c r="AI687" s="20">
        <f t="shared" si="31"/>
        <v>-246906</v>
      </c>
      <c r="AJ687" s="20">
        <f t="shared" si="32"/>
        <v>1</v>
      </c>
    </row>
    <row r="688" spans="1:36" x14ac:dyDescent="0.2">
      <c r="A688" s="17" t="s">
        <v>5283</v>
      </c>
      <c r="B688" s="17">
        <v>40548</v>
      </c>
      <c r="C688" s="20">
        <v>0</v>
      </c>
      <c r="D688" s="20">
        <v>16800</v>
      </c>
      <c r="M688" s="20">
        <v>370</v>
      </c>
      <c r="N688" s="20">
        <v>13857</v>
      </c>
      <c r="O688" s="20">
        <v>215519</v>
      </c>
      <c r="W688" s="20">
        <f t="shared" si="30"/>
        <v>246546</v>
      </c>
      <c r="X688" s="36">
        <v>-53364</v>
      </c>
      <c r="Y688" s="36">
        <v>-139165</v>
      </c>
      <c r="Z688" s="36">
        <v>0</v>
      </c>
      <c r="AA688" s="36">
        <v>-3928</v>
      </c>
      <c r="AB688" s="36">
        <v>-2445</v>
      </c>
      <c r="AC688" s="36">
        <v>-47644</v>
      </c>
      <c r="AD688" s="36">
        <v>0</v>
      </c>
      <c r="AE688" s="36"/>
      <c r="AF688" s="36"/>
      <c r="AG688" s="36"/>
      <c r="AH688" s="36"/>
      <c r="AI688" s="20">
        <f t="shared" si="31"/>
        <v>-246546</v>
      </c>
      <c r="AJ688" s="20">
        <f t="shared" si="32"/>
        <v>0</v>
      </c>
    </row>
    <row r="689" spans="1:36" x14ac:dyDescent="0.2">
      <c r="A689" s="17" t="s">
        <v>5284</v>
      </c>
      <c r="B689" s="17">
        <v>40555</v>
      </c>
      <c r="C689" s="20">
        <v>0</v>
      </c>
      <c r="D689" s="20">
        <v>16200</v>
      </c>
      <c r="M689" s="20">
        <v>370</v>
      </c>
      <c r="N689" s="20">
        <v>13296</v>
      </c>
      <c r="O689" s="20">
        <v>215096</v>
      </c>
      <c r="W689" s="20">
        <f t="shared" si="30"/>
        <v>244962</v>
      </c>
      <c r="X689" s="36">
        <v>-52180</v>
      </c>
      <c r="Y689" s="36">
        <v>-140020</v>
      </c>
      <c r="Z689" s="36">
        <v>0</v>
      </c>
      <c r="AA689" s="36">
        <v>-3872</v>
      </c>
      <c r="AB689" s="36">
        <v>-2444</v>
      </c>
      <c r="AC689" s="36">
        <v>-46445</v>
      </c>
      <c r="AD689" s="36">
        <v>0</v>
      </c>
      <c r="AE689" s="36"/>
      <c r="AF689" s="36"/>
      <c r="AG689" s="36"/>
      <c r="AH689" s="36"/>
      <c r="AI689" s="20">
        <f t="shared" si="31"/>
        <v>-244961</v>
      </c>
      <c r="AJ689" s="20">
        <f t="shared" si="32"/>
        <v>1</v>
      </c>
    </row>
    <row r="690" spans="1:36" x14ac:dyDescent="0.2">
      <c r="A690" s="17" t="s">
        <v>5285</v>
      </c>
      <c r="B690" s="17">
        <v>40562</v>
      </c>
      <c r="C690" s="20">
        <v>0</v>
      </c>
      <c r="D690" s="20">
        <v>14702</v>
      </c>
      <c r="M690" s="20">
        <v>370</v>
      </c>
      <c r="N690" s="20">
        <v>13320</v>
      </c>
      <c r="O690" s="20">
        <v>214511</v>
      </c>
      <c r="W690" s="20">
        <f t="shared" si="30"/>
        <v>242903</v>
      </c>
      <c r="X690" s="36">
        <v>-51776</v>
      </c>
      <c r="Y690" s="36">
        <v>-138664</v>
      </c>
      <c r="Z690" s="36">
        <v>0</v>
      </c>
      <c r="AA690" s="36">
        <v>-3804</v>
      </c>
      <c r="AB690" s="36">
        <v>-2444</v>
      </c>
      <c r="AC690" s="36">
        <v>-46216</v>
      </c>
      <c r="AD690" s="36">
        <v>0</v>
      </c>
      <c r="AE690" s="36"/>
      <c r="AF690" s="36"/>
      <c r="AG690" s="36"/>
      <c r="AH690" s="36"/>
      <c r="AI690" s="20">
        <f t="shared" si="31"/>
        <v>-242904</v>
      </c>
      <c r="AJ690" s="20">
        <f t="shared" si="32"/>
        <v>-1</v>
      </c>
    </row>
    <row r="691" spans="1:36" x14ac:dyDescent="0.2">
      <c r="A691" s="17" t="s">
        <v>5286</v>
      </c>
      <c r="B691" s="17">
        <v>40569</v>
      </c>
      <c r="C691" s="20">
        <v>0</v>
      </c>
      <c r="D691" s="20">
        <v>14702</v>
      </c>
      <c r="M691" s="20">
        <v>370</v>
      </c>
      <c r="N691" s="20">
        <v>13367</v>
      </c>
      <c r="O691" s="20">
        <v>213179</v>
      </c>
      <c r="W691" s="20">
        <f t="shared" si="30"/>
        <v>241618</v>
      </c>
      <c r="X691" s="36">
        <v>-51712</v>
      </c>
      <c r="Y691" s="36">
        <v>-139132</v>
      </c>
      <c r="Z691" s="36">
        <v>0</v>
      </c>
      <c r="AA691" s="36">
        <v>-3826</v>
      </c>
      <c r="AB691" s="36">
        <v>-2443</v>
      </c>
      <c r="AC691" s="36">
        <v>-44505</v>
      </c>
      <c r="AD691" s="36">
        <v>0</v>
      </c>
      <c r="AE691" s="36"/>
      <c r="AF691" s="36"/>
      <c r="AG691" s="36"/>
      <c r="AH691" s="36"/>
      <c r="AI691" s="20">
        <f t="shared" si="31"/>
        <v>-241618</v>
      </c>
      <c r="AJ691" s="20">
        <f t="shared" si="32"/>
        <v>0</v>
      </c>
    </row>
    <row r="692" spans="1:36" x14ac:dyDescent="0.2">
      <c r="A692" s="17" t="s">
        <v>5287</v>
      </c>
      <c r="B692" s="17">
        <v>40576</v>
      </c>
      <c r="C692" s="20">
        <v>0</v>
      </c>
      <c r="D692" s="20">
        <v>14702</v>
      </c>
      <c r="M692" s="20">
        <v>370</v>
      </c>
      <c r="N692" s="20">
        <v>13313</v>
      </c>
      <c r="O692" s="20">
        <v>212747</v>
      </c>
      <c r="W692" s="20">
        <f t="shared" si="30"/>
        <v>241132</v>
      </c>
      <c r="X692" s="36">
        <v>-51671</v>
      </c>
      <c r="Y692" s="36">
        <v>-139239</v>
      </c>
      <c r="Z692" s="36">
        <v>0</v>
      </c>
      <c r="AA692" s="36">
        <v>-3753</v>
      </c>
      <c r="AB692" s="36">
        <v>-2443</v>
      </c>
      <c r="AC692" s="36">
        <v>-44026</v>
      </c>
      <c r="AD692" s="36">
        <v>0</v>
      </c>
      <c r="AE692" s="36"/>
      <c r="AF692" s="36"/>
      <c r="AG692" s="36"/>
      <c r="AH692" s="36"/>
      <c r="AI692" s="20">
        <f t="shared" si="31"/>
        <v>-241132</v>
      </c>
      <c r="AJ692" s="20">
        <f t="shared" si="32"/>
        <v>0</v>
      </c>
    </row>
    <row r="693" spans="1:36" x14ac:dyDescent="0.2">
      <c r="A693" s="17" t="s">
        <v>5288</v>
      </c>
      <c r="B693" s="17">
        <v>40583</v>
      </c>
      <c r="C693" s="20">
        <v>0</v>
      </c>
      <c r="D693" s="20">
        <v>14702</v>
      </c>
      <c r="M693" s="20">
        <v>370</v>
      </c>
      <c r="N693" s="20">
        <v>13278</v>
      </c>
      <c r="O693" s="20">
        <v>213542</v>
      </c>
      <c r="W693" s="20">
        <f t="shared" si="30"/>
        <v>241892</v>
      </c>
      <c r="X693" s="36">
        <v>-51556</v>
      </c>
      <c r="Y693" s="36">
        <v>-138846</v>
      </c>
      <c r="Z693" s="36">
        <v>0</v>
      </c>
      <c r="AA693" s="36">
        <v>-3767</v>
      </c>
      <c r="AB693" s="36">
        <v>-2444</v>
      </c>
      <c r="AC693" s="36">
        <v>-45278</v>
      </c>
      <c r="AD693" s="36">
        <v>0</v>
      </c>
      <c r="AE693" s="36"/>
      <c r="AF693" s="36"/>
      <c r="AG693" s="36"/>
      <c r="AH693" s="36"/>
      <c r="AI693" s="20">
        <f t="shared" si="31"/>
        <v>-241891</v>
      </c>
      <c r="AJ693" s="20">
        <f t="shared" si="32"/>
        <v>1</v>
      </c>
    </row>
    <row r="694" spans="1:36" x14ac:dyDescent="0.2">
      <c r="A694" s="17" t="s">
        <v>5289</v>
      </c>
      <c r="B694" s="17">
        <v>40590</v>
      </c>
      <c r="C694" s="20">
        <v>0</v>
      </c>
      <c r="D694" s="20">
        <v>14102</v>
      </c>
      <c r="M694" s="20">
        <v>370</v>
      </c>
      <c r="N694" s="20">
        <v>13273</v>
      </c>
      <c r="O694" s="20">
        <v>213896</v>
      </c>
      <c r="W694" s="20">
        <f t="shared" si="30"/>
        <v>241641</v>
      </c>
      <c r="X694" s="36">
        <v>-51542</v>
      </c>
      <c r="Y694" s="36">
        <v>-138015</v>
      </c>
      <c r="Z694" s="36">
        <v>0</v>
      </c>
      <c r="AA694" s="36">
        <v>-3783</v>
      </c>
      <c r="AB694" s="36">
        <v>-2444</v>
      </c>
      <c r="AC694" s="36">
        <v>-45857</v>
      </c>
      <c r="AD694" s="36">
        <v>0</v>
      </c>
      <c r="AE694" s="36"/>
      <c r="AF694" s="36"/>
      <c r="AG694" s="36"/>
      <c r="AH694" s="36"/>
      <c r="AI694" s="20">
        <f t="shared" si="31"/>
        <v>-241641</v>
      </c>
      <c r="AJ694" s="20">
        <f t="shared" si="32"/>
        <v>0</v>
      </c>
    </row>
    <row r="695" spans="1:36" x14ac:dyDescent="0.2">
      <c r="A695" s="17" t="s">
        <v>5290</v>
      </c>
      <c r="B695" s="17">
        <v>40597</v>
      </c>
      <c r="C695" s="20">
        <v>0</v>
      </c>
      <c r="D695" s="20">
        <v>13242</v>
      </c>
      <c r="M695" s="20">
        <v>370</v>
      </c>
      <c r="N695" s="20">
        <v>13305</v>
      </c>
      <c r="O695" s="20">
        <v>213918</v>
      </c>
      <c r="W695" s="20">
        <f t="shared" si="30"/>
        <v>240835</v>
      </c>
      <c r="X695" s="36">
        <v>-51628</v>
      </c>
      <c r="Y695" s="36">
        <v>-137899</v>
      </c>
      <c r="Z695" s="36">
        <v>0</v>
      </c>
      <c r="AA695" s="36">
        <v>-3740</v>
      </c>
      <c r="AB695" s="36">
        <v>-2444</v>
      </c>
      <c r="AC695" s="36">
        <v>-45123</v>
      </c>
      <c r="AD695" s="36">
        <v>0</v>
      </c>
      <c r="AE695" s="36"/>
      <c r="AF695" s="36"/>
      <c r="AG695" s="36"/>
      <c r="AH695" s="36"/>
      <c r="AI695" s="20">
        <f t="shared" si="31"/>
        <v>-240834</v>
      </c>
      <c r="AJ695" s="20">
        <f t="shared" si="32"/>
        <v>1</v>
      </c>
    </row>
    <row r="696" spans="1:36" x14ac:dyDescent="0.2">
      <c r="A696" s="17" t="s">
        <v>5291</v>
      </c>
      <c r="B696" s="17">
        <v>40604</v>
      </c>
      <c r="C696" s="20">
        <v>0</v>
      </c>
      <c r="D696" s="20">
        <v>13242</v>
      </c>
      <c r="M696" s="20">
        <v>370</v>
      </c>
      <c r="N696" s="20">
        <v>14446</v>
      </c>
      <c r="O696" s="20">
        <v>217011</v>
      </c>
      <c r="W696" s="20">
        <f t="shared" si="30"/>
        <v>245069</v>
      </c>
      <c r="X696" s="36">
        <v>-51924</v>
      </c>
      <c r="Y696" s="36">
        <v>-138867</v>
      </c>
      <c r="Z696" s="36">
        <v>0</v>
      </c>
      <c r="AA696" s="36">
        <v>-4949</v>
      </c>
      <c r="AB696" s="36">
        <v>-2444</v>
      </c>
      <c r="AC696" s="36">
        <v>-46885</v>
      </c>
      <c r="AD696" s="36">
        <v>0</v>
      </c>
      <c r="AE696" s="36"/>
      <c r="AF696" s="36"/>
      <c r="AG696" s="36"/>
      <c r="AH696" s="36"/>
      <c r="AI696" s="20">
        <f t="shared" si="31"/>
        <v>-245069</v>
      </c>
      <c r="AJ696" s="20">
        <f t="shared" si="32"/>
        <v>0</v>
      </c>
    </row>
    <row r="697" spans="1:36" x14ac:dyDescent="0.2">
      <c r="A697" s="17" t="s">
        <v>5292</v>
      </c>
      <c r="B697" s="17">
        <v>40611</v>
      </c>
      <c r="C697" s="20">
        <v>0</v>
      </c>
      <c r="D697" s="20">
        <v>13242</v>
      </c>
      <c r="M697" s="20">
        <v>370</v>
      </c>
      <c r="N697" s="20">
        <v>14358</v>
      </c>
      <c r="O697" s="20">
        <v>216556</v>
      </c>
      <c r="W697" s="20">
        <f t="shared" si="30"/>
        <v>244526</v>
      </c>
      <c r="X697" s="36">
        <v>-51833</v>
      </c>
      <c r="Y697" s="36">
        <v>-135928</v>
      </c>
      <c r="Z697" s="36">
        <v>0</v>
      </c>
      <c r="AA697" s="36">
        <v>-4977</v>
      </c>
      <c r="AB697" s="36">
        <v>-2444</v>
      </c>
      <c r="AC697" s="36">
        <v>-49343</v>
      </c>
      <c r="AD697" s="36">
        <v>0</v>
      </c>
      <c r="AE697" s="36"/>
      <c r="AF697" s="36"/>
      <c r="AG697" s="36"/>
      <c r="AH697" s="36"/>
      <c r="AI697" s="20">
        <f t="shared" si="31"/>
        <v>-244525</v>
      </c>
      <c r="AJ697" s="20">
        <f t="shared" si="32"/>
        <v>1</v>
      </c>
    </row>
    <row r="698" spans="1:36" x14ac:dyDescent="0.2">
      <c r="A698" s="17" t="s">
        <v>5293</v>
      </c>
      <c r="B698" s="17">
        <v>40618</v>
      </c>
      <c r="C698" s="20">
        <v>0</v>
      </c>
      <c r="D698" s="20">
        <v>13042</v>
      </c>
      <c r="M698" s="20">
        <v>370</v>
      </c>
      <c r="N698" s="20">
        <v>14284</v>
      </c>
      <c r="O698" s="20">
        <v>214884</v>
      </c>
      <c r="W698" s="20">
        <f t="shared" si="30"/>
        <v>242580</v>
      </c>
      <c r="X698" s="36">
        <v>-51793</v>
      </c>
      <c r="Y698" s="36">
        <v>-134006</v>
      </c>
      <c r="Z698" s="36">
        <v>0</v>
      </c>
      <c r="AA698" s="36">
        <v>-5049</v>
      </c>
      <c r="AB698" s="36">
        <v>-2444</v>
      </c>
      <c r="AC698" s="36">
        <v>-49287</v>
      </c>
      <c r="AD698" s="36">
        <v>0</v>
      </c>
      <c r="AE698" s="36"/>
      <c r="AF698" s="36"/>
      <c r="AG698" s="36"/>
      <c r="AH698" s="36"/>
      <c r="AI698" s="20">
        <f t="shared" si="31"/>
        <v>-242579</v>
      </c>
      <c r="AJ698" s="20">
        <f t="shared" si="32"/>
        <v>1</v>
      </c>
    </row>
    <row r="699" spans="1:36" x14ac:dyDescent="0.2">
      <c r="A699" s="17" t="s">
        <v>5294</v>
      </c>
      <c r="B699" s="17">
        <v>40625</v>
      </c>
      <c r="C699" s="20">
        <v>0</v>
      </c>
      <c r="D699" s="20">
        <v>13042</v>
      </c>
      <c r="M699" s="20">
        <v>370</v>
      </c>
      <c r="N699" s="20">
        <v>14210</v>
      </c>
      <c r="O699" s="20">
        <v>214970</v>
      </c>
      <c r="W699" s="20">
        <f t="shared" si="30"/>
        <v>242592</v>
      </c>
      <c r="X699" s="36">
        <v>-51970</v>
      </c>
      <c r="Y699" s="36">
        <v>-134331</v>
      </c>
      <c r="Z699" s="36">
        <v>0</v>
      </c>
      <c r="AA699" s="36">
        <v>-3742</v>
      </c>
      <c r="AB699" s="36">
        <v>-2444</v>
      </c>
      <c r="AC699" s="36">
        <v>-50104</v>
      </c>
      <c r="AD699" s="36">
        <v>0</v>
      </c>
      <c r="AE699" s="36"/>
      <c r="AF699" s="36"/>
      <c r="AG699" s="36"/>
      <c r="AH699" s="36"/>
      <c r="AI699" s="20">
        <f t="shared" si="31"/>
        <v>-242591</v>
      </c>
      <c r="AJ699" s="20">
        <f t="shared" si="32"/>
        <v>1</v>
      </c>
    </row>
    <row r="700" spans="1:36" x14ac:dyDescent="0.2">
      <c r="A700" s="17" t="s">
        <v>5295</v>
      </c>
      <c r="B700" s="17">
        <v>40632</v>
      </c>
      <c r="C700" s="20">
        <v>0</v>
      </c>
      <c r="D700" s="20">
        <v>13042</v>
      </c>
      <c r="M700" s="20">
        <v>370</v>
      </c>
      <c r="N700" s="20">
        <v>14213</v>
      </c>
      <c r="O700" s="20">
        <v>214858</v>
      </c>
      <c r="W700" s="20">
        <f t="shared" si="30"/>
        <v>242483</v>
      </c>
      <c r="X700" s="36">
        <v>-52338</v>
      </c>
      <c r="Y700" s="36">
        <v>-133968</v>
      </c>
      <c r="Z700" s="36">
        <v>0</v>
      </c>
      <c r="AA700" s="36">
        <v>-3776</v>
      </c>
      <c r="AB700" s="36">
        <v>-2444</v>
      </c>
      <c r="AC700" s="36">
        <v>-49957</v>
      </c>
      <c r="AD700" s="36">
        <v>0</v>
      </c>
      <c r="AE700" s="36"/>
      <c r="AF700" s="36"/>
      <c r="AG700" s="36"/>
      <c r="AH700" s="36"/>
      <c r="AI700" s="20">
        <f t="shared" si="31"/>
        <v>-242483</v>
      </c>
      <c r="AJ700" s="20">
        <f t="shared" si="32"/>
        <v>0</v>
      </c>
    </row>
    <row r="701" spans="1:36" x14ac:dyDescent="0.2">
      <c r="A701" s="17" t="s">
        <v>5296</v>
      </c>
      <c r="B701" s="17">
        <v>40639</v>
      </c>
      <c r="C701" s="20">
        <v>0</v>
      </c>
      <c r="D701" s="20">
        <v>13042</v>
      </c>
      <c r="M701" s="20">
        <v>370</v>
      </c>
      <c r="N701" s="20">
        <v>14162</v>
      </c>
      <c r="O701" s="20">
        <v>214615</v>
      </c>
      <c r="W701" s="20">
        <f t="shared" si="30"/>
        <v>242189</v>
      </c>
      <c r="X701" s="36">
        <v>-52326</v>
      </c>
      <c r="Y701" s="36">
        <v>-134032</v>
      </c>
      <c r="Z701" s="36">
        <v>0</v>
      </c>
      <c r="AA701" s="36">
        <v>-3713</v>
      </c>
      <c r="AB701" s="36">
        <v>-2444</v>
      </c>
      <c r="AC701" s="36">
        <v>-49675</v>
      </c>
      <c r="AD701" s="36">
        <v>0</v>
      </c>
      <c r="AE701" s="36"/>
      <c r="AF701" s="36"/>
      <c r="AG701" s="36"/>
      <c r="AH701" s="36"/>
      <c r="AI701" s="20">
        <f t="shared" si="31"/>
        <v>-242190</v>
      </c>
      <c r="AJ701" s="20">
        <f t="shared" si="32"/>
        <v>-1</v>
      </c>
    </row>
    <row r="702" spans="1:36" x14ac:dyDescent="0.2">
      <c r="A702" s="17" t="s">
        <v>5297</v>
      </c>
      <c r="B702" s="17">
        <v>40646</v>
      </c>
      <c r="C702" s="20">
        <v>0</v>
      </c>
      <c r="D702" s="20">
        <v>12842</v>
      </c>
      <c r="M702" s="20">
        <v>370</v>
      </c>
      <c r="N702" s="20">
        <v>14073</v>
      </c>
      <c r="O702" s="20">
        <v>214287</v>
      </c>
      <c r="W702" s="20">
        <f t="shared" si="30"/>
        <v>241572</v>
      </c>
      <c r="X702" s="36">
        <v>-52291</v>
      </c>
      <c r="Y702" s="36">
        <v>-132652</v>
      </c>
      <c r="Z702" s="36">
        <v>0</v>
      </c>
      <c r="AA702" s="36">
        <v>-3729</v>
      </c>
      <c r="AB702" s="36">
        <v>-2444</v>
      </c>
      <c r="AC702" s="36">
        <v>-50456</v>
      </c>
      <c r="AD702" s="36">
        <v>0</v>
      </c>
      <c r="AE702" s="36"/>
      <c r="AF702" s="36"/>
      <c r="AG702" s="36"/>
      <c r="AH702" s="36"/>
      <c r="AI702" s="20">
        <f t="shared" si="31"/>
        <v>-241572</v>
      </c>
      <c r="AJ702" s="20">
        <f t="shared" si="32"/>
        <v>0</v>
      </c>
    </row>
    <row r="703" spans="1:36" x14ac:dyDescent="0.2">
      <c r="A703" s="17" t="s">
        <v>5298</v>
      </c>
      <c r="B703" s="17">
        <v>40653</v>
      </c>
      <c r="C703" s="20">
        <v>0</v>
      </c>
      <c r="D703" s="20">
        <v>12875</v>
      </c>
      <c r="M703" s="20">
        <v>370</v>
      </c>
      <c r="N703" s="20">
        <v>14025</v>
      </c>
      <c r="O703" s="20">
        <v>213259</v>
      </c>
      <c r="W703" s="20">
        <f t="shared" ref="W703:W766" si="33">SUM(C703:D703,M703:P703)</f>
        <v>240529</v>
      </c>
      <c r="X703" s="36">
        <v>-53240</v>
      </c>
      <c r="Y703" s="36">
        <v>-132054</v>
      </c>
      <c r="Z703" s="36">
        <v>0</v>
      </c>
      <c r="AA703" s="36">
        <v>-3706</v>
      </c>
      <c r="AB703" s="36">
        <v>-2444</v>
      </c>
      <c r="AC703" s="36">
        <v>-49084</v>
      </c>
      <c r="AD703" s="36">
        <v>0</v>
      </c>
      <c r="AE703" s="36"/>
      <c r="AF703" s="36"/>
      <c r="AG703" s="36"/>
      <c r="AH703" s="36"/>
      <c r="AI703" s="20">
        <f t="shared" ref="AI703:AI766" si="34">SUM(X703:AD703)</f>
        <v>-240528</v>
      </c>
      <c r="AJ703" s="20">
        <f t="shared" ref="AJ703:AJ766" si="35">W703+AI703</f>
        <v>1</v>
      </c>
    </row>
    <row r="704" spans="1:36" x14ac:dyDescent="0.2">
      <c r="A704" s="17" t="s">
        <v>5299</v>
      </c>
      <c r="B704" s="17">
        <v>40660</v>
      </c>
      <c r="C704" s="20">
        <v>0</v>
      </c>
      <c r="D704" s="20">
        <v>12875</v>
      </c>
      <c r="M704" s="20">
        <v>370</v>
      </c>
      <c r="N704" s="20">
        <v>14004</v>
      </c>
      <c r="O704" s="20">
        <v>212971</v>
      </c>
      <c r="W704" s="20">
        <f t="shared" si="33"/>
        <v>240220</v>
      </c>
      <c r="X704" s="36">
        <v>-54544</v>
      </c>
      <c r="Y704" s="36">
        <v>-131411</v>
      </c>
      <c r="Z704" s="36">
        <v>0</v>
      </c>
      <c r="AA704" s="36">
        <v>-3682</v>
      </c>
      <c r="AB704" s="36">
        <v>-2444</v>
      </c>
      <c r="AC704" s="36">
        <v>-48139</v>
      </c>
      <c r="AD704" s="36">
        <v>0</v>
      </c>
      <c r="AE704" s="36"/>
      <c r="AF704" s="36"/>
      <c r="AG704" s="36"/>
      <c r="AH704" s="36"/>
      <c r="AI704" s="20">
        <f t="shared" si="34"/>
        <v>-240220</v>
      </c>
      <c r="AJ704" s="20">
        <f t="shared" si="35"/>
        <v>0</v>
      </c>
    </row>
    <row r="705" spans="1:36" x14ac:dyDescent="0.2">
      <c r="A705" s="17" t="s">
        <v>5300</v>
      </c>
      <c r="B705" s="17">
        <v>40667</v>
      </c>
      <c r="C705" s="20">
        <v>0</v>
      </c>
      <c r="D705" s="20">
        <v>12875</v>
      </c>
      <c r="M705" s="20">
        <v>370</v>
      </c>
      <c r="N705" s="20">
        <v>13868</v>
      </c>
      <c r="O705" s="20">
        <v>213009</v>
      </c>
      <c r="W705" s="20">
        <f t="shared" si="33"/>
        <v>240122</v>
      </c>
      <c r="X705" s="36">
        <v>-54053</v>
      </c>
      <c r="Y705" s="36">
        <v>-131740</v>
      </c>
      <c r="Z705" s="36">
        <v>0</v>
      </c>
      <c r="AA705" s="36">
        <v>-3684</v>
      </c>
      <c r="AB705" s="36">
        <v>-2444</v>
      </c>
      <c r="AC705" s="36">
        <v>-48202</v>
      </c>
      <c r="AD705" s="36">
        <v>0</v>
      </c>
      <c r="AE705" s="36"/>
      <c r="AF705" s="36"/>
      <c r="AG705" s="36"/>
      <c r="AH705" s="36"/>
      <c r="AI705" s="20">
        <f t="shared" si="34"/>
        <v>-240123</v>
      </c>
      <c r="AJ705" s="20">
        <f t="shared" si="35"/>
        <v>-1</v>
      </c>
    </row>
    <row r="706" spans="1:36" x14ac:dyDescent="0.2">
      <c r="A706" s="17" t="s">
        <v>5301</v>
      </c>
      <c r="B706" s="17">
        <v>40674</v>
      </c>
      <c r="C706" s="20">
        <v>0</v>
      </c>
      <c r="D706" s="20">
        <v>12875</v>
      </c>
      <c r="M706" s="20">
        <v>370</v>
      </c>
      <c r="N706" s="20">
        <v>13776</v>
      </c>
      <c r="O706" s="20">
        <v>213189</v>
      </c>
      <c r="W706" s="20">
        <f t="shared" si="33"/>
        <v>240210</v>
      </c>
      <c r="X706" s="36">
        <v>-53216</v>
      </c>
      <c r="Y706" s="36">
        <v>-132138</v>
      </c>
      <c r="Z706" s="36">
        <v>0</v>
      </c>
      <c r="AA706" s="36">
        <v>-3701</v>
      </c>
      <c r="AB706" s="36">
        <v>-2444</v>
      </c>
      <c r="AC706" s="36">
        <v>-48711</v>
      </c>
      <c r="AD706" s="36">
        <v>0</v>
      </c>
      <c r="AE706" s="36"/>
      <c r="AF706" s="36"/>
      <c r="AG706" s="36"/>
      <c r="AH706" s="36"/>
      <c r="AI706" s="20">
        <f t="shared" si="34"/>
        <v>-240210</v>
      </c>
      <c r="AJ706" s="20">
        <f t="shared" si="35"/>
        <v>0</v>
      </c>
    </row>
    <row r="707" spans="1:36" x14ac:dyDescent="0.2">
      <c r="A707" s="17" t="s">
        <v>5302</v>
      </c>
      <c r="B707" s="17">
        <v>40681</v>
      </c>
      <c r="C707" s="20">
        <v>0</v>
      </c>
      <c r="D707" s="20">
        <v>12675</v>
      </c>
      <c r="M707" s="20">
        <v>370</v>
      </c>
      <c r="N707" s="20">
        <v>13860</v>
      </c>
      <c r="O707" s="20">
        <v>212984</v>
      </c>
      <c r="W707" s="20">
        <f t="shared" si="33"/>
        <v>239889</v>
      </c>
      <c r="X707" s="36">
        <v>-52867</v>
      </c>
      <c r="Y707" s="36">
        <v>-131244</v>
      </c>
      <c r="Z707" s="36">
        <v>0</v>
      </c>
      <c r="AA707" s="36">
        <v>-3774</v>
      </c>
      <c r="AB707" s="36">
        <v>-2444</v>
      </c>
      <c r="AC707" s="36">
        <v>-49559</v>
      </c>
      <c r="AD707" s="36">
        <v>0</v>
      </c>
      <c r="AE707" s="36"/>
      <c r="AF707" s="36"/>
      <c r="AG707" s="36"/>
      <c r="AH707" s="36"/>
      <c r="AI707" s="20">
        <f t="shared" si="34"/>
        <v>-239888</v>
      </c>
      <c r="AJ707" s="20">
        <f t="shared" si="35"/>
        <v>1</v>
      </c>
    </row>
    <row r="708" spans="1:36" x14ac:dyDescent="0.2">
      <c r="A708" s="17" t="s">
        <v>5303</v>
      </c>
      <c r="B708" s="17">
        <v>40688</v>
      </c>
      <c r="C708" s="20">
        <v>0</v>
      </c>
      <c r="D708" s="20">
        <v>12535</v>
      </c>
      <c r="M708" s="20">
        <v>370</v>
      </c>
      <c r="N708" s="20">
        <v>13814</v>
      </c>
      <c r="O708" s="20">
        <v>212890</v>
      </c>
      <c r="W708" s="20">
        <f t="shared" si="33"/>
        <v>239609</v>
      </c>
      <c r="X708" s="36">
        <v>-53376</v>
      </c>
      <c r="Y708" s="36">
        <v>-130972</v>
      </c>
      <c r="Z708" s="36">
        <v>0</v>
      </c>
      <c r="AA708" s="36">
        <v>-3746</v>
      </c>
      <c r="AB708" s="36">
        <v>-2444</v>
      </c>
      <c r="AC708" s="36">
        <v>-49070</v>
      </c>
      <c r="AD708" s="36">
        <v>0</v>
      </c>
      <c r="AE708" s="36"/>
      <c r="AF708" s="36"/>
      <c r="AG708" s="36"/>
      <c r="AH708" s="36"/>
      <c r="AI708" s="20">
        <f t="shared" si="34"/>
        <v>-239608</v>
      </c>
      <c r="AJ708" s="20">
        <f t="shared" si="35"/>
        <v>1</v>
      </c>
    </row>
    <row r="709" spans="1:36" x14ac:dyDescent="0.2">
      <c r="A709" s="17" t="s">
        <v>5304</v>
      </c>
      <c r="B709" s="17">
        <v>40695</v>
      </c>
      <c r="C709" s="20">
        <v>0</v>
      </c>
      <c r="D709" s="20">
        <v>12535</v>
      </c>
      <c r="M709" s="20">
        <v>370</v>
      </c>
      <c r="N709" s="20">
        <v>13977</v>
      </c>
      <c r="O709" s="20">
        <v>212508</v>
      </c>
      <c r="W709" s="20">
        <f t="shared" si="33"/>
        <v>239390</v>
      </c>
      <c r="X709" s="36">
        <v>-53982</v>
      </c>
      <c r="Y709" s="36">
        <v>-130747</v>
      </c>
      <c r="Z709" s="36">
        <v>0</v>
      </c>
      <c r="AA709" s="36">
        <v>-3723</v>
      </c>
      <c r="AB709" s="36">
        <v>-2388</v>
      </c>
      <c r="AC709" s="36">
        <v>-48550</v>
      </c>
      <c r="AD709" s="36">
        <v>0</v>
      </c>
      <c r="AE709" s="36"/>
      <c r="AF709" s="36"/>
      <c r="AG709" s="36"/>
      <c r="AH709" s="36"/>
      <c r="AI709" s="20">
        <f t="shared" si="34"/>
        <v>-239390</v>
      </c>
      <c r="AJ709" s="20">
        <f t="shared" si="35"/>
        <v>0</v>
      </c>
    </row>
    <row r="710" spans="1:36" x14ac:dyDescent="0.2">
      <c r="A710" s="17" t="s">
        <v>5305</v>
      </c>
      <c r="B710" s="17">
        <v>40702</v>
      </c>
      <c r="C710" s="20">
        <v>0</v>
      </c>
      <c r="D710" s="20">
        <v>12535</v>
      </c>
      <c r="M710" s="20">
        <v>370</v>
      </c>
      <c r="N710" s="20">
        <v>14004</v>
      </c>
      <c r="O710" s="20">
        <v>212487</v>
      </c>
      <c r="W710" s="20">
        <f t="shared" si="33"/>
        <v>239396</v>
      </c>
      <c r="X710" s="36">
        <v>-53489</v>
      </c>
      <c r="Y710" s="36">
        <v>-129033</v>
      </c>
      <c r="Z710" s="36">
        <v>0</v>
      </c>
      <c r="AA710" s="36">
        <v>-3730</v>
      </c>
      <c r="AB710" s="36">
        <v>-2388</v>
      </c>
      <c r="AC710" s="36">
        <v>-50755</v>
      </c>
      <c r="AD710" s="36">
        <v>0</v>
      </c>
      <c r="AE710" s="36"/>
      <c r="AF710" s="36"/>
      <c r="AG710" s="36"/>
      <c r="AH710" s="36"/>
      <c r="AI710" s="20">
        <f t="shared" si="34"/>
        <v>-239395</v>
      </c>
      <c r="AJ710" s="20">
        <f t="shared" si="35"/>
        <v>1</v>
      </c>
    </row>
    <row r="711" spans="1:36" x14ac:dyDescent="0.2">
      <c r="A711" s="17" t="s">
        <v>5306</v>
      </c>
      <c r="B711" s="17">
        <v>40709</v>
      </c>
      <c r="C711" s="20">
        <v>0</v>
      </c>
      <c r="D711" s="20">
        <v>12535</v>
      </c>
      <c r="M711" s="20">
        <v>370</v>
      </c>
      <c r="N711" s="20">
        <v>13990</v>
      </c>
      <c r="O711" s="20">
        <v>212307</v>
      </c>
      <c r="W711" s="20">
        <f t="shared" si="33"/>
        <v>239202</v>
      </c>
      <c r="X711" s="36">
        <v>-53458</v>
      </c>
      <c r="Y711" s="36">
        <v>-129315</v>
      </c>
      <c r="Z711" s="36">
        <v>0</v>
      </c>
      <c r="AA711" s="36">
        <v>-3756</v>
      </c>
      <c r="AB711" s="36">
        <v>-2388</v>
      </c>
      <c r="AC711" s="36">
        <v>-50286</v>
      </c>
      <c r="AD711" s="36">
        <v>0</v>
      </c>
      <c r="AE711" s="36"/>
      <c r="AF711" s="36"/>
      <c r="AG711" s="36"/>
      <c r="AH711" s="36"/>
      <c r="AI711" s="20">
        <f t="shared" si="34"/>
        <v>-239203</v>
      </c>
      <c r="AJ711" s="20">
        <f t="shared" si="35"/>
        <v>-1</v>
      </c>
    </row>
    <row r="712" spans="1:36" x14ac:dyDescent="0.2">
      <c r="A712" s="17" t="s">
        <v>5307</v>
      </c>
      <c r="B712" s="17">
        <v>40716</v>
      </c>
      <c r="C712" s="20">
        <v>0</v>
      </c>
      <c r="D712" s="20">
        <v>10585</v>
      </c>
      <c r="M712" s="20">
        <v>370</v>
      </c>
      <c r="N712" s="20">
        <v>13978</v>
      </c>
      <c r="O712" s="20">
        <v>211619</v>
      </c>
      <c r="W712" s="20">
        <f t="shared" si="33"/>
        <v>236552</v>
      </c>
      <c r="X712" s="36">
        <v>-53434</v>
      </c>
      <c r="Y712" s="36">
        <v>-127999</v>
      </c>
      <c r="Z712" s="36">
        <v>0</v>
      </c>
      <c r="AA712" s="36">
        <v>-3783</v>
      </c>
      <c r="AB712" s="36">
        <v>-2388</v>
      </c>
      <c r="AC712" s="36">
        <v>-48948</v>
      </c>
      <c r="AD712" s="36">
        <v>0</v>
      </c>
      <c r="AE712" s="36"/>
      <c r="AF712" s="36"/>
      <c r="AG712" s="36"/>
      <c r="AH712" s="36"/>
      <c r="AI712" s="20">
        <f t="shared" si="34"/>
        <v>-236552</v>
      </c>
      <c r="AJ712" s="20">
        <f t="shared" si="35"/>
        <v>0</v>
      </c>
    </row>
    <row r="713" spans="1:36" x14ac:dyDescent="0.2">
      <c r="A713" s="17" t="s">
        <v>5308</v>
      </c>
      <c r="B713" s="17">
        <v>40723</v>
      </c>
      <c r="C713" s="20">
        <v>0</v>
      </c>
      <c r="D713" s="20">
        <v>10585</v>
      </c>
      <c r="M713" s="20">
        <v>370</v>
      </c>
      <c r="N713" s="20">
        <v>13987</v>
      </c>
      <c r="O713" s="20">
        <v>211217</v>
      </c>
      <c r="W713" s="20">
        <f t="shared" si="33"/>
        <v>236159</v>
      </c>
      <c r="X713" s="36">
        <v>-53880</v>
      </c>
      <c r="Y713" s="36">
        <v>-127423</v>
      </c>
      <c r="Z713" s="36">
        <v>0</v>
      </c>
      <c r="AA713" s="36">
        <v>-3801</v>
      </c>
      <c r="AB713" s="36">
        <v>-2388</v>
      </c>
      <c r="AC713" s="36">
        <v>-48667</v>
      </c>
      <c r="AD713" s="36">
        <v>0</v>
      </c>
      <c r="AE713" s="36"/>
      <c r="AF713" s="36"/>
      <c r="AG713" s="36"/>
      <c r="AH713" s="36"/>
      <c r="AI713" s="20">
        <f t="shared" si="34"/>
        <v>-236159</v>
      </c>
      <c r="AJ713" s="20">
        <f t="shared" si="35"/>
        <v>0</v>
      </c>
    </row>
    <row r="714" spans="1:36" x14ac:dyDescent="0.2">
      <c r="A714" s="17" t="s">
        <v>5309</v>
      </c>
      <c r="B714" s="17">
        <v>40730</v>
      </c>
      <c r="C714" s="20">
        <v>0</v>
      </c>
      <c r="D714" s="20">
        <v>10585</v>
      </c>
      <c r="M714" s="20">
        <v>370</v>
      </c>
      <c r="N714" s="20">
        <v>14004</v>
      </c>
      <c r="O714" s="20">
        <v>211371</v>
      </c>
      <c r="W714" s="20">
        <f t="shared" si="33"/>
        <v>236330</v>
      </c>
      <c r="X714" s="36">
        <v>-54146</v>
      </c>
      <c r="Y714" s="36">
        <v>-127445</v>
      </c>
      <c r="Z714" s="36">
        <v>0</v>
      </c>
      <c r="AA714" s="36">
        <v>-3815</v>
      </c>
      <c r="AB714" s="36">
        <v>-2388</v>
      </c>
      <c r="AC714" s="36">
        <v>-48537</v>
      </c>
      <c r="AD714" s="36">
        <v>0</v>
      </c>
      <c r="AE714" s="36"/>
      <c r="AF714" s="36"/>
      <c r="AG714" s="36"/>
      <c r="AH714" s="36"/>
      <c r="AI714" s="20">
        <f t="shared" si="34"/>
        <v>-236331</v>
      </c>
      <c r="AJ714" s="20">
        <f t="shared" si="35"/>
        <v>-1</v>
      </c>
    </row>
    <row r="715" spans="1:36" x14ac:dyDescent="0.2">
      <c r="A715" s="17" t="s">
        <v>5310</v>
      </c>
      <c r="B715" s="17">
        <v>40737</v>
      </c>
      <c r="C715" s="20">
        <v>0</v>
      </c>
      <c r="D715" s="20">
        <v>10585</v>
      </c>
      <c r="M715" s="20">
        <v>370</v>
      </c>
      <c r="N715" s="20">
        <v>13590</v>
      </c>
      <c r="O715" s="20">
        <v>210569</v>
      </c>
      <c r="W715" s="20">
        <f t="shared" si="33"/>
        <v>235114</v>
      </c>
      <c r="X715" s="36">
        <v>-54209</v>
      </c>
      <c r="Y715" s="36">
        <v>-125951</v>
      </c>
      <c r="Z715" s="36">
        <v>0</v>
      </c>
      <c r="AA715" s="36">
        <v>-3791</v>
      </c>
      <c r="AB715" s="36">
        <v>-2388</v>
      </c>
      <c r="AC715" s="36">
        <v>-48776</v>
      </c>
      <c r="AD715" s="36">
        <v>0</v>
      </c>
      <c r="AE715" s="36"/>
      <c r="AF715" s="36"/>
      <c r="AG715" s="36"/>
      <c r="AH715" s="36"/>
      <c r="AI715" s="20">
        <f t="shared" si="34"/>
        <v>-235115</v>
      </c>
      <c r="AJ715" s="20">
        <f t="shared" si="35"/>
        <v>-1</v>
      </c>
    </row>
    <row r="716" spans="1:36" x14ac:dyDescent="0.2">
      <c r="A716" s="17" t="s">
        <v>5311</v>
      </c>
      <c r="B716" s="17">
        <v>40744</v>
      </c>
      <c r="C716" s="20">
        <v>0</v>
      </c>
      <c r="D716" s="20">
        <v>12050</v>
      </c>
      <c r="M716" s="20">
        <v>370</v>
      </c>
      <c r="N716" s="20">
        <v>13593</v>
      </c>
      <c r="O716" s="20">
        <v>211207</v>
      </c>
      <c r="W716" s="20">
        <f t="shared" si="33"/>
        <v>237220</v>
      </c>
      <c r="X716" s="36">
        <v>-54125</v>
      </c>
      <c r="Y716" s="36">
        <v>-127531</v>
      </c>
      <c r="Z716" s="36">
        <v>0</v>
      </c>
      <c r="AA716" s="36">
        <v>-3776</v>
      </c>
      <c r="AB716" s="36">
        <v>-2388</v>
      </c>
      <c r="AC716" s="36">
        <v>-49401</v>
      </c>
      <c r="AD716" s="36">
        <v>0</v>
      </c>
      <c r="AE716" s="36"/>
      <c r="AF716" s="36"/>
      <c r="AG716" s="36"/>
      <c r="AH716" s="36"/>
      <c r="AI716" s="20">
        <f t="shared" si="34"/>
        <v>-237221</v>
      </c>
      <c r="AJ716" s="20">
        <f t="shared" si="35"/>
        <v>-1</v>
      </c>
    </row>
    <row r="717" spans="1:36" x14ac:dyDescent="0.2">
      <c r="A717" s="17" t="s">
        <v>5312</v>
      </c>
      <c r="B717" s="17">
        <v>40751</v>
      </c>
      <c r="C717" s="20">
        <v>0</v>
      </c>
      <c r="D717" s="20">
        <v>12050</v>
      </c>
      <c r="M717" s="20">
        <v>370</v>
      </c>
      <c r="N717" s="20">
        <v>13608</v>
      </c>
      <c r="O717" s="20">
        <v>211815</v>
      </c>
      <c r="W717" s="20">
        <f t="shared" si="33"/>
        <v>237843</v>
      </c>
      <c r="X717" s="36">
        <v>-54186</v>
      </c>
      <c r="Y717" s="36">
        <v>-127856</v>
      </c>
      <c r="Z717" s="36">
        <v>0</v>
      </c>
      <c r="AA717" s="36">
        <v>-3729</v>
      </c>
      <c r="AB717" s="36">
        <v>-2388</v>
      </c>
      <c r="AC717" s="36">
        <v>-49684</v>
      </c>
      <c r="AD717" s="36">
        <v>0</v>
      </c>
      <c r="AE717" s="36"/>
      <c r="AF717" s="36"/>
      <c r="AG717" s="36"/>
      <c r="AH717" s="36"/>
      <c r="AI717" s="20">
        <f t="shared" si="34"/>
        <v>-237843</v>
      </c>
      <c r="AJ717" s="20">
        <f t="shared" si="35"/>
        <v>0</v>
      </c>
    </row>
    <row r="718" spans="1:36" x14ac:dyDescent="0.2">
      <c r="A718" s="17" t="s">
        <v>5313</v>
      </c>
      <c r="B718" s="17">
        <v>40758</v>
      </c>
      <c r="C718" s="20">
        <v>0</v>
      </c>
      <c r="D718" s="20">
        <v>12050</v>
      </c>
      <c r="M718" s="20">
        <v>370</v>
      </c>
      <c r="N718" s="20">
        <v>13656</v>
      </c>
      <c r="O718" s="20">
        <v>212178</v>
      </c>
      <c r="W718" s="20">
        <f t="shared" si="33"/>
        <v>238254</v>
      </c>
      <c r="X718" s="36">
        <v>-54292</v>
      </c>
      <c r="Y718" s="36">
        <v>-128302</v>
      </c>
      <c r="Z718" s="36">
        <v>0</v>
      </c>
      <c r="AA718" s="36">
        <v>-3718</v>
      </c>
      <c r="AB718" s="36">
        <v>-2388</v>
      </c>
      <c r="AC718" s="36">
        <v>-49554</v>
      </c>
      <c r="AD718" s="36">
        <v>0</v>
      </c>
      <c r="AE718" s="36"/>
      <c r="AF718" s="36"/>
      <c r="AG718" s="36"/>
      <c r="AH718" s="36"/>
      <c r="AI718" s="20">
        <f t="shared" si="34"/>
        <v>-238254</v>
      </c>
      <c r="AJ718" s="20">
        <f t="shared" si="35"/>
        <v>0</v>
      </c>
    </row>
    <row r="719" spans="1:36" x14ac:dyDescent="0.2">
      <c r="A719" s="17" t="s">
        <v>5314</v>
      </c>
      <c r="B719" s="17">
        <v>40765</v>
      </c>
      <c r="C719" s="20">
        <v>0</v>
      </c>
      <c r="D719" s="20">
        <v>12050</v>
      </c>
      <c r="M719" s="20">
        <v>370</v>
      </c>
      <c r="N719" s="20">
        <v>13773</v>
      </c>
      <c r="O719" s="20">
        <v>213685</v>
      </c>
      <c r="W719" s="20">
        <f t="shared" si="33"/>
        <v>239878</v>
      </c>
      <c r="X719" s="36">
        <v>-54250</v>
      </c>
      <c r="Y719" s="36">
        <v>-128307</v>
      </c>
      <c r="Z719" s="36">
        <v>0</v>
      </c>
      <c r="AA719" s="36">
        <v>-3789</v>
      </c>
      <c r="AB719" s="36">
        <v>-2388</v>
      </c>
      <c r="AC719" s="36">
        <v>-51145</v>
      </c>
      <c r="AD719" s="36">
        <v>0</v>
      </c>
      <c r="AE719" s="36"/>
      <c r="AF719" s="36"/>
      <c r="AG719" s="36"/>
      <c r="AH719" s="36"/>
      <c r="AI719" s="20">
        <f t="shared" si="34"/>
        <v>-239879</v>
      </c>
      <c r="AJ719" s="20">
        <f t="shared" si="35"/>
        <v>-1</v>
      </c>
    </row>
    <row r="720" spans="1:36" x14ac:dyDescent="0.2">
      <c r="A720" s="17" t="s">
        <v>5315</v>
      </c>
      <c r="B720" s="17">
        <v>40772</v>
      </c>
      <c r="C720" s="20">
        <v>0</v>
      </c>
      <c r="D720" s="20">
        <v>12050</v>
      </c>
      <c r="M720" s="20">
        <v>370</v>
      </c>
      <c r="N720" s="20">
        <v>13720</v>
      </c>
      <c r="O720" s="20">
        <v>213764</v>
      </c>
      <c r="W720" s="20">
        <f t="shared" si="33"/>
        <v>239904</v>
      </c>
      <c r="X720" s="36">
        <v>-54103</v>
      </c>
      <c r="Y720" s="36">
        <v>-127978</v>
      </c>
      <c r="Z720" s="36">
        <v>0</v>
      </c>
      <c r="AA720" s="36">
        <v>-3689</v>
      </c>
      <c r="AB720" s="36">
        <v>-2388</v>
      </c>
      <c r="AC720" s="36">
        <v>-51745</v>
      </c>
      <c r="AD720" s="36">
        <v>0</v>
      </c>
      <c r="AE720" s="36"/>
      <c r="AF720" s="36"/>
      <c r="AG720" s="36"/>
      <c r="AH720" s="36"/>
      <c r="AI720" s="20">
        <f t="shared" si="34"/>
        <v>-239903</v>
      </c>
      <c r="AJ720" s="20">
        <f t="shared" si="35"/>
        <v>1</v>
      </c>
    </row>
    <row r="721" spans="1:36" x14ac:dyDescent="0.2">
      <c r="A721" s="17" t="s">
        <v>5316</v>
      </c>
      <c r="B721" s="17">
        <v>40779</v>
      </c>
      <c r="C721" s="20">
        <v>0</v>
      </c>
      <c r="D721" s="20">
        <v>12910</v>
      </c>
      <c r="M721" s="20">
        <v>370</v>
      </c>
      <c r="N721" s="20">
        <v>13740</v>
      </c>
      <c r="O721" s="20">
        <v>212961</v>
      </c>
      <c r="W721" s="20">
        <f t="shared" si="33"/>
        <v>239981</v>
      </c>
      <c r="X721" s="36">
        <v>-54400</v>
      </c>
      <c r="Y721" s="36">
        <v>-127196</v>
      </c>
      <c r="Z721" s="36">
        <v>0</v>
      </c>
      <c r="AA721" s="36">
        <v>-3722</v>
      </c>
      <c r="AB721" s="36">
        <v>-2388</v>
      </c>
      <c r="AC721" s="36">
        <v>-52276</v>
      </c>
      <c r="AD721" s="36">
        <v>0</v>
      </c>
      <c r="AE721" s="36"/>
      <c r="AF721" s="36"/>
      <c r="AG721" s="36"/>
      <c r="AH721" s="36"/>
      <c r="AI721" s="20">
        <f t="shared" si="34"/>
        <v>-239982</v>
      </c>
      <c r="AJ721" s="20">
        <f t="shared" si="35"/>
        <v>-1</v>
      </c>
    </row>
    <row r="722" spans="1:36" x14ac:dyDescent="0.2">
      <c r="A722" s="17" t="s">
        <v>5317</v>
      </c>
      <c r="B722" s="17">
        <v>40786</v>
      </c>
      <c r="C722" s="20">
        <v>0</v>
      </c>
      <c r="D722" s="20">
        <v>12910</v>
      </c>
      <c r="M722" s="20">
        <v>370</v>
      </c>
      <c r="N722" s="20">
        <v>13914</v>
      </c>
      <c r="O722" s="20">
        <v>213005</v>
      </c>
      <c r="W722" s="20">
        <f t="shared" si="33"/>
        <v>240199</v>
      </c>
      <c r="X722" s="36">
        <v>-55122</v>
      </c>
      <c r="Y722" s="36">
        <v>-126379</v>
      </c>
      <c r="Z722" s="36">
        <v>0</v>
      </c>
      <c r="AA722" s="36">
        <v>-3751</v>
      </c>
      <c r="AB722" s="36">
        <v>-2388</v>
      </c>
      <c r="AC722" s="36">
        <v>-52560</v>
      </c>
      <c r="AD722" s="36">
        <v>0</v>
      </c>
      <c r="AE722" s="36"/>
      <c r="AF722" s="36"/>
      <c r="AG722" s="36"/>
      <c r="AH722" s="36"/>
      <c r="AI722" s="20">
        <f t="shared" si="34"/>
        <v>-240200</v>
      </c>
      <c r="AJ722" s="20">
        <f t="shared" si="35"/>
        <v>-1</v>
      </c>
    </row>
    <row r="723" spans="1:36" x14ac:dyDescent="0.2">
      <c r="A723" s="17" t="s">
        <v>5318</v>
      </c>
      <c r="B723" s="17">
        <v>40793</v>
      </c>
      <c r="C723" s="20">
        <v>0</v>
      </c>
      <c r="D723" s="20">
        <v>12910</v>
      </c>
      <c r="M723" s="20">
        <v>370</v>
      </c>
      <c r="N723" s="20">
        <v>13941</v>
      </c>
      <c r="O723" s="20">
        <v>214552</v>
      </c>
      <c r="W723" s="20">
        <f t="shared" si="33"/>
        <v>241773</v>
      </c>
      <c r="X723" s="36">
        <v>-54430</v>
      </c>
      <c r="Y723" s="36">
        <v>-123941</v>
      </c>
      <c r="Z723" s="36">
        <v>0</v>
      </c>
      <c r="AA723" s="36">
        <v>-3827</v>
      </c>
      <c r="AB723" s="36">
        <v>-2388</v>
      </c>
      <c r="AC723" s="36">
        <v>-57187</v>
      </c>
      <c r="AD723" s="36">
        <v>0</v>
      </c>
      <c r="AE723" s="36"/>
      <c r="AF723" s="36"/>
      <c r="AG723" s="36"/>
      <c r="AH723" s="36"/>
      <c r="AI723" s="20">
        <f t="shared" si="34"/>
        <v>-241773</v>
      </c>
      <c r="AJ723" s="20">
        <f t="shared" si="35"/>
        <v>0</v>
      </c>
    </row>
    <row r="724" spans="1:36" x14ac:dyDescent="0.2">
      <c r="A724" s="17" t="s">
        <v>5319</v>
      </c>
      <c r="B724" s="17">
        <v>40800</v>
      </c>
      <c r="C724" s="20">
        <v>0</v>
      </c>
      <c r="D724" s="20">
        <v>12910</v>
      </c>
      <c r="M724" s="20">
        <v>370</v>
      </c>
      <c r="N724" s="20">
        <v>13951</v>
      </c>
      <c r="O724" s="20">
        <v>214326</v>
      </c>
      <c r="W724" s="20">
        <f t="shared" si="33"/>
        <v>241557</v>
      </c>
      <c r="X724" s="36">
        <v>-54410</v>
      </c>
      <c r="Y724" s="36">
        <v>-123430</v>
      </c>
      <c r="Z724" s="36">
        <v>0</v>
      </c>
      <c r="AA724" s="36">
        <v>-3876</v>
      </c>
      <c r="AB724" s="36">
        <v>-2388</v>
      </c>
      <c r="AC724" s="36">
        <v>-57453</v>
      </c>
      <c r="AD724" s="36">
        <v>0</v>
      </c>
      <c r="AE724" s="36"/>
      <c r="AF724" s="36"/>
      <c r="AG724" s="36"/>
      <c r="AH724" s="36"/>
      <c r="AI724" s="20">
        <f t="shared" si="34"/>
        <v>-241557</v>
      </c>
      <c r="AJ724" s="20">
        <f t="shared" si="35"/>
        <v>0</v>
      </c>
    </row>
    <row r="725" spans="1:36" x14ac:dyDescent="0.2">
      <c r="A725" s="17" t="s">
        <v>5320</v>
      </c>
      <c r="B725" s="17">
        <v>40807</v>
      </c>
      <c r="C725" s="20">
        <v>0</v>
      </c>
      <c r="D725" s="20">
        <v>14063</v>
      </c>
      <c r="M725" s="20">
        <v>370</v>
      </c>
      <c r="N725" s="20">
        <v>13987</v>
      </c>
      <c r="O725" s="20">
        <v>215404</v>
      </c>
      <c r="W725" s="20">
        <f t="shared" si="33"/>
        <v>243824</v>
      </c>
      <c r="X725" s="36">
        <v>-54465</v>
      </c>
      <c r="Y725" s="36">
        <v>-125526</v>
      </c>
      <c r="Z725" s="36">
        <v>0</v>
      </c>
      <c r="AA725" s="36">
        <v>-3911</v>
      </c>
      <c r="AB725" s="36">
        <v>-2389</v>
      </c>
      <c r="AC725" s="36">
        <v>-57533</v>
      </c>
      <c r="AD725" s="36">
        <v>0</v>
      </c>
      <c r="AE725" s="36"/>
      <c r="AF725" s="36"/>
      <c r="AG725" s="36"/>
      <c r="AH725" s="36"/>
      <c r="AI725" s="20">
        <f t="shared" si="34"/>
        <v>-243824</v>
      </c>
      <c r="AJ725" s="20">
        <f t="shared" si="35"/>
        <v>0</v>
      </c>
    </row>
    <row r="726" spans="1:36" x14ac:dyDescent="0.2">
      <c r="A726" s="17" t="s">
        <v>5321</v>
      </c>
      <c r="B726" s="17">
        <v>40814</v>
      </c>
      <c r="C726" s="20">
        <v>0</v>
      </c>
      <c r="D726" s="20">
        <v>14063</v>
      </c>
      <c r="M726" s="20">
        <v>370</v>
      </c>
      <c r="N726" s="20">
        <v>13920</v>
      </c>
      <c r="O726" s="20">
        <v>214692</v>
      </c>
      <c r="W726" s="20">
        <f t="shared" si="33"/>
        <v>243045</v>
      </c>
      <c r="X726" s="36">
        <v>-54607</v>
      </c>
      <c r="Y726" s="36">
        <v>-126023</v>
      </c>
      <c r="Z726" s="36">
        <v>0</v>
      </c>
      <c r="AA726" s="36">
        <v>-3891</v>
      </c>
      <c r="AB726" s="36">
        <v>-2389</v>
      </c>
      <c r="AC726" s="36">
        <v>-56133</v>
      </c>
      <c r="AD726" s="36">
        <v>0</v>
      </c>
      <c r="AE726" s="36"/>
      <c r="AF726" s="36"/>
      <c r="AG726" s="36"/>
      <c r="AH726" s="36"/>
      <c r="AI726" s="20">
        <f t="shared" si="34"/>
        <v>-243043</v>
      </c>
      <c r="AJ726" s="20">
        <f t="shared" si="35"/>
        <v>2</v>
      </c>
    </row>
    <row r="727" spans="1:36" x14ac:dyDescent="0.2">
      <c r="A727" s="17" t="s">
        <v>5322</v>
      </c>
      <c r="B727" s="17">
        <v>40821</v>
      </c>
      <c r="C727" s="20">
        <v>0</v>
      </c>
      <c r="D727" s="20">
        <v>14063</v>
      </c>
      <c r="M727" s="20">
        <v>370</v>
      </c>
      <c r="N727" s="20">
        <v>13968</v>
      </c>
      <c r="O727" s="20">
        <v>214196</v>
      </c>
      <c r="W727" s="20">
        <f t="shared" si="33"/>
        <v>242597</v>
      </c>
      <c r="X727" s="36">
        <v>-54546</v>
      </c>
      <c r="Y727" s="36">
        <v>-125953</v>
      </c>
      <c r="Z727" s="36">
        <v>0</v>
      </c>
      <c r="AA727" s="36">
        <v>-3944</v>
      </c>
      <c r="AB727" s="36">
        <v>-2389</v>
      </c>
      <c r="AC727" s="36">
        <v>-55765</v>
      </c>
      <c r="AD727" s="36">
        <v>0</v>
      </c>
      <c r="AE727" s="36"/>
      <c r="AF727" s="36"/>
      <c r="AG727" s="36"/>
      <c r="AH727" s="36"/>
      <c r="AI727" s="20">
        <f t="shared" si="34"/>
        <v>-242597</v>
      </c>
      <c r="AJ727" s="20">
        <f t="shared" si="35"/>
        <v>0</v>
      </c>
    </row>
    <row r="728" spans="1:36" x14ac:dyDescent="0.2">
      <c r="A728" s="17" t="s">
        <v>5323</v>
      </c>
      <c r="B728" s="17">
        <v>40828</v>
      </c>
      <c r="C728" s="20">
        <v>0</v>
      </c>
      <c r="D728" s="20">
        <v>14063</v>
      </c>
      <c r="M728" s="20">
        <v>370</v>
      </c>
      <c r="N728" s="20">
        <v>13906</v>
      </c>
      <c r="O728" s="20">
        <v>217478</v>
      </c>
      <c r="W728" s="20">
        <f t="shared" si="33"/>
        <v>245817</v>
      </c>
      <c r="X728" s="36">
        <v>-54576</v>
      </c>
      <c r="Y728" s="36">
        <v>-128402</v>
      </c>
      <c r="Z728" s="36">
        <v>0</v>
      </c>
      <c r="AA728" s="36">
        <v>-3851</v>
      </c>
      <c r="AB728" s="36">
        <v>-2389</v>
      </c>
      <c r="AC728" s="36">
        <v>-56598</v>
      </c>
      <c r="AD728" s="36">
        <v>0</v>
      </c>
      <c r="AE728" s="36"/>
      <c r="AF728" s="36"/>
      <c r="AG728" s="36"/>
      <c r="AH728" s="36"/>
      <c r="AI728" s="20">
        <f t="shared" si="34"/>
        <v>-245816</v>
      </c>
      <c r="AJ728" s="20">
        <f t="shared" si="35"/>
        <v>1</v>
      </c>
    </row>
    <row r="729" spans="1:36" x14ac:dyDescent="0.2">
      <c r="A729" s="17" t="s">
        <v>5324</v>
      </c>
      <c r="B729" s="17">
        <v>40835</v>
      </c>
      <c r="C729" s="20">
        <v>0</v>
      </c>
      <c r="D729" s="20">
        <v>13793</v>
      </c>
      <c r="M729" s="20">
        <v>370</v>
      </c>
      <c r="N729" s="20">
        <v>13926</v>
      </c>
      <c r="O729" s="20">
        <v>222623</v>
      </c>
      <c r="W729" s="20">
        <f t="shared" si="33"/>
        <v>250712</v>
      </c>
      <c r="X729" s="36">
        <v>-54513</v>
      </c>
      <c r="Y729" s="36">
        <v>-133819</v>
      </c>
      <c r="Z729" s="36">
        <v>0</v>
      </c>
      <c r="AA729" s="36">
        <v>-3840</v>
      </c>
      <c r="AB729" s="36">
        <v>-2389</v>
      </c>
      <c r="AC729" s="36">
        <v>-56150</v>
      </c>
      <c r="AD729" s="36">
        <v>0</v>
      </c>
      <c r="AE729" s="36"/>
      <c r="AF729" s="36"/>
      <c r="AG729" s="36"/>
      <c r="AH729" s="36"/>
      <c r="AI729" s="20">
        <f t="shared" si="34"/>
        <v>-250711</v>
      </c>
      <c r="AJ729" s="20">
        <f t="shared" si="35"/>
        <v>1</v>
      </c>
    </row>
    <row r="730" spans="1:36" x14ac:dyDescent="0.2">
      <c r="A730" s="17" t="s">
        <v>5325</v>
      </c>
      <c r="B730" s="17">
        <v>40842</v>
      </c>
      <c r="C730" s="20">
        <v>0</v>
      </c>
      <c r="D730" s="20">
        <v>13793</v>
      </c>
      <c r="M730" s="20">
        <v>370</v>
      </c>
      <c r="N730" s="20">
        <v>13930</v>
      </c>
      <c r="O730" s="20">
        <v>228115</v>
      </c>
      <c r="W730" s="20">
        <f t="shared" si="33"/>
        <v>256208</v>
      </c>
      <c r="X730" s="36">
        <v>-54877</v>
      </c>
      <c r="Y730" s="36">
        <v>-138860</v>
      </c>
      <c r="Z730" s="36">
        <v>0</v>
      </c>
      <c r="AA730" s="36">
        <v>-3819</v>
      </c>
      <c r="AB730" s="36">
        <v>-2389</v>
      </c>
      <c r="AC730" s="36">
        <v>-56261</v>
      </c>
      <c r="AD730" s="36">
        <v>0</v>
      </c>
      <c r="AE730" s="36"/>
      <c r="AF730" s="36"/>
      <c r="AG730" s="36"/>
      <c r="AH730" s="36"/>
      <c r="AI730" s="20">
        <f t="shared" si="34"/>
        <v>-256206</v>
      </c>
      <c r="AJ730" s="20">
        <f t="shared" si="35"/>
        <v>2</v>
      </c>
    </row>
    <row r="731" spans="1:36" x14ac:dyDescent="0.2">
      <c r="A731" s="17" t="s">
        <v>5326</v>
      </c>
      <c r="B731" s="17">
        <v>40849</v>
      </c>
      <c r="C731" s="20">
        <v>0</v>
      </c>
      <c r="D731" s="20">
        <v>13793</v>
      </c>
      <c r="M731" s="20">
        <v>370</v>
      </c>
      <c r="N731" s="20">
        <v>13974</v>
      </c>
      <c r="O731" s="20">
        <v>233012</v>
      </c>
      <c r="W731" s="20">
        <f t="shared" si="33"/>
        <v>261149</v>
      </c>
      <c r="X731" s="36">
        <v>-55061</v>
      </c>
      <c r="Y731" s="36">
        <v>-143395</v>
      </c>
      <c r="Z731" s="36">
        <v>0</v>
      </c>
      <c r="AA731" s="36">
        <v>-3809</v>
      </c>
      <c r="AB731" s="36">
        <v>-2389</v>
      </c>
      <c r="AC731" s="36">
        <v>-56494</v>
      </c>
      <c r="AD731" s="36">
        <v>0</v>
      </c>
      <c r="AE731" s="36"/>
      <c r="AF731" s="36"/>
      <c r="AG731" s="36"/>
      <c r="AH731" s="36"/>
      <c r="AI731" s="20">
        <f t="shared" si="34"/>
        <v>-261148</v>
      </c>
      <c r="AJ731" s="20">
        <f t="shared" si="35"/>
        <v>1</v>
      </c>
    </row>
    <row r="732" spans="1:36" x14ac:dyDescent="0.2">
      <c r="A732" s="17" t="s">
        <v>5327</v>
      </c>
      <c r="B732" s="17">
        <v>40856</v>
      </c>
      <c r="C732" s="20">
        <v>0</v>
      </c>
      <c r="D732" s="20">
        <v>13793</v>
      </c>
      <c r="M732" s="20">
        <v>370</v>
      </c>
      <c r="N732" s="20">
        <v>13963</v>
      </c>
      <c r="O732" s="20">
        <v>238846</v>
      </c>
      <c r="W732" s="20">
        <f t="shared" si="33"/>
        <v>266972</v>
      </c>
      <c r="X732" s="36">
        <v>-55008</v>
      </c>
      <c r="Y732" s="36">
        <v>-147465</v>
      </c>
      <c r="Z732" s="36">
        <v>0</v>
      </c>
      <c r="AA732" s="36">
        <v>-3812</v>
      </c>
      <c r="AB732" s="36">
        <v>-2389</v>
      </c>
      <c r="AC732" s="36">
        <v>-58298</v>
      </c>
      <c r="AD732" s="36">
        <v>0</v>
      </c>
      <c r="AE732" s="36"/>
      <c r="AF732" s="36"/>
      <c r="AG732" s="36"/>
      <c r="AH732" s="36"/>
      <c r="AI732" s="20">
        <f t="shared" si="34"/>
        <v>-266972</v>
      </c>
      <c r="AJ732" s="20">
        <f t="shared" si="35"/>
        <v>0</v>
      </c>
    </row>
    <row r="733" spans="1:36" x14ac:dyDescent="0.2">
      <c r="A733" s="17" t="s">
        <v>5328</v>
      </c>
      <c r="B733" s="17">
        <v>40863</v>
      </c>
      <c r="C733" s="20">
        <v>0</v>
      </c>
      <c r="D733" s="20">
        <v>13793</v>
      </c>
      <c r="M733" s="20">
        <v>370</v>
      </c>
      <c r="N733" s="20">
        <v>13993</v>
      </c>
      <c r="O733" s="20">
        <v>244533</v>
      </c>
      <c r="W733" s="20">
        <f t="shared" si="33"/>
        <v>272689</v>
      </c>
      <c r="X733" s="36">
        <v>-55107</v>
      </c>
      <c r="Y733" s="36">
        <v>-151601</v>
      </c>
      <c r="Z733" s="36">
        <v>0</v>
      </c>
      <c r="AA733" s="36">
        <v>-3847</v>
      </c>
      <c r="AB733" s="36">
        <v>-2388</v>
      </c>
      <c r="AC733" s="36">
        <v>-59746</v>
      </c>
      <c r="AD733" s="36">
        <v>0</v>
      </c>
      <c r="AE733" s="36"/>
      <c r="AF733" s="36"/>
      <c r="AG733" s="36"/>
      <c r="AH733" s="36"/>
      <c r="AI733" s="20">
        <f t="shared" si="34"/>
        <v>-272689</v>
      </c>
      <c r="AJ733" s="20">
        <f t="shared" si="35"/>
        <v>0</v>
      </c>
    </row>
    <row r="734" spans="1:36" x14ac:dyDescent="0.2">
      <c r="A734" s="17" t="s">
        <v>5329</v>
      </c>
      <c r="B734" s="17">
        <v>40870</v>
      </c>
      <c r="C734" s="20">
        <v>0</v>
      </c>
      <c r="D734" s="20">
        <v>12602</v>
      </c>
      <c r="M734" s="20">
        <v>370</v>
      </c>
      <c r="N734" s="20">
        <v>14022</v>
      </c>
      <c r="O734" s="20">
        <v>249562</v>
      </c>
      <c r="W734" s="20">
        <f t="shared" si="33"/>
        <v>276556</v>
      </c>
      <c r="X734" s="36">
        <v>-55252</v>
      </c>
      <c r="Y734" s="36">
        <v>-155203</v>
      </c>
      <c r="Z734" s="36">
        <v>0</v>
      </c>
      <c r="AA734" s="36">
        <v>-3910</v>
      </c>
      <c r="AB734" s="36">
        <v>-2388</v>
      </c>
      <c r="AC734" s="36">
        <v>-59802</v>
      </c>
      <c r="AD734" s="36">
        <v>0</v>
      </c>
      <c r="AE734" s="36"/>
      <c r="AF734" s="36"/>
      <c r="AG734" s="36"/>
      <c r="AH734" s="36"/>
      <c r="AI734" s="20">
        <f t="shared" si="34"/>
        <v>-276555</v>
      </c>
      <c r="AJ734" s="20">
        <f t="shared" si="35"/>
        <v>1</v>
      </c>
    </row>
    <row r="735" spans="1:36" x14ac:dyDescent="0.2">
      <c r="A735" s="17" t="s">
        <v>5330</v>
      </c>
      <c r="B735" s="17">
        <v>40877</v>
      </c>
      <c r="C735" s="20">
        <v>0</v>
      </c>
      <c r="D735" s="20">
        <v>12602</v>
      </c>
      <c r="M735" s="20">
        <v>370</v>
      </c>
      <c r="N735" s="20">
        <v>14146</v>
      </c>
      <c r="O735" s="20">
        <v>254741</v>
      </c>
      <c r="W735" s="20">
        <f t="shared" si="33"/>
        <v>281859</v>
      </c>
      <c r="X735" s="36">
        <v>-55754</v>
      </c>
      <c r="Y735" s="36">
        <v>-159879</v>
      </c>
      <c r="Z735" s="36">
        <v>0</v>
      </c>
      <c r="AA735" s="36">
        <v>-3858</v>
      </c>
      <c r="AB735" s="36">
        <v>-2404</v>
      </c>
      <c r="AC735" s="36">
        <v>-59964</v>
      </c>
      <c r="AD735" s="36">
        <v>0</v>
      </c>
      <c r="AE735" s="36"/>
      <c r="AF735" s="36"/>
      <c r="AG735" s="36"/>
      <c r="AH735" s="36"/>
      <c r="AI735" s="20">
        <f t="shared" si="34"/>
        <v>-281859</v>
      </c>
      <c r="AJ735" s="20">
        <f t="shared" si="35"/>
        <v>0</v>
      </c>
    </row>
    <row r="736" spans="1:36" x14ac:dyDescent="0.2">
      <c r="A736" s="17" t="s">
        <v>5331</v>
      </c>
      <c r="B736" s="17">
        <v>40884</v>
      </c>
      <c r="C736" s="20">
        <v>0</v>
      </c>
      <c r="D736" s="20">
        <v>12602</v>
      </c>
      <c r="M736" s="20">
        <v>370</v>
      </c>
      <c r="N736" s="20">
        <v>14043</v>
      </c>
      <c r="O736" s="20">
        <v>258565</v>
      </c>
      <c r="W736" s="20">
        <f t="shared" si="33"/>
        <v>285580</v>
      </c>
      <c r="X736" s="36">
        <v>-56149</v>
      </c>
      <c r="Y736" s="36">
        <v>-160378</v>
      </c>
      <c r="Z736" s="36">
        <v>0</v>
      </c>
      <c r="AA736" s="36">
        <v>-3876</v>
      </c>
      <c r="AB736" s="36">
        <v>-2386</v>
      </c>
      <c r="AC736" s="36">
        <v>-62791</v>
      </c>
      <c r="AD736" s="36">
        <v>0</v>
      </c>
      <c r="AE736" s="36"/>
      <c r="AF736" s="36"/>
      <c r="AG736" s="36"/>
      <c r="AH736" s="36"/>
      <c r="AI736" s="20">
        <f t="shared" si="34"/>
        <v>-285580</v>
      </c>
      <c r="AJ736" s="20">
        <f t="shared" si="35"/>
        <v>0</v>
      </c>
    </row>
    <row r="737" spans="1:36" x14ac:dyDescent="0.2">
      <c r="A737" s="17" t="s">
        <v>5332</v>
      </c>
      <c r="B737" s="17">
        <v>40891</v>
      </c>
      <c r="C737" s="20">
        <v>0</v>
      </c>
      <c r="D737" s="20">
        <v>12602</v>
      </c>
      <c r="M737" s="20">
        <v>370</v>
      </c>
      <c r="N737" s="20">
        <v>14045</v>
      </c>
      <c r="O737" s="20">
        <v>263834</v>
      </c>
      <c r="W737" s="20">
        <f t="shared" si="33"/>
        <v>290851</v>
      </c>
      <c r="X737" s="36">
        <v>-56526</v>
      </c>
      <c r="Y737" s="36">
        <v>-166100</v>
      </c>
      <c r="Z737" s="36">
        <v>0</v>
      </c>
      <c r="AA737" s="36">
        <v>-3940</v>
      </c>
      <c r="AB737" s="36">
        <v>-2386</v>
      </c>
      <c r="AC737" s="36">
        <v>-61900</v>
      </c>
      <c r="AD737" s="36">
        <v>0</v>
      </c>
      <c r="AE737" s="36"/>
      <c r="AF737" s="36"/>
      <c r="AG737" s="36"/>
      <c r="AH737" s="36"/>
      <c r="AI737" s="20">
        <f t="shared" si="34"/>
        <v>-290852</v>
      </c>
      <c r="AJ737" s="20">
        <f t="shared" si="35"/>
        <v>-1</v>
      </c>
    </row>
    <row r="738" spans="1:36" x14ac:dyDescent="0.2">
      <c r="A738" s="17" t="s">
        <v>5333</v>
      </c>
      <c r="B738" s="17">
        <v>40898</v>
      </c>
      <c r="C738" s="20">
        <v>0</v>
      </c>
      <c r="D738" s="20">
        <v>9992</v>
      </c>
      <c r="M738" s="20">
        <v>370</v>
      </c>
      <c r="N738" s="20">
        <v>14005</v>
      </c>
      <c r="O738" s="20">
        <v>265694</v>
      </c>
      <c r="W738" s="20">
        <f t="shared" si="33"/>
        <v>290061</v>
      </c>
      <c r="X738" s="36">
        <v>-57376</v>
      </c>
      <c r="Y738" s="36">
        <v>-165103</v>
      </c>
      <c r="Z738" s="36">
        <v>0</v>
      </c>
      <c r="AA738" s="36">
        <v>-3874</v>
      </c>
      <c r="AB738" s="36">
        <v>-2386</v>
      </c>
      <c r="AC738" s="36">
        <v>-61322</v>
      </c>
      <c r="AD738" s="36">
        <v>0</v>
      </c>
      <c r="AE738" s="36"/>
      <c r="AF738" s="36"/>
      <c r="AG738" s="36"/>
      <c r="AH738" s="36"/>
      <c r="AI738" s="20">
        <f t="shared" si="34"/>
        <v>-290061</v>
      </c>
      <c r="AJ738" s="20">
        <f t="shared" si="35"/>
        <v>0</v>
      </c>
    </row>
    <row r="739" spans="1:36" x14ac:dyDescent="0.2">
      <c r="A739" s="17" t="s">
        <v>5334</v>
      </c>
      <c r="B739" s="17">
        <v>40905</v>
      </c>
      <c r="C739" s="20">
        <v>0</v>
      </c>
      <c r="D739" s="20">
        <v>9992</v>
      </c>
      <c r="M739" s="20">
        <v>370</v>
      </c>
      <c r="N739" s="20">
        <v>14045</v>
      </c>
      <c r="O739" s="20">
        <v>265839</v>
      </c>
      <c r="W739" s="20">
        <f t="shared" si="33"/>
        <v>290246</v>
      </c>
      <c r="X739" s="36">
        <v>-57832</v>
      </c>
      <c r="Y739" s="36">
        <v>-164040</v>
      </c>
      <c r="Z739" s="36">
        <v>0</v>
      </c>
      <c r="AA739" s="36">
        <v>-3921</v>
      </c>
      <c r="AB739" s="36">
        <v>-2386</v>
      </c>
      <c r="AC739" s="36">
        <v>-62067</v>
      </c>
      <c r="AD739" s="36">
        <v>0</v>
      </c>
      <c r="AE739" s="36"/>
      <c r="AF739" s="36"/>
      <c r="AG739" s="36"/>
      <c r="AH739" s="36"/>
      <c r="AI739" s="20">
        <f t="shared" si="34"/>
        <v>-290246</v>
      </c>
      <c r="AJ739" s="20">
        <f t="shared" si="35"/>
        <v>0</v>
      </c>
    </row>
    <row r="740" spans="1:36" x14ac:dyDescent="0.2">
      <c r="A740" s="17" t="s">
        <v>5335</v>
      </c>
      <c r="B740" s="17">
        <v>40912</v>
      </c>
      <c r="C740" s="20">
        <v>0</v>
      </c>
      <c r="D740" s="20">
        <v>9992</v>
      </c>
      <c r="M740" s="20">
        <v>370</v>
      </c>
      <c r="N740" s="20">
        <v>13986</v>
      </c>
      <c r="O740" s="20">
        <v>267874</v>
      </c>
      <c r="W740" s="20">
        <f t="shared" si="33"/>
        <v>292222</v>
      </c>
      <c r="X740" s="36">
        <v>-56615</v>
      </c>
      <c r="Y740" s="36">
        <v>-167141</v>
      </c>
      <c r="Z740" s="36">
        <v>0</v>
      </c>
      <c r="AA740" s="36">
        <v>-3890</v>
      </c>
      <c r="AB740" s="36">
        <v>-2386</v>
      </c>
      <c r="AC740" s="36">
        <v>-62190</v>
      </c>
      <c r="AD740" s="36">
        <v>0</v>
      </c>
      <c r="AE740" s="36"/>
      <c r="AF740" s="36"/>
      <c r="AG740" s="36"/>
      <c r="AH740" s="36"/>
      <c r="AI740" s="20">
        <f t="shared" si="34"/>
        <v>-292222</v>
      </c>
      <c r="AJ740" s="20">
        <f t="shared" si="35"/>
        <v>0</v>
      </c>
    </row>
    <row r="741" spans="1:36" x14ac:dyDescent="0.2">
      <c r="A741" s="17" t="s">
        <v>5336</v>
      </c>
      <c r="B741" s="17">
        <v>40919</v>
      </c>
      <c r="C741" s="20">
        <v>0</v>
      </c>
      <c r="D741" s="20">
        <v>9992</v>
      </c>
      <c r="M741" s="20">
        <v>370</v>
      </c>
      <c r="N741" s="20">
        <v>14147</v>
      </c>
      <c r="O741" s="20">
        <v>272637</v>
      </c>
      <c r="W741" s="20">
        <f t="shared" si="33"/>
        <v>297146</v>
      </c>
      <c r="X741" s="36">
        <v>-55206</v>
      </c>
      <c r="Y741" s="36">
        <v>-173551</v>
      </c>
      <c r="Z741" s="36">
        <v>0</v>
      </c>
      <c r="AA741" s="36">
        <v>-3956</v>
      </c>
      <c r="AB741" s="36">
        <v>-2386</v>
      </c>
      <c r="AC741" s="36">
        <v>-62047</v>
      </c>
      <c r="AD741" s="36">
        <v>0</v>
      </c>
      <c r="AE741" s="36"/>
      <c r="AF741" s="36"/>
      <c r="AG741" s="36"/>
      <c r="AH741" s="36"/>
      <c r="AI741" s="20">
        <f t="shared" si="34"/>
        <v>-297146</v>
      </c>
      <c r="AJ741" s="20">
        <f t="shared" si="35"/>
        <v>0</v>
      </c>
    </row>
    <row r="742" spans="1:36" x14ac:dyDescent="0.2">
      <c r="A742" s="17" t="s">
        <v>5337</v>
      </c>
      <c r="B742" s="17">
        <v>40926</v>
      </c>
      <c r="C742" s="20">
        <v>0</v>
      </c>
      <c r="D742" s="20">
        <v>5545</v>
      </c>
      <c r="M742" s="20">
        <v>370</v>
      </c>
      <c r="N742" s="20">
        <v>14043</v>
      </c>
      <c r="O742" s="20">
        <v>276969</v>
      </c>
      <c r="W742" s="20">
        <f t="shared" si="33"/>
        <v>296927</v>
      </c>
      <c r="X742" s="36">
        <v>-54584</v>
      </c>
      <c r="Y742" s="36">
        <v>-174323</v>
      </c>
      <c r="Z742" s="36">
        <v>0</v>
      </c>
      <c r="AA742" s="36">
        <v>-3944</v>
      </c>
      <c r="AB742" s="36">
        <v>-2386</v>
      </c>
      <c r="AC742" s="36">
        <v>-61690</v>
      </c>
      <c r="AD742" s="36">
        <v>0</v>
      </c>
      <c r="AE742" s="36"/>
      <c r="AF742" s="36"/>
      <c r="AG742" s="36"/>
      <c r="AH742" s="36"/>
      <c r="AI742" s="20">
        <f t="shared" si="34"/>
        <v>-296927</v>
      </c>
      <c r="AJ742" s="20">
        <f t="shared" si="35"/>
        <v>0</v>
      </c>
    </row>
    <row r="743" spans="1:36" x14ac:dyDescent="0.2">
      <c r="A743" s="17" t="s">
        <v>5338</v>
      </c>
      <c r="B743" s="17">
        <v>40933</v>
      </c>
      <c r="C743" s="20">
        <v>0</v>
      </c>
      <c r="D743" s="20">
        <v>5545</v>
      </c>
      <c r="M743" s="20">
        <v>370</v>
      </c>
      <c r="N743" s="20">
        <v>13891</v>
      </c>
      <c r="O743" s="20">
        <v>281666</v>
      </c>
      <c r="W743" s="20">
        <f t="shared" si="33"/>
        <v>301472</v>
      </c>
      <c r="X743" s="36">
        <v>-54527</v>
      </c>
      <c r="Y743" s="36">
        <v>-179033</v>
      </c>
      <c r="Z743" s="36">
        <v>0</v>
      </c>
      <c r="AA743" s="36">
        <v>-3898</v>
      </c>
      <c r="AB743" s="36">
        <v>-2386</v>
      </c>
      <c r="AC743" s="36">
        <v>-61628</v>
      </c>
      <c r="AD743" s="36">
        <v>0</v>
      </c>
      <c r="AE743" s="36"/>
      <c r="AF743" s="36"/>
      <c r="AG743" s="36"/>
      <c r="AH743" s="36"/>
      <c r="AI743" s="20">
        <f t="shared" si="34"/>
        <v>-301472</v>
      </c>
      <c r="AJ743" s="20">
        <f t="shared" si="35"/>
        <v>0</v>
      </c>
    </row>
    <row r="744" spans="1:36" x14ac:dyDescent="0.2">
      <c r="A744" s="17" t="s">
        <v>5339</v>
      </c>
      <c r="B744" s="17">
        <v>40940</v>
      </c>
      <c r="C744" s="20">
        <v>0</v>
      </c>
      <c r="D744" s="20">
        <v>5545</v>
      </c>
      <c r="M744" s="20">
        <v>370</v>
      </c>
      <c r="N744" s="20">
        <v>13926</v>
      </c>
      <c r="O744" s="20">
        <v>286587</v>
      </c>
      <c r="W744" s="20">
        <f t="shared" si="33"/>
        <v>306428</v>
      </c>
      <c r="X744" s="36">
        <v>-54670</v>
      </c>
      <c r="Y744" s="36">
        <v>-184047</v>
      </c>
      <c r="Z744" s="36">
        <v>0</v>
      </c>
      <c r="AA744" s="36">
        <v>-3833</v>
      </c>
      <c r="AB744" s="36">
        <v>-2386</v>
      </c>
      <c r="AC744" s="36">
        <v>-61492</v>
      </c>
      <c r="AD744" s="36">
        <v>0</v>
      </c>
      <c r="AE744" s="36"/>
      <c r="AF744" s="36"/>
      <c r="AG744" s="36"/>
      <c r="AH744" s="36"/>
      <c r="AI744" s="20">
        <f t="shared" si="34"/>
        <v>-306428</v>
      </c>
      <c r="AJ744" s="20">
        <f t="shared" si="35"/>
        <v>0</v>
      </c>
    </row>
    <row r="745" spans="1:36" x14ac:dyDescent="0.2">
      <c r="A745" s="17" t="s">
        <v>5340</v>
      </c>
      <c r="B745" s="17">
        <v>40947</v>
      </c>
      <c r="C745" s="20">
        <v>0</v>
      </c>
      <c r="D745" s="20">
        <v>5545</v>
      </c>
      <c r="M745" s="20">
        <v>370</v>
      </c>
      <c r="N745" s="20">
        <v>13909</v>
      </c>
      <c r="O745" s="20">
        <v>288519</v>
      </c>
      <c r="W745" s="20">
        <f t="shared" si="33"/>
        <v>308343</v>
      </c>
      <c r="X745" s="36">
        <v>-54655</v>
      </c>
      <c r="Y745" s="36">
        <v>-185831</v>
      </c>
      <c r="Z745" s="36">
        <v>0</v>
      </c>
      <c r="AA745" s="36">
        <v>-3840</v>
      </c>
      <c r="AB745" s="36">
        <v>-2386</v>
      </c>
      <c r="AC745" s="36">
        <v>-61631</v>
      </c>
      <c r="AD745" s="36">
        <v>0</v>
      </c>
      <c r="AE745" s="36"/>
      <c r="AF745" s="36"/>
      <c r="AG745" s="36"/>
      <c r="AH745" s="36"/>
      <c r="AI745" s="20">
        <f t="shared" si="34"/>
        <v>-308343</v>
      </c>
      <c r="AJ745" s="20">
        <f t="shared" si="35"/>
        <v>0</v>
      </c>
    </row>
    <row r="746" spans="1:36" x14ac:dyDescent="0.2">
      <c r="A746" s="17" t="s">
        <v>5341</v>
      </c>
      <c r="B746" s="17">
        <v>40954</v>
      </c>
      <c r="C746" s="20">
        <v>0</v>
      </c>
      <c r="D746" s="20">
        <v>5545</v>
      </c>
      <c r="M746" s="20">
        <v>370</v>
      </c>
      <c r="N746" s="20">
        <v>13892</v>
      </c>
      <c r="O746" s="20">
        <v>291653</v>
      </c>
      <c r="W746" s="20">
        <f t="shared" si="33"/>
        <v>311460</v>
      </c>
      <c r="X746" s="36">
        <v>-54568</v>
      </c>
      <c r="Y746" s="36">
        <v>-188975</v>
      </c>
      <c r="Z746" s="36">
        <v>0</v>
      </c>
      <c r="AA746" s="36">
        <v>-3870</v>
      </c>
      <c r="AB746" s="36">
        <v>-2386</v>
      </c>
      <c r="AC746" s="36">
        <v>-61660</v>
      </c>
      <c r="AD746" s="36">
        <v>0</v>
      </c>
      <c r="AE746" s="36"/>
      <c r="AF746" s="36"/>
      <c r="AG746" s="36"/>
      <c r="AH746" s="36"/>
      <c r="AI746" s="20">
        <f t="shared" si="34"/>
        <v>-311459</v>
      </c>
      <c r="AJ746" s="20">
        <f t="shared" si="35"/>
        <v>1</v>
      </c>
    </row>
    <row r="747" spans="1:36" x14ac:dyDescent="0.2">
      <c r="A747" s="17" t="s">
        <v>5342</v>
      </c>
      <c r="B747" s="17">
        <v>40961</v>
      </c>
      <c r="C747" s="20">
        <v>0</v>
      </c>
      <c r="D747" s="20">
        <v>3365</v>
      </c>
      <c r="M747" s="20">
        <v>370</v>
      </c>
      <c r="N747" s="20">
        <v>13939</v>
      </c>
      <c r="O747" s="20">
        <v>295844</v>
      </c>
      <c r="W747" s="20">
        <f t="shared" si="33"/>
        <v>313518</v>
      </c>
      <c r="X747" s="36">
        <v>-54733</v>
      </c>
      <c r="Y747" s="36">
        <v>-192156</v>
      </c>
      <c r="Z747" s="36">
        <v>0</v>
      </c>
      <c r="AA747" s="36">
        <v>-3875</v>
      </c>
      <c r="AB747" s="36">
        <v>-2386</v>
      </c>
      <c r="AC747" s="36">
        <v>-60368</v>
      </c>
      <c r="AD747" s="36">
        <v>0</v>
      </c>
      <c r="AE747" s="36"/>
      <c r="AF747" s="36"/>
      <c r="AG747" s="36"/>
      <c r="AH747" s="36"/>
      <c r="AI747" s="20">
        <f t="shared" si="34"/>
        <v>-313518</v>
      </c>
      <c r="AJ747" s="20">
        <f t="shared" si="35"/>
        <v>0</v>
      </c>
    </row>
    <row r="748" spans="1:36" x14ac:dyDescent="0.2">
      <c r="A748" s="17" t="s">
        <v>5343</v>
      </c>
      <c r="B748" s="17">
        <v>40968</v>
      </c>
      <c r="C748" s="20">
        <v>0</v>
      </c>
      <c r="D748" s="20">
        <v>3365</v>
      </c>
      <c r="M748" s="20">
        <v>370</v>
      </c>
      <c r="N748" s="20">
        <v>15013</v>
      </c>
      <c r="O748" s="20">
        <v>302480</v>
      </c>
      <c r="W748" s="20">
        <f t="shared" si="33"/>
        <v>321228</v>
      </c>
      <c r="X748" s="36">
        <v>-54921</v>
      </c>
      <c r="Y748" s="36">
        <v>-195587</v>
      </c>
      <c r="Z748" s="36">
        <v>0</v>
      </c>
      <c r="AA748" s="36">
        <v>-5048</v>
      </c>
      <c r="AB748" s="36">
        <v>-2386</v>
      </c>
      <c r="AC748" s="36">
        <v>-63287</v>
      </c>
      <c r="AD748" s="36">
        <v>0</v>
      </c>
      <c r="AE748" s="36"/>
      <c r="AF748" s="36"/>
      <c r="AG748" s="36"/>
      <c r="AH748" s="36"/>
      <c r="AI748" s="20">
        <f t="shared" si="34"/>
        <v>-321229</v>
      </c>
      <c r="AJ748" s="20">
        <f t="shared" si="35"/>
        <v>-1</v>
      </c>
    </row>
    <row r="749" spans="1:36" x14ac:dyDescent="0.2">
      <c r="A749" s="17" t="s">
        <v>5344</v>
      </c>
      <c r="B749" s="17">
        <v>40975</v>
      </c>
      <c r="C749" s="20">
        <v>0</v>
      </c>
      <c r="D749" s="20">
        <v>3365</v>
      </c>
      <c r="M749" s="20">
        <v>370</v>
      </c>
      <c r="N749" s="20">
        <v>14813</v>
      </c>
      <c r="O749" s="20">
        <v>306016</v>
      </c>
      <c r="W749" s="20">
        <f t="shared" si="33"/>
        <v>324564</v>
      </c>
      <c r="X749" s="36">
        <v>-55269</v>
      </c>
      <c r="Y749" s="36">
        <v>-196101</v>
      </c>
      <c r="Z749" s="36">
        <v>0</v>
      </c>
      <c r="AA749" s="36">
        <v>-5135</v>
      </c>
      <c r="AB749" s="36">
        <v>-2386</v>
      </c>
      <c r="AC749" s="36">
        <v>-65674</v>
      </c>
      <c r="AD749" s="36">
        <v>0</v>
      </c>
      <c r="AE749" s="36"/>
      <c r="AF749" s="36"/>
      <c r="AG749" s="36"/>
      <c r="AH749" s="36"/>
      <c r="AI749" s="20">
        <f t="shared" si="34"/>
        <v>-324565</v>
      </c>
      <c r="AJ749" s="20">
        <f t="shared" si="35"/>
        <v>-1</v>
      </c>
    </row>
    <row r="750" spans="1:36" x14ac:dyDescent="0.2">
      <c r="A750" s="17" t="s">
        <v>5345</v>
      </c>
      <c r="B750" s="17">
        <v>40982</v>
      </c>
      <c r="C750" s="20">
        <v>0</v>
      </c>
      <c r="D750" s="20">
        <v>3365</v>
      </c>
      <c r="M750" s="20">
        <v>370</v>
      </c>
      <c r="N750" s="20">
        <v>14735</v>
      </c>
      <c r="O750" s="20">
        <v>311150</v>
      </c>
      <c r="W750" s="20">
        <f t="shared" si="33"/>
        <v>329620</v>
      </c>
      <c r="X750" s="36">
        <v>-55015</v>
      </c>
      <c r="Y750" s="36">
        <v>-201491</v>
      </c>
      <c r="Z750" s="36">
        <v>0</v>
      </c>
      <c r="AA750" s="36">
        <v>-5134</v>
      </c>
      <c r="AB750" s="36">
        <v>-2386</v>
      </c>
      <c r="AC750" s="36">
        <v>-65594</v>
      </c>
      <c r="AD750" s="36">
        <v>0</v>
      </c>
      <c r="AE750" s="36"/>
      <c r="AF750" s="36"/>
      <c r="AG750" s="36"/>
      <c r="AH750" s="36"/>
      <c r="AI750" s="20">
        <f t="shared" si="34"/>
        <v>-329620</v>
      </c>
      <c r="AJ750" s="20">
        <f t="shared" si="35"/>
        <v>0</v>
      </c>
    </row>
    <row r="751" spans="1:36" x14ac:dyDescent="0.2">
      <c r="A751" s="17" t="s">
        <v>5346</v>
      </c>
      <c r="B751" s="17">
        <v>40989</v>
      </c>
      <c r="C751" s="20">
        <v>0</v>
      </c>
      <c r="D751" s="20">
        <v>2407</v>
      </c>
      <c r="M751" s="20">
        <v>370</v>
      </c>
      <c r="N751" s="20">
        <v>14189</v>
      </c>
      <c r="O751" s="20">
        <v>314659</v>
      </c>
      <c r="W751" s="20">
        <f t="shared" si="33"/>
        <v>331625</v>
      </c>
      <c r="X751" s="36">
        <v>-55022</v>
      </c>
      <c r="Y751" s="36">
        <v>-204514</v>
      </c>
      <c r="Z751" s="36">
        <v>0</v>
      </c>
      <c r="AA751" s="36">
        <v>-3821</v>
      </c>
      <c r="AB751" s="36">
        <v>-2386</v>
      </c>
      <c r="AC751" s="36">
        <v>-65883</v>
      </c>
      <c r="AD751" s="36">
        <v>0</v>
      </c>
      <c r="AE751" s="36"/>
      <c r="AF751" s="36"/>
      <c r="AG751" s="36"/>
      <c r="AH751" s="36"/>
      <c r="AI751" s="20">
        <f t="shared" si="34"/>
        <v>-331626</v>
      </c>
      <c r="AJ751" s="20">
        <f t="shared" si="35"/>
        <v>-1</v>
      </c>
    </row>
    <row r="752" spans="1:36" x14ac:dyDescent="0.2">
      <c r="A752" s="17" t="s">
        <v>5347</v>
      </c>
      <c r="B752" s="17">
        <v>40996</v>
      </c>
      <c r="C752" s="20">
        <v>0</v>
      </c>
      <c r="D752" s="20">
        <v>2407</v>
      </c>
      <c r="M752" s="20">
        <v>370</v>
      </c>
      <c r="N752" s="20">
        <v>14272</v>
      </c>
      <c r="O752" s="20">
        <v>317101</v>
      </c>
      <c r="W752" s="20">
        <f t="shared" si="33"/>
        <v>334150</v>
      </c>
      <c r="X752" s="36">
        <v>-55278</v>
      </c>
      <c r="Y752" s="36">
        <v>-206987</v>
      </c>
      <c r="Z752" s="36">
        <v>0</v>
      </c>
      <c r="AA752" s="36">
        <v>-3826</v>
      </c>
      <c r="AB752" s="36">
        <v>-2386</v>
      </c>
      <c r="AC752" s="36">
        <v>-65674</v>
      </c>
      <c r="AD752" s="36">
        <v>0</v>
      </c>
      <c r="AE752" s="36"/>
      <c r="AF752" s="36"/>
      <c r="AG752" s="36"/>
      <c r="AH752" s="36"/>
      <c r="AI752" s="20">
        <f t="shared" si="34"/>
        <v>-334151</v>
      </c>
      <c r="AJ752" s="20">
        <f t="shared" si="35"/>
        <v>-1</v>
      </c>
    </row>
    <row r="753" spans="1:36" x14ac:dyDescent="0.2">
      <c r="A753" s="17" t="s">
        <v>5348</v>
      </c>
      <c r="B753" s="17">
        <v>41003</v>
      </c>
      <c r="C753" s="20">
        <v>0</v>
      </c>
      <c r="D753" s="20">
        <v>2407</v>
      </c>
      <c r="M753" s="20">
        <v>370</v>
      </c>
      <c r="N753" s="20">
        <v>14271</v>
      </c>
      <c r="O753" s="20">
        <v>321256</v>
      </c>
      <c r="W753" s="20">
        <f t="shared" si="33"/>
        <v>338304</v>
      </c>
      <c r="X753" s="36">
        <v>-56331</v>
      </c>
      <c r="Y753" s="36">
        <v>-210767</v>
      </c>
      <c r="Z753" s="36">
        <v>0</v>
      </c>
      <c r="AA753" s="36">
        <v>-3818</v>
      </c>
      <c r="AB753" s="36">
        <v>-2386</v>
      </c>
      <c r="AC753" s="36">
        <v>-65002</v>
      </c>
      <c r="AD753" s="36">
        <v>0</v>
      </c>
      <c r="AE753" s="36"/>
      <c r="AF753" s="36"/>
      <c r="AG753" s="36"/>
      <c r="AH753" s="36"/>
      <c r="AI753" s="20">
        <f t="shared" si="34"/>
        <v>-338304</v>
      </c>
      <c r="AJ753" s="20">
        <f t="shared" si="35"/>
        <v>0</v>
      </c>
    </row>
    <row r="754" spans="1:36" x14ac:dyDescent="0.2">
      <c r="A754" s="17" t="s">
        <v>5349</v>
      </c>
      <c r="B754" s="17">
        <v>41010</v>
      </c>
      <c r="C754" s="20">
        <v>0</v>
      </c>
      <c r="D754" s="20">
        <v>2407</v>
      </c>
      <c r="M754" s="20">
        <v>370</v>
      </c>
      <c r="N754" s="20">
        <v>14306</v>
      </c>
      <c r="O754" s="20">
        <v>323959</v>
      </c>
      <c r="W754" s="20">
        <f t="shared" si="33"/>
        <v>341042</v>
      </c>
      <c r="X754" s="36">
        <v>-56561</v>
      </c>
      <c r="Y754" s="36">
        <v>-215294</v>
      </c>
      <c r="Z754" s="36">
        <v>0</v>
      </c>
      <c r="AA754" s="36">
        <v>-3813</v>
      </c>
      <c r="AB754" s="36">
        <v>-2386</v>
      </c>
      <c r="AC754" s="36">
        <v>-62987</v>
      </c>
      <c r="AD754" s="36">
        <v>0</v>
      </c>
      <c r="AE754" s="36"/>
      <c r="AF754" s="36"/>
      <c r="AG754" s="36"/>
      <c r="AH754" s="36"/>
      <c r="AI754" s="20">
        <f t="shared" si="34"/>
        <v>-341041</v>
      </c>
      <c r="AJ754" s="20">
        <f t="shared" si="35"/>
        <v>1</v>
      </c>
    </row>
    <row r="755" spans="1:36" x14ac:dyDescent="0.2">
      <c r="A755" s="17" t="s">
        <v>5350</v>
      </c>
      <c r="B755" s="17">
        <v>41017</v>
      </c>
      <c r="C755" s="20">
        <v>0</v>
      </c>
      <c r="D755" s="20">
        <v>2190</v>
      </c>
      <c r="M755" s="20">
        <v>370</v>
      </c>
      <c r="N755" s="20">
        <v>14104</v>
      </c>
      <c r="O755" s="20">
        <v>329267</v>
      </c>
      <c r="W755" s="20">
        <f t="shared" si="33"/>
        <v>345931</v>
      </c>
      <c r="X755" s="36">
        <v>-55662</v>
      </c>
      <c r="Y755" s="36">
        <v>-220101</v>
      </c>
      <c r="Z755" s="36">
        <v>0</v>
      </c>
      <c r="AA755" s="36">
        <v>-3784</v>
      </c>
      <c r="AB755" s="36">
        <v>-2386</v>
      </c>
      <c r="AC755" s="36">
        <v>-63997</v>
      </c>
      <c r="AD755" s="36">
        <v>0</v>
      </c>
      <c r="AE755" s="36"/>
      <c r="AF755" s="36"/>
      <c r="AG755" s="36"/>
      <c r="AH755" s="36"/>
      <c r="AI755" s="20">
        <f t="shared" si="34"/>
        <v>-345930</v>
      </c>
      <c r="AJ755" s="20">
        <f t="shared" si="35"/>
        <v>1</v>
      </c>
    </row>
    <row r="756" spans="1:36" x14ac:dyDescent="0.2">
      <c r="A756" s="17" t="s">
        <v>5351</v>
      </c>
      <c r="B756" s="17">
        <v>41024</v>
      </c>
      <c r="C756" s="20">
        <v>0</v>
      </c>
      <c r="D756" s="20">
        <v>2190</v>
      </c>
      <c r="M756" s="20">
        <v>370</v>
      </c>
      <c r="N756" s="20">
        <v>13778</v>
      </c>
      <c r="O756" s="20">
        <v>334914</v>
      </c>
      <c r="W756" s="20">
        <f t="shared" si="33"/>
        <v>351252</v>
      </c>
      <c r="X756" s="36">
        <v>-55276</v>
      </c>
      <c r="Y756" s="36">
        <v>-226233</v>
      </c>
      <c r="Z756" s="36">
        <v>0</v>
      </c>
      <c r="AA756" s="36">
        <v>-3763</v>
      </c>
      <c r="AB756" s="36">
        <v>-2386</v>
      </c>
      <c r="AC756" s="36">
        <v>-63594</v>
      </c>
      <c r="AD756" s="36">
        <v>0</v>
      </c>
      <c r="AE756" s="36"/>
      <c r="AF756" s="36"/>
      <c r="AG756" s="36"/>
      <c r="AH756" s="36"/>
      <c r="AI756" s="20">
        <f t="shared" si="34"/>
        <v>-351252</v>
      </c>
      <c r="AJ756" s="20">
        <f t="shared" si="35"/>
        <v>0</v>
      </c>
    </row>
    <row r="757" spans="1:36" x14ac:dyDescent="0.2">
      <c r="A757" s="17" t="s">
        <v>5352</v>
      </c>
      <c r="B757" s="17">
        <v>41031</v>
      </c>
      <c r="C757" s="20">
        <v>0</v>
      </c>
      <c r="D757" s="20">
        <v>2190</v>
      </c>
      <c r="M757" s="20">
        <v>370</v>
      </c>
      <c r="N757" s="20">
        <v>13806</v>
      </c>
      <c r="O757" s="20">
        <v>339085</v>
      </c>
      <c r="W757" s="20">
        <f t="shared" si="33"/>
        <v>355451</v>
      </c>
      <c r="X757" s="36">
        <v>-55539</v>
      </c>
      <c r="Y757" s="36">
        <v>-230146</v>
      </c>
      <c r="Z757" s="36">
        <v>0</v>
      </c>
      <c r="AA757" s="36">
        <v>-3742</v>
      </c>
      <c r="AB757" s="36">
        <v>-2386</v>
      </c>
      <c r="AC757" s="36">
        <v>-63638</v>
      </c>
      <c r="AD757" s="36">
        <v>0</v>
      </c>
      <c r="AE757" s="36"/>
      <c r="AF757" s="36"/>
      <c r="AG757" s="36"/>
      <c r="AH757" s="36"/>
      <c r="AI757" s="20">
        <f t="shared" si="34"/>
        <v>-355451</v>
      </c>
      <c r="AJ757" s="20">
        <f t="shared" si="35"/>
        <v>0</v>
      </c>
    </row>
    <row r="758" spans="1:36" x14ac:dyDescent="0.2">
      <c r="A758" s="17" t="s">
        <v>5353</v>
      </c>
      <c r="B758" s="17">
        <v>41038</v>
      </c>
      <c r="C758" s="20">
        <v>0</v>
      </c>
      <c r="D758" s="20">
        <v>2190</v>
      </c>
      <c r="M758" s="20">
        <v>370</v>
      </c>
      <c r="N758" s="20">
        <v>13830</v>
      </c>
      <c r="O758" s="20">
        <v>339979</v>
      </c>
      <c r="W758" s="20">
        <f t="shared" si="33"/>
        <v>356369</v>
      </c>
      <c r="X758" s="36">
        <v>-55942</v>
      </c>
      <c r="Y758" s="36">
        <v>-231187</v>
      </c>
      <c r="Z758" s="36">
        <v>0</v>
      </c>
      <c r="AA758" s="36">
        <v>-3764</v>
      </c>
      <c r="AB758" s="36">
        <v>-2386</v>
      </c>
      <c r="AC758" s="36">
        <v>-63090</v>
      </c>
      <c r="AD758" s="36">
        <v>0</v>
      </c>
      <c r="AE758" s="36"/>
      <c r="AF758" s="36"/>
      <c r="AG758" s="36"/>
      <c r="AH758" s="36"/>
      <c r="AI758" s="20">
        <f t="shared" si="34"/>
        <v>-356369</v>
      </c>
      <c r="AJ758" s="20">
        <f t="shared" si="35"/>
        <v>0</v>
      </c>
    </row>
    <row r="759" spans="1:36" x14ac:dyDescent="0.2">
      <c r="A759" s="17" t="s">
        <v>5354</v>
      </c>
      <c r="B759" s="17">
        <v>41045</v>
      </c>
      <c r="C759" s="20">
        <v>0</v>
      </c>
      <c r="D759" s="20">
        <v>2190</v>
      </c>
      <c r="M759" s="20">
        <v>370</v>
      </c>
      <c r="N759" s="20">
        <v>13820</v>
      </c>
      <c r="O759" s="20">
        <v>340427</v>
      </c>
      <c r="W759" s="20">
        <f t="shared" si="33"/>
        <v>356807</v>
      </c>
      <c r="X759" s="36">
        <v>-55529</v>
      </c>
      <c r="Y759" s="36">
        <v>-231216</v>
      </c>
      <c r="Z759" s="36">
        <v>0</v>
      </c>
      <c r="AA759" s="36">
        <v>-3803</v>
      </c>
      <c r="AB759" s="36">
        <v>-2386</v>
      </c>
      <c r="AC759" s="36">
        <v>-63872</v>
      </c>
      <c r="AD759" s="36">
        <v>0</v>
      </c>
      <c r="AE759" s="36"/>
      <c r="AF759" s="36"/>
      <c r="AG759" s="36"/>
      <c r="AH759" s="36"/>
      <c r="AI759" s="20">
        <f t="shared" si="34"/>
        <v>-356806</v>
      </c>
      <c r="AJ759" s="20">
        <f t="shared" si="35"/>
        <v>1</v>
      </c>
    </row>
    <row r="760" spans="1:36" x14ac:dyDescent="0.2">
      <c r="A760" s="17" t="s">
        <v>5355</v>
      </c>
      <c r="B760" s="17">
        <v>41052</v>
      </c>
      <c r="C760" s="20">
        <v>0</v>
      </c>
      <c r="D760" s="20">
        <v>1195</v>
      </c>
      <c r="M760" s="20">
        <v>370</v>
      </c>
      <c r="N760" s="20">
        <v>13880</v>
      </c>
      <c r="O760" s="20">
        <v>340808</v>
      </c>
      <c r="W760" s="20">
        <f t="shared" si="33"/>
        <v>356253</v>
      </c>
      <c r="X760" s="36">
        <v>-55520</v>
      </c>
      <c r="Y760" s="36">
        <v>-230031</v>
      </c>
      <c r="Z760" s="36">
        <v>0</v>
      </c>
      <c r="AA760" s="36">
        <v>-3852</v>
      </c>
      <c r="AB760" s="36">
        <v>-2386</v>
      </c>
      <c r="AC760" s="36">
        <v>-64464</v>
      </c>
      <c r="AD760" s="36">
        <v>0</v>
      </c>
      <c r="AE760" s="36"/>
      <c r="AF760" s="36"/>
      <c r="AG760" s="36"/>
      <c r="AH760" s="36"/>
      <c r="AI760" s="20">
        <f t="shared" si="34"/>
        <v>-356253</v>
      </c>
      <c r="AJ760" s="20">
        <f t="shared" si="35"/>
        <v>0</v>
      </c>
    </row>
    <row r="761" spans="1:36" x14ac:dyDescent="0.2">
      <c r="A761" s="17" t="s">
        <v>5356</v>
      </c>
      <c r="B761" s="17">
        <v>41059</v>
      </c>
      <c r="C761" s="20">
        <v>0</v>
      </c>
      <c r="D761" s="20">
        <v>1195</v>
      </c>
      <c r="M761" s="20">
        <v>370</v>
      </c>
      <c r="N761" s="20">
        <v>13950</v>
      </c>
      <c r="O761" s="20">
        <v>340662</v>
      </c>
      <c r="W761" s="20">
        <f t="shared" si="33"/>
        <v>356177</v>
      </c>
      <c r="X761" s="36">
        <v>-56183</v>
      </c>
      <c r="Y761" s="36">
        <v>-229369</v>
      </c>
      <c r="Z761" s="36">
        <v>0</v>
      </c>
      <c r="AA761" s="36">
        <v>-3899</v>
      </c>
      <c r="AB761" s="36">
        <v>-2386</v>
      </c>
      <c r="AC761" s="36">
        <v>-64341</v>
      </c>
      <c r="AD761" s="36">
        <v>0</v>
      </c>
      <c r="AE761" s="36"/>
      <c r="AF761" s="36"/>
      <c r="AG761" s="36"/>
      <c r="AH761" s="36"/>
      <c r="AI761" s="20">
        <f t="shared" si="34"/>
        <v>-356178</v>
      </c>
      <c r="AJ761" s="20">
        <f t="shared" si="35"/>
        <v>-1</v>
      </c>
    </row>
    <row r="762" spans="1:36" x14ac:dyDescent="0.2">
      <c r="A762" s="17" t="s">
        <v>5357</v>
      </c>
      <c r="B762" s="17">
        <v>41066</v>
      </c>
      <c r="C762" s="20">
        <v>0</v>
      </c>
      <c r="D762" s="20">
        <v>1195</v>
      </c>
      <c r="M762" s="20">
        <v>370</v>
      </c>
      <c r="N762" s="20">
        <v>14045</v>
      </c>
      <c r="O762" s="20">
        <v>340710</v>
      </c>
      <c r="W762" s="20">
        <f t="shared" si="33"/>
        <v>356320</v>
      </c>
      <c r="X762" s="36">
        <v>-57194</v>
      </c>
      <c r="Y762" s="36">
        <v>-229131</v>
      </c>
      <c r="Z762" s="36">
        <v>0</v>
      </c>
      <c r="AA762" s="36">
        <v>-3918</v>
      </c>
      <c r="AB762" s="36">
        <v>-2419</v>
      </c>
      <c r="AC762" s="36">
        <v>-63658</v>
      </c>
      <c r="AD762" s="36">
        <v>0</v>
      </c>
      <c r="AE762" s="36"/>
      <c r="AF762" s="36"/>
      <c r="AG762" s="36"/>
      <c r="AH762" s="36"/>
      <c r="AI762" s="20">
        <f t="shared" si="34"/>
        <v>-356320</v>
      </c>
      <c r="AJ762" s="20">
        <f t="shared" si="35"/>
        <v>0</v>
      </c>
    </row>
    <row r="763" spans="1:36" x14ac:dyDescent="0.2">
      <c r="A763" s="17" t="s">
        <v>5358</v>
      </c>
      <c r="B763" s="17">
        <v>41073</v>
      </c>
      <c r="C763" s="20">
        <v>0</v>
      </c>
      <c r="D763" s="20">
        <v>1195</v>
      </c>
      <c r="M763" s="20">
        <v>370</v>
      </c>
      <c r="N763" s="20">
        <v>13606</v>
      </c>
      <c r="O763" s="20">
        <v>340439</v>
      </c>
      <c r="W763" s="20">
        <f t="shared" si="33"/>
        <v>355610</v>
      </c>
      <c r="X763" s="36">
        <v>-56492</v>
      </c>
      <c r="Y763" s="36">
        <v>-227237</v>
      </c>
      <c r="Z763" s="36">
        <v>0</v>
      </c>
      <c r="AA763" s="36">
        <v>-3888</v>
      </c>
      <c r="AB763" s="36">
        <v>-2419</v>
      </c>
      <c r="AC763" s="36">
        <v>-65575</v>
      </c>
      <c r="AD763" s="36">
        <v>0</v>
      </c>
      <c r="AE763" s="36"/>
      <c r="AF763" s="36"/>
      <c r="AG763" s="36"/>
      <c r="AH763" s="36"/>
      <c r="AI763" s="20">
        <f t="shared" si="34"/>
        <v>-355611</v>
      </c>
      <c r="AJ763" s="20">
        <f t="shared" si="35"/>
        <v>-1</v>
      </c>
    </row>
    <row r="764" spans="1:36" x14ac:dyDescent="0.2">
      <c r="A764" s="17" t="s">
        <v>5359</v>
      </c>
      <c r="B764" s="17">
        <v>41080</v>
      </c>
      <c r="C764" s="20">
        <v>0</v>
      </c>
      <c r="D764" s="20">
        <v>835</v>
      </c>
      <c r="M764" s="20">
        <v>370</v>
      </c>
      <c r="N764" s="20">
        <v>13596</v>
      </c>
      <c r="O764" s="20">
        <v>340515</v>
      </c>
      <c r="W764" s="20">
        <f t="shared" si="33"/>
        <v>355316</v>
      </c>
      <c r="X764" s="36">
        <v>-56178</v>
      </c>
      <c r="Y764" s="36">
        <v>-226179</v>
      </c>
      <c r="Z764" s="36">
        <v>0</v>
      </c>
      <c r="AA764" s="36">
        <v>-3851</v>
      </c>
      <c r="AB764" s="36">
        <v>-2419</v>
      </c>
      <c r="AC764" s="36">
        <v>-66688</v>
      </c>
      <c r="AD764" s="36">
        <v>0</v>
      </c>
      <c r="AE764" s="36"/>
      <c r="AF764" s="36"/>
      <c r="AG764" s="36"/>
      <c r="AH764" s="36"/>
      <c r="AI764" s="20">
        <f t="shared" si="34"/>
        <v>-355315</v>
      </c>
      <c r="AJ764" s="20">
        <f t="shared" si="35"/>
        <v>1</v>
      </c>
    </row>
    <row r="765" spans="1:36" x14ac:dyDescent="0.2">
      <c r="A765" s="17" t="s">
        <v>5360</v>
      </c>
      <c r="B765" s="17">
        <v>41087</v>
      </c>
      <c r="C765" s="20">
        <v>0</v>
      </c>
      <c r="D765" s="20">
        <v>5835</v>
      </c>
      <c r="M765" s="20">
        <v>370</v>
      </c>
      <c r="N765" s="20">
        <v>13615</v>
      </c>
      <c r="O765" s="20">
        <v>340547</v>
      </c>
      <c r="W765" s="20">
        <f t="shared" si="33"/>
        <v>360367</v>
      </c>
      <c r="X765" s="36">
        <v>-56557</v>
      </c>
      <c r="Y765" s="36">
        <v>-230282</v>
      </c>
      <c r="Z765" s="36">
        <v>0</v>
      </c>
      <c r="AA765" s="36">
        <v>-3897</v>
      </c>
      <c r="AB765" s="36">
        <v>-2419</v>
      </c>
      <c r="AC765" s="36">
        <v>-67212</v>
      </c>
      <c r="AD765" s="36">
        <v>0</v>
      </c>
      <c r="AE765" s="36"/>
      <c r="AF765" s="36"/>
      <c r="AG765" s="36"/>
      <c r="AH765" s="36"/>
      <c r="AI765" s="20">
        <f t="shared" si="34"/>
        <v>-360367</v>
      </c>
      <c r="AJ765" s="20">
        <f t="shared" si="35"/>
        <v>0</v>
      </c>
    </row>
    <row r="766" spans="1:36" x14ac:dyDescent="0.2">
      <c r="A766" s="17" t="s">
        <v>5361</v>
      </c>
      <c r="B766" s="17">
        <v>41094</v>
      </c>
      <c r="C766" s="20">
        <v>0</v>
      </c>
      <c r="D766" s="20">
        <v>5835</v>
      </c>
      <c r="M766" s="20">
        <v>370</v>
      </c>
      <c r="N766" s="20">
        <v>13638</v>
      </c>
      <c r="O766" s="20">
        <v>340607</v>
      </c>
      <c r="W766" s="20">
        <f t="shared" si="33"/>
        <v>360450</v>
      </c>
      <c r="X766" s="36">
        <v>-56797</v>
      </c>
      <c r="Y766" s="36">
        <v>-229604</v>
      </c>
      <c r="Z766" s="36">
        <v>0</v>
      </c>
      <c r="AA766" s="36">
        <v>-3891</v>
      </c>
      <c r="AB766" s="36">
        <v>-2419</v>
      </c>
      <c r="AC766" s="36">
        <v>-67738</v>
      </c>
      <c r="AD766" s="36">
        <v>0</v>
      </c>
      <c r="AE766" s="36"/>
      <c r="AF766" s="36"/>
      <c r="AG766" s="36"/>
      <c r="AH766" s="36"/>
      <c r="AI766" s="20">
        <f t="shared" si="34"/>
        <v>-360449</v>
      </c>
      <c r="AJ766" s="20">
        <f t="shared" si="35"/>
        <v>1</v>
      </c>
    </row>
    <row r="767" spans="1:36" x14ac:dyDescent="0.2">
      <c r="A767" s="17" t="s">
        <v>5362</v>
      </c>
      <c r="B767" s="17">
        <v>41101</v>
      </c>
      <c r="C767" s="20">
        <v>0</v>
      </c>
      <c r="D767" s="20">
        <v>5835</v>
      </c>
      <c r="M767" s="20">
        <v>370</v>
      </c>
      <c r="N767" s="20">
        <v>13646</v>
      </c>
      <c r="O767" s="20">
        <v>342871</v>
      </c>
      <c r="W767" s="20">
        <f t="shared" ref="W767:W828" si="36">SUM(C767:D767,M767:P767)</f>
        <v>362722</v>
      </c>
      <c r="X767" s="36">
        <v>-56838</v>
      </c>
      <c r="Y767" s="36">
        <v>-231803</v>
      </c>
      <c r="Z767" s="36">
        <v>0</v>
      </c>
      <c r="AA767" s="36">
        <v>-3898</v>
      </c>
      <c r="AB767" s="36">
        <v>-2419</v>
      </c>
      <c r="AC767" s="36">
        <v>-67763</v>
      </c>
      <c r="AD767" s="36">
        <v>0</v>
      </c>
      <c r="AE767" s="36"/>
      <c r="AF767" s="36"/>
      <c r="AG767" s="36"/>
      <c r="AH767" s="36"/>
      <c r="AI767" s="20">
        <f t="shared" ref="AI767:AI829" si="37">SUM(X767:AD767)</f>
        <v>-362721</v>
      </c>
      <c r="AJ767" s="20">
        <f t="shared" ref="AJ767:AJ830" si="38">W767+AI767</f>
        <v>1</v>
      </c>
    </row>
    <row r="768" spans="1:36" x14ac:dyDescent="0.2">
      <c r="A768" s="17" t="s">
        <v>5363</v>
      </c>
      <c r="B768" s="17">
        <v>41108</v>
      </c>
      <c r="C768" s="20">
        <v>0</v>
      </c>
      <c r="D768" s="20">
        <v>5700</v>
      </c>
      <c r="M768" s="20">
        <v>370</v>
      </c>
      <c r="N768" s="20">
        <v>13664</v>
      </c>
      <c r="O768" s="20">
        <v>345787</v>
      </c>
      <c r="W768" s="20">
        <f t="shared" si="36"/>
        <v>365521</v>
      </c>
      <c r="X768" s="36">
        <v>-56788</v>
      </c>
      <c r="Y768" s="36">
        <v>-237557</v>
      </c>
      <c r="Z768" s="36">
        <v>0</v>
      </c>
      <c r="AA768" s="36">
        <v>-3885</v>
      </c>
      <c r="AB768" s="36">
        <v>-2419</v>
      </c>
      <c r="AC768" s="36">
        <v>-64872</v>
      </c>
      <c r="AD768" s="36">
        <v>0</v>
      </c>
      <c r="AE768" s="36"/>
      <c r="AF768" s="36"/>
      <c r="AG768" s="36"/>
      <c r="AH768" s="36"/>
      <c r="AI768" s="20">
        <f t="shared" si="37"/>
        <v>-365521</v>
      </c>
      <c r="AJ768" s="20">
        <f t="shared" si="38"/>
        <v>0</v>
      </c>
    </row>
    <row r="769" spans="1:36" x14ac:dyDescent="0.2">
      <c r="A769" s="17" t="s">
        <v>5364</v>
      </c>
      <c r="B769" s="17">
        <v>41115</v>
      </c>
      <c r="C769" s="20">
        <v>0</v>
      </c>
      <c r="D769" s="20">
        <v>9875</v>
      </c>
      <c r="M769" s="20">
        <v>370</v>
      </c>
      <c r="N769" s="20">
        <v>13693</v>
      </c>
      <c r="O769" s="20">
        <v>348627</v>
      </c>
      <c r="W769" s="20">
        <f t="shared" si="36"/>
        <v>372565</v>
      </c>
      <c r="X769" s="36">
        <v>-57207</v>
      </c>
      <c r="Y769" s="36">
        <v>-242432</v>
      </c>
      <c r="Z769" s="36">
        <v>0</v>
      </c>
      <c r="AA769" s="36">
        <v>-3923</v>
      </c>
      <c r="AB769" s="36">
        <v>-2419</v>
      </c>
      <c r="AC769" s="36">
        <v>-66584</v>
      </c>
      <c r="AD769" s="36">
        <v>0</v>
      </c>
      <c r="AE769" s="36"/>
      <c r="AF769" s="36"/>
      <c r="AG769" s="36"/>
      <c r="AH769" s="36"/>
      <c r="AI769" s="20">
        <f t="shared" si="37"/>
        <v>-372565</v>
      </c>
      <c r="AJ769" s="20">
        <f t="shared" si="38"/>
        <v>0</v>
      </c>
    </row>
    <row r="770" spans="1:36" x14ac:dyDescent="0.2">
      <c r="A770" s="17" t="s">
        <v>5365</v>
      </c>
      <c r="B770" s="17">
        <v>41122</v>
      </c>
      <c r="C770" s="20">
        <v>0</v>
      </c>
      <c r="D770" s="20">
        <v>9875</v>
      </c>
      <c r="M770" s="20">
        <v>370</v>
      </c>
      <c r="N770" s="20">
        <v>13690</v>
      </c>
      <c r="O770" s="20">
        <v>352014</v>
      </c>
      <c r="W770" s="20">
        <f t="shared" si="36"/>
        <v>375949</v>
      </c>
      <c r="X770" s="36">
        <v>-57413</v>
      </c>
      <c r="Y770" s="36">
        <v>-246060</v>
      </c>
      <c r="Z770" s="36">
        <v>0</v>
      </c>
      <c r="AA770" s="36">
        <v>-3894</v>
      </c>
      <c r="AB770" s="36">
        <v>-2419</v>
      </c>
      <c r="AC770" s="36">
        <v>-66163</v>
      </c>
      <c r="AD770" s="36">
        <v>0</v>
      </c>
      <c r="AE770" s="36"/>
      <c r="AF770" s="36"/>
      <c r="AG770" s="36"/>
      <c r="AH770" s="36"/>
      <c r="AI770" s="20">
        <f t="shared" si="37"/>
        <v>-375949</v>
      </c>
      <c r="AJ770" s="20">
        <f t="shared" si="38"/>
        <v>0</v>
      </c>
    </row>
    <row r="771" spans="1:36" x14ac:dyDescent="0.2">
      <c r="A771" s="17" t="s">
        <v>5366</v>
      </c>
      <c r="B771" s="17">
        <v>41129</v>
      </c>
      <c r="C771" s="20">
        <v>0</v>
      </c>
      <c r="D771" s="20">
        <v>9875</v>
      </c>
      <c r="M771" s="20">
        <v>370</v>
      </c>
      <c r="N771" s="20">
        <v>13555</v>
      </c>
      <c r="O771" s="20">
        <v>354546</v>
      </c>
      <c r="W771" s="20">
        <f t="shared" si="36"/>
        <v>378346</v>
      </c>
      <c r="X771" s="36">
        <v>-57362</v>
      </c>
      <c r="Y771" s="36">
        <v>-248181</v>
      </c>
      <c r="Z771" s="36">
        <v>0</v>
      </c>
      <c r="AA771" s="36">
        <v>-3874</v>
      </c>
      <c r="AB771" s="36">
        <v>-2419</v>
      </c>
      <c r="AC771" s="36">
        <v>-66510</v>
      </c>
      <c r="AD771" s="36">
        <v>0</v>
      </c>
      <c r="AE771" s="36"/>
      <c r="AF771" s="36"/>
      <c r="AG771" s="36"/>
      <c r="AH771" s="36"/>
      <c r="AI771" s="20">
        <f t="shared" si="37"/>
        <v>-378346</v>
      </c>
      <c r="AJ771" s="20">
        <f t="shared" si="38"/>
        <v>0</v>
      </c>
    </row>
    <row r="772" spans="1:36" x14ac:dyDescent="0.2">
      <c r="A772" s="17" t="s">
        <v>5367</v>
      </c>
      <c r="B772" s="17">
        <v>41136</v>
      </c>
      <c r="C772" s="20">
        <v>0</v>
      </c>
      <c r="D772" s="20">
        <v>9875</v>
      </c>
      <c r="M772" s="20">
        <v>370</v>
      </c>
      <c r="N772" s="20">
        <v>13510</v>
      </c>
      <c r="O772" s="20">
        <v>357259</v>
      </c>
      <c r="W772" s="20">
        <f t="shared" si="36"/>
        <v>381014</v>
      </c>
      <c r="X772" s="36">
        <v>-57188</v>
      </c>
      <c r="Y772" s="36">
        <v>-251906</v>
      </c>
      <c r="Z772" s="36">
        <v>0</v>
      </c>
      <c r="AA772" s="36">
        <v>-3861</v>
      </c>
      <c r="AB772" s="36">
        <v>-2419</v>
      </c>
      <c r="AC772" s="36">
        <v>-65641</v>
      </c>
      <c r="AD772" s="36">
        <v>0</v>
      </c>
      <c r="AE772" s="36"/>
      <c r="AF772" s="36"/>
      <c r="AG772" s="36"/>
      <c r="AH772" s="36"/>
      <c r="AI772" s="20">
        <f t="shared" si="37"/>
        <v>-381015</v>
      </c>
      <c r="AJ772" s="20">
        <f t="shared" si="38"/>
        <v>-1</v>
      </c>
    </row>
    <row r="773" spans="1:36" x14ac:dyDescent="0.2">
      <c r="A773" s="17" t="s">
        <v>5368</v>
      </c>
      <c r="B773" s="17">
        <v>41143</v>
      </c>
      <c r="C773" s="20">
        <v>0</v>
      </c>
      <c r="D773" s="20">
        <v>11115</v>
      </c>
      <c r="M773" s="20">
        <v>370</v>
      </c>
      <c r="N773" s="20">
        <v>13519</v>
      </c>
      <c r="O773" s="20">
        <v>359986</v>
      </c>
      <c r="W773" s="20">
        <f t="shared" si="36"/>
        <v>384990</v>
      </c>
      <c r="X773" s="36">
        <v>-57347</v>
      </c>
      <c r="Y773" s="36">
        <v>-255586</v>
      </c>
      <c r="Z773" s="36">
        <v>0</v>
      </c>
      <c r="AA773" s="36">
        <v>-3834</v>
      </c>
      <c r="AB773" s="36">
        <v>-2419</v>
      </c>
      <c r="AC773" s="36">
        <v>-65804</v>
      </c>
      <c r="AD773" s="36">
        <v>0</v>
      </c>
      <c r="AE773" s="36"/>
      <c r="AF773" s="36"/>
      <c r="AG773" s="36"/>
      <c r="AH773" s="36"/>
      <c r="AI773" s="20">
        <f t="shared" si="37"/>
        <v>-384990</v>
      </c>
      <c r="AJ773" s="20">
        <f t="shared" si="38"/>
        <v>0</v>
      </c>
    </row>
    <row r="774" spans="1:36" x14ac:dyDescent="0.2">
      <c r="A774" s="17" t="s">
        <v>5369</v>
      </c>
      <c r="B774" s="17">
        <v>41150</v>
      </c>
      <c r="C774" s="20">
        <v>0</v>
      </c>
      <c r="D774" s="20">
        <v>11115</v>
      </c>
      <c r="M774" s="20">
        <v>370</v>
      </c>
      <c r="N774" s="20">
        <v>13526</v>
      </c>
      <c r="O774" s="20">
        <v>361718</v>
      </c>
      <c r="W774" s="20">
        <f t="shared" si="36"/>
        <v>386729</v>
      </c>
      <c r="X774" s="36">
        <v>-57682</v>
      </c>
      <c r="Y774" s="36">
        <v>-256543</v>
      </c>
      <c r="Z774" s="36">
        <v>0</v>
      </c>
      <c r="AA774" s="36">
        <v>-3829</v>
      </c>
      <c r="AB774" s="36">
        <v>-2419</v>
      </c>
      <c r="AC774" s="36">
        <v>-66255</v>
      </c>
      <c r="AD774" s="36">
        <v>0</v>
      </c>
      <c r="AE774" s="36"/>
      <c r="AF774" s="36"/>
      <c r="AG774" s="36"/>
      <c r="AH774" s="36"/>
      <c r="AI774" s="20">
        <f t="shared" si="37"/>
        <v>-386728</v>
      </c>
      <c r="AJ774" s="20">
        <f t="shared" si="38"/>
        <v>1</v>
      </c>
    </row>
    <row r="775" spans="1:36" x14ac:dyDescent="0.2">
      <c r="A775" s="17" t="s">
        <v>5370</v>
      </c>
      <c r="B775" s="17">
        <v>41157</v>
      </c>
      <c r="C775" s="20">
        <v>0</v>
      </c>
      <c r="D775" s="20">
        <v>11115</v>
      </c>
      <c r="M775" s="20">
        <v>370</v>
      </c>
      <c r="N775" s="20">
        <v>13558</v>
      </c>
      <c r="O775" s="20">
        <v>365954</v>
      </c>
      <c r="W775" s="20">
        <f t="shared" si="36"/>
        <v>390997</v>
      </c>
      <c r="X775" s="36">
        <v>-57553</v>
      </c>
      <c r="Y775" s="36">
        <v>-260246</v>
      </c>
      <c r="Z775" s="36">
        <v>0</v>
      </c>
      <c r="AA775" s="36">
        <v>-3811</v>
      </c>
      <c r="AB775" s="36">
        <v>-2419</v>
      </c>
      <c r="AC775" s="36">
        <v>-66968</v>
      </c>
      <c r="AD775" s="36">
        <v>0</v>
      </c>
      <c r="AE775" s="36"/>
      <c r="AF775" s="36"/>
      <c r="AG775" s="36"/>
      <c r="AH775" s="36"/>
      <c r="AI775" s="20">
        <f t="shared" si="37"/>
        <v>-390997</v>
      </c>
      <c r="AJ775" s="20">
        <f t="shared" si="38"/>
        <v>0</v>
      </c>
    </row>
    <row r="776" spans="1:36" x14ac:dyDescent="0.2">
      <c r="A776" s="17" t="s">
        <v>5371</v>
      </c>
      <c r="B776" s="17">
        <v>41164</v>
      </c>
      <c r="C776" s="20">
        <v>0</v>
      </c>
      <c r="D776" s="20">
        <v>11115</v>
      </c>
      <c r="M776" s="20">
        <v>370</v>
      </c>
      <c r="N776" s="20">
        <v>13467</v>
      </c>
      <c r="O776" s="20">
        <v>368142</v>
      </c>
      <c r="W776" s="20">
        <f t="shared" si="36"/>
        <v>393094</v>
      </c>
      <c r="X776" s="36">
        <v>-57237</v>
      </c>
      <c r="Y776" s="36">
        <v>-259831</v>
      </c>
      <c r="Z776" s="36">
        <v>0</v>
      </c>
      <c r="AA776" s="36">
        <v>-3765</v>
      </c>
      <c r="AB776" s="36">
        <v>-2419</v>
      </c>
      <c r="AC776" s="36">
        <v>-69841</v>
      </c>
      <c r="AD776" s="36">
        <v>0</v>
      </c>
      <c r="AE776" s="36"/>
      <c r="AF776" s="36"/>
      <c r="AG776" s="36"/>
      <c r="AH776" s="36"/>
      <c r="AI776" s="20">
        <f t="shared" si="37"/>
        <v>-393093</v>
      </c>
      <c r="AJ776" s="20">
        <f t="shared" si="38"/>
        <v>1</v>
      </c>
    </row>
    <row r="777" spans="1:36" x14ac:dyDescent="0.2">
      <c r="A777" s="17" t="s">
        <v>5372</v>
      </c>
      <c r="B777" s="17">
        <v>41171</v>
      </c>
      <c r="C777" s="20">
        <v>0</v>
      </c>
      <c r="D777" s="20">
        <v>11330</v>
      </c>
      <c r="M777" s="20">
        <v>370</v>
      </c>
      <c r="N777" s="20">
        <v>13460</v>
      </c>
      <c r="O777" s="20">
        <v>371080</v>
      </c>
      <c r="W777" s="20">
        <f t="shared" si="36"/>
        <v>396240</v>
      </c>
      <c r="X777" s="36">
        <v>-56958</v>
      </c>
      <c r="Y777" s="36">
        <v>-262639</v>
      </c>
      <c r="Z777" s="36">
        <v>0</v>
      </c>
      <c r="AA777" s="36">
        <v>-3737</v>
      </c>
      <c r="AB777" s="36">
        <v>-2419</v>
      </c>
      <c r="AC777" s="36">
        <v>-70487</v>
      </c>
      <c r="AD777" s="36">
        <v>0</v>
      </c>
      <c r="AE777" s="36"/>
      <c r="AF777" s="36"/>
      <c r="AG777" s="36"/>
      <c r="AH777" s="36"/>
      <c r="AI777" s="20">
        <f t="shared" si="37"/>
        <v>-396240</v>
      </c>
      <c r="AJ777" s="20">
        <f t="shared" si="38"/>
        <v>0</v>
      </c>
    </row>
    <row r="778" spans="1:36" x14ac:dyDescent="0.2">
      <c r="A778" s="17" t="s">
        <v>5373</v>
      </c>
      <c r="B778" s="17">
        <v>41178</v>
      </c>
      <c r="C778" s="20">
        <v>0</v>
      </c>
      <c r="D778" s="20">
        <v>11480</v>
      </c>
      <c r="M778" s="20">
        <v>370</v>
      </c>
      <c r="N778" s="20">
        <v>13479</v>
      </c>
      <c r="O778" s="20">
        <v>374179</v>
      </c>
      <c r="W778" s="20">
        <f t="shared" si="36"/>
        <v>399508</v>
      </c>
      <c r="X778" s="36">
        <v>-57064</v>
      </c>
      <c r="Y778" s="36">
        <v>-266460</v>
      </c>
      <c r="Z778" s="36">
        <v>0</v>
      </c>
      <c r="AA778" s="36">
        <v>-3753</v>
      </c>
      <c r="AB778" s="36">
        <v>-2419</v>
      </c>
      <c r="AC778" s="36">
        <v>-69811</v>
      </c>
      <c r="AD778" s="36">
        <v>0</v>
      </c>
      <c r="AE778" s="36"/>
      <c r="AF778" s="36"/>
      <c r="AG778" s="36"/>
      <c r="AH778" s="36"/>
      <c r="AI778" s="20">
        <f t="shared" si="37"/>
        <v>-399507</v>
      </c>
      <c r="AJ778" s="20">
        <f t="shared" si="38"/>
        <v>1</v>
      </c>
    </row>
    <row r="779" spans="1:36" x14ac:dyDescent="0.2">
      <c r="A779" s="17" t="s">
        <v>5374</v>
      </c>
      <c r="B779" s="17">
        <v>41185</v>
      </c>
      <c r="C779" s="20">
        <v>0</v>
      </c>
      <c r="D779" s="20">
        <v>11480</v>
      </c>
      <c r="M779" s="20">
        <v>370</v>
      </c>
      <c r="N779" s="20">
        <v>13502</v>
      </c>
      <c r="O779" s="20">
        <v>376736</v>
      </c>
      <c r="W779" s="20">
        <f t="shared" si="36"/>
        <v>402088</v>
      </c>
      <c r="X779" s="36">
        <v>-57345</v>
      </c>
      <c r="Y779" s="36">
        <v>-269072</v>
      </c>
      <c r="Z779" s="36">
        <v>0</v>
      </c>
      <c r="AA779" s="36">
        <v>-3773</v>
      </c>
      <c r="AB779" s="36">
        <v>-2419</v>
      </c>
      <c r="AC779" s="36">
        <v>-69478</v>
      </c>
      <c r="AD779" s="36">
        <v>0</v>
      </c>
      <c r="AE779" s="36"/>
      <c r="AF779" s="36"/>
      <c r="AG779" s="36"/>
      <c r="AH779" s="36"/>
      <c r="AI779" s="20">
        <f t="shared" si="37"/>
        <v>-402087</v>
      </c>
      <c r="AJ779" s="20">
        <f t="shared" si="38"/>
        <v>1</v>
      </c>
    </row>
    <row r="780" spans="1:36" x14ac:dyDescent="0.2">
      <c r="A780" s="17" t="s">
        <v>5375</v>
      </c>
      <c r="B780" s="17">
        <v>41192</v>
      </c>
      <c r="C780" s="20">
        <v>0</v>
      </c>
      <c r="D780" s="20">
        <v>11480</v>
      </c>
      <c r="M780" s="20">
        <v>370</v>
      </c>
      <c r="N780" s="20">
        <v>13497</v>
      </c>
      <c r="O780" s="20">
        <v>379276</v>
      </c>
      <c r="W780" s="20">
        <f t="shared" si="36"/>
        <v>404623</v>
      </c>
      <c r="X780" s="36">
        <v>-57083</v>
      </c>
      <c r="Y780" s="36">
        <v>-272143</v>
      </c>
      <c r="Z780" s="36">
        <v>0</v>
      </c>
      <c r="AA780" s="36">
        <v>-3783</v>
      </c>
      <c r="AB780" s="36">
        <v>-2419</v>
      </c>
      <c r="AC780" s="36">
        <v>-69195</v>
      </c>
      <c r="AD780" s="36">
        <v>0</v>
      </c>
      <c r="AE780" s="36"/>
      <c r="AF780" s="36"/>
      <c r="AG780" s="36"/>
      <c r="AH780" s="36"/>
      <c r="AI780" s="20">
        <f t="shared" si="37"/>
        <v>-404623</v>
      </c>
      <c r="AJ780" s="20">
        <f t="shared" si="38"/>
        <v>0</v>
      </c>
    </row>
    <row r="781" spans="1:36" x14ac:dyDescent="0.2">
      <c r="A781" s="17" t="s">
        <v>5376</v>
      </c>
      <c r="B781" s="17">
        <v>41199</v>
      </c>
      <c r="C781" s="20">
        <v>0</v>
      </c>
      <c r="D781" s="20">
        <v>11285</v>
      </c>
      <c r="M781" s="20">
        <v>370</v>
      </c>
      <c r="N781" s="20">
        <v>13462</v>
      </c>
      <c r="O781" s="20">
        <v>382722</v>
      </c>
      <c r="W781" s="20">
        <f t="shared" si="36"/>
        <v>407839</v>
      </c>
      <c r="X781" s="36">
        <v>-57138</v>
      </c>
      <c r="Y781" s="36">
        <v>-275186</v>
      </c>
      <c r="Z781" s="36">
        <v>0</v>
      </c>
      <c r="AA781" s="36">
        <v>-3748</v>
      </c>
      <c r="AB781" s="36">
        <v>-2419</v>
      </c>
      <c r="AC781" s="36">
        <v>-69347</v>
      </c>
      <c r="AD781" s="36">
        <v>0</v>
      </c>
      <c r="AE781" s="36"/>
      <c r="AF781" s="36"/>
      <c r="AG781" s="36"/>
      <c r="AH781" s="36"/>
      <c r="AI781" s="20">
        <f t="shared" si="37"/>
        <v>-407838</v>
      </c>
      <c r="AJ781" s="20">
        <f t="shared" si="38"/>
        <v>1</v>
      </c>
    </row>
    <row r="782" spans="1:36" x14ac:dyDescent="0.2">
      <c r="A782" s="17" t="s">
        <v>5377</v>
      </c>
      <c r="B782" s="17">
        <v>41206</v>
      </c>
      <c r="C782" s="20">
        <v>0</v>
      </c>
      <c r="D782" s="20">
        <v>11285</v>
      </c>
      <c r="M782" s="20">
        <v>370</v>
      </c>
      <c r="N782" s="20">
        <v>13475</v>
      </c>
      <c r="O782" s="20">
        <v>385872</v>
      </c>
      <c r="W782" s="20">
        <f t="shared" si="36"/>
        <v>411002</v>
      </c>
      <c r="X782" s="36">
        <v>-57292</v>
      </c>
      <c r="Y782" s="36">
        <v>-277247</v>
      </c>
      <c r="Z782" s="36">
        <v>0</v>
      </c>
      <c r="AA782" s="36">
        <v>-3778</v>
      </c>
      <c r="AB782" s="36">
        <v>-2419</v>
      </c>
      <c r="AC782" s="36">
        <v>-70264</v>
      </c>
      <c r="AD782" s="36">
        <v>0</v>
      </c>
      <c r="AE782" s="36"/>
      <c r="AF782" s="36"/>
      <c r="AG782" s="36"/>
      <c r="AH782" s="36"/>
      <c r="AI782" s="20">
        <f t="shared" si="37"/>
        <v>-411000</v>
      </c>
      <c r="AJ782" s="20">
        <f t="shared" si="38"/>
        <v>2</v>
      </c>
    </row>
    <row r="783" spans="1:36" x14ac:dyDescent="0.2">
      <c r="A783" s="17" t="s">
        <v>5378</v>
      </c>
      <c r="B783" s="17">
        <v>41213</v>
      </c>
      <c r="C783" s="20">
        <v>0</v>
      </c>
      <c r="D783" s="20">
        <v>11285</v>
      </c>
      <c r="M783" s="20">
        <v>370</v>
      </c>
      <c r="N783" s="20">
        <v>13483</v>
      </c>
      <c r="O783" s="20">
        <v>388730</v>
      </c>
      <c r="W783" s="20">
        <f t="shared" si="36"/>
        <v>413868</v>
      </c>
      <c r="X783" s="36">
        <v>-57670</v>
      </c>
      <c r="Y783" s="36">
        <v>-280715</v>
      </c>
      <c r="Z783" s="36">
        <v>0</v>
      </c>
      <c r="AA783" s="36">
        <v>-3759</v>
      </c>
      <c r="AB783" s="36">
        <v>-2419</v>
      </c>
      <c r="AC783" s="36">
        <v>-69305</v>
      </c>
      <c r="AD783" s="36">
        <v>0</v>
      </c>
      <c r="AE783" s="36"/>
      <c r="AF783" s="36"/>
      <c r="AG783" s="36"/>
      <c r="AH783" s="36"/>
      <c r="AI783" s="20">
        <f t="shared" si="37"/>
        <v>-413868</v>
      </c>
      <c r="AJ783" s="20">
        <f t="shared" si="38"/>
        <v>0</v>
      </c>
    </row>
    <row r="784" spans="1:36" x14ac:dyDescent="0.2">
      <c r="A784" s="17" t="s">
        <v>5379</v>
      </c>
      <c r="B784" s="17">
        <v>41220</v>
      </c>
      <c r="C784" s="20">
        <v>0</v>
      </c>
      <c r="D784" s="20">
        <v>11285</v>
      </c>
      <c r="M784" s="20">
        <v>370</v>
      </c>
      <c r="N784" s="20">
        <v>13508</v>
      </c>
      <c r="O784" s="20">
        <v>389309</v>
      </c>
      <c r="W784" s="20">
        <f t="shared" si="36"/>
        <v>414472</v>
      </c>
      <c r="X784" s="36">
        <v>-57531</v>
      </c>
      <c r="Y784" s="36">
        <v>-281894</v>
      </c>
      <c r="Z784" s="36">
        <v>0</v>
      </c>
      <c r="AA784" s="36">
        <v>-3786</v>
      </c>
      <c r="AB784" s="36">
        <v>-2419</v>
      </c>
      <c r="AC784" s="36">
        <v>-68841</v>
      </c>
      <c r="AD784" s="36">
        <v>0</v>
      </c>
      <c r="AE784" s="36"/>
      <c r="AF784" s="36"/>
      <c r="AG784" s="36"/>
      <c r="AH784" s="36"/>
      <c r="AI784" s="20">
        <f t="shared" si="37"/>
        <v>-414471</v>
      </c>
      <c r="AJ784" s="20">
        <f t="shared" si="38"/>
        <v>1</v>
      </c>
    </row>
    <row r="785" spans="1:36" x14ac:dyDescent="0.2">
      <c r="A785" s="17" t="s">
        <v>5380</v>
      </c>
      <c r="B785" s="17">
        <v>41227</v>
      </c>
      <c r="C785" s="20">
        <v>0</v>
      </c>
      <c r="D785" s="20">
        <v>11285</v>
      </c>
      <c r="M785" s="20">
        <v>370</v>
      </c>
      <c r="N785" s="20">
        <v>13532</v>
      </c>
      <c r="O785" s="20">
        <v>389269</v>
      </c>
      <c r="W785" s="20">
        <f t="shared" si="36"/>
        <v>414456</v>
      </c>
      <c r="X785" s="36">
        <v>-57602</v>
      </c>
      <c r="Y785" s="36">
        <v>-281161</v>
      </c>
      <c r="Z785" s="36">
        <v>0</v>
      </c>
      <c r="AA785" s="36">
        <v>-3820</v>
      </c>
      <c r="AB785" s="36">
        <v>-2419</v>
      </c>
      <c r="AC785" s="36">
        <v>-69453</v>
      </c>
      <c r="AD785" s="36">
        <v>0</v>
      </c>
      <c r="AE785" s="36"/>
      <c r="AF785" s="36"/>
      <c r="AG785" s="36"/>
      <c r="AH785" s="36"/>
      <c r="AI785" s="20">
        <f t="shared" si="37"/>
        <v>-414455</v>
      </c>
      <c r="AJ785" s="20">
        <f t="shared" si="38"/>
        <v>1</v>
      </c>
    </row>
    <row r="786" spans="1:36" x14ac:dyDescent="0.2">
      <c r="A786" s="17" t="s">
        <v>5381</v>
      </c>
      <c r="B786" s="17">
        <v>41234</v>
      </c>
      <c r="C786" s="20">
        <v>0</v>
      </c>
      <c r="D786" s="20">
        <v>11265</v>
      </c>
      <c r="M786" s="20">
        <v>370</v>
      </c>
      <c r="N786" s="20">
        <v>13485</v>
      </c>
      <c r="O786" s="20">
        <v>389223</v>
      </c>
      <c r="W786" s="20">
        <f t="shared" si="36"/>
        <v>414343</v>
      </c>
      <c r="X786" s="36">
        <v>-57537</v>
      </c>
      <c r="Y786" s="36">
        <v>-281745</v>
      </c>
      <c r="Z786" s="36">
        <v>0</v>
      </c>
      <c r="AA786" s="36">
        <v>-3796</v>
      </c>
      <c r="AB786" s="36">
        <v>-2419</v>
      </c>
      <c r="AC786" s="36">
        <v>-68845</v>
      </c>
      <c r="AD786" s="36">
        <v>0</v>
      </c>
      <c r="AE786" s="36"/>
      <c r="AF786" s="36"/>
      <c r="AG786" s="36"/>
      <c r="AH786" s="36"/>
      <c r="AI786" s="20">
        <f t="shared" si="37"/>
        <v>-414342</v>
      </c>
      <c r="AJ786" s="20">
        <f t="shared" si="38"/>
        <v>1</v>
      </c>
    </row>
    <row r="787" spans="1:36" x14ac:dyDescent="0.2">
      <c r="A787" s="17" t="s">
        <v>5382</v>
      </c>
      <c r="B787" s="17">
        <v>41241</v>
      </c>
      <c r="C787" s="20">
        <v>0</v>
      </c>
      <c r="D787" s="20">
        <v>11265</v>
      </c>
      <c r="M787" s="20">
        <v>370</v>
      </c>
      <c r="N787" s="20">
        <v>13509</v>
      </c>
      <c r="O787" s="20">
        <v>389695</v>
      </c>
      <c r="W787" s="20">
        <f t="shared" si="36"/>
        <v>414839</v>
      </c>
      <c r="X787" s="36">
        <v>-57962</v>
      </c>
      <c r="Y787" s="36">
        <v>-280236</v>
      </c>
      <c r="Z787" s="36">
        <v>0</v>
      </c>
      <c r="AA787" s="36">
        <v>-3784</v>
      </c>
      <c r="AB787" s="36">
        <v>-2419</v>
      </c>
      <c r="AC787" s="36">
        <v>-70438</v>
      </c>
      <c r="AD787" s="36">
        <v>0</v>
      </c>
      <c r="AE787" s="36"/>
      <c r="AF787" s="36"/>
      <c r="AG787" s="36"/>
      <c r="AH787" s="36"/>
      <c r="AI787" s="20">
        <f t="shared" si="37"/>
        <v>-414839</v>
      </c>
      <c r="AJ787" s="20">
        <f t="shared" si="38"/>
        <v>0</v>
      </c>
    </row>
    <row r="788" spans="1:36" x14ac:dyDescent="0.2">
      <c r="A788" s="17" t="s">
        <v>5383</v>
      </c>
      <c r="B788" s="17">
        <v>41248</v>
      </c>
      <c r="C788" s="20">
        <v>0</v>
      </c>
      <c r="D788" s="20">
        <v>11265</v>
      </c>
      <c r="M788" s="20">
        <v>370</v>
      </c>
      <c r="N788" s="20">
        <v>13436</v>
      </c>
      <c r="O788" s="20">
        <v>389481</v>
      </c>
      <c r="W788" s="20">
        <f t="shared" si="36"/>
        <v>414552</v>
      </c>
      <c r="X788" s="36">
        <v>-58445</v>
      </c>
      <c r="Y788" s="36">
        <v>-279609</v>
      </c>
      <c r="Z788" s="36">
        <v>0</v>
      </c>
      <c r="AA788" s="36">
        <v>-3760</v>
      </c>
      <c r="AB788" s="36">
        <v>-2483</v>
      </c>
      <c r="AC788" s="36">
        <v>-70254</v>
      </c>
      <c r="AD788" s="36">
        <v>0</v>
      </c>
      <c r="AE788" s="36"/>
      <c r="AF788" s="36"/>
      <c r="AG788" s="36"/>
      <c r="AH788" s="36"/>
      <c r="AI788" s="20">
        <f t="shared" si="37"/>
        <v>-414551</v>
      </c>
      <c r="AJ788" s="20">
        <f t="shared" si="38"/>
        <v>1</v>
      </c>
    </row>
    <row r="789" spans="1:36" x14ac:dyDescent="0.2">
      <c r="A789" s="17" t="s">
        <v>5384</v>
      </c>
      <c r="B789" s="17">
        <v>41255</v>
      </c>
      <c r="C789" s="20">
        <v>0</v>
      </c>
      <c r="D789" s="20">
        <v>11265</v>
      </c>
      <c r="M789" s="20">
        <v>370</v>
      </c>
      <c r="N789" s="20">
        <v>13390</v>
      </c>
      <c r="O789" s="20">
        <v>390075</v>
      </c>
      <c r="W789" s="20">
        <f t="shared" si="36"/>
        <v>415100</v>
      </c>
      <c r="X789" s="36">
        <v>-58803</v>
      </c>
      <c r="Y789" s="36">
        <v>-277013</v>
      </c>
      <c r="Z789" s="36">
        <v>0</v>
      </c>
      <c r="AA789" s="36">
        <v>-3754</v>
      </c>
      <c r="AB789" s="36">
        <v>-2483</v>
      </c>
      <c r="AC789" s="36">
        <v>-73047</v>
      </c>
      <c r="AD789" s="36">
        <v>0</v>
      </c>
      <c r="AE789" s="36"/>
      <c r="AF789" s="36"/>
      <c r="AG789" s="36"/>
      <c r="AH789" s="36"/>
      <c r="AI789" s="20">
        <f t="shared" si="37"/>
        <v>-415100</v>
      </c>
      <c r="AJ789" s="20">
        <f t="shared" si="38"/>
        <v>0</v>
      </c>
    </row>
    <row r="790" spans="1:36" x14ac:dyDescent="0.2">
      <c r="A790" s="17" t="s">
        <v>5385</v>
      </c>
      <c r="B790" s="17">
        <v>41262</v>
      </c>
      <c r="C790" s="20">
        <v>0</v>
      </c>
      <c r="D790" s="20">
        <v>11055</v>
      </c>
      <c r="M790" s="20">
        <v>370</v>
      </c>
      <c r="N790" s="20">
        <v>13346</v>
      </c>
      <c r="O790" s="20">
        <v>389840</v>
      </c>
      <c r="W790" s="20">
        <f t="shared" si="36"/>
        <v>414611</v>
      </c>
      <c r="X790" s="36">
        <v>-59774</v>
      </c>
      <c r="Y790" s="36">
        <v>-274966</v>
      </c>
      <c r="Z790" s="36">
        <v>0</v>
      </c>
      <c r="AA790" s="36">
        <v>-3716</v>
      </c>
      <c r="AB790" s="36">
        <v>-2483</v>
      </c>
      <c r="AC790" s="36">
        <v>-73672</v>
      </c>
      <c r="AD790" s="36">
        <v>0</v>
      </c>
      <c r="AE790" s="36"/>
      <c r="AF790" s="36"/>
      <c r="AG790" s="36"/>
      <c r="AH790" s="36"/>
      <c r="AI790" s="20">
        <f t="shared" si="37"/>
        <v>-414611</v>
      </c>
      <c r="AJ790" s="20">
        <f t="shared" si="38"/>
        <v>0</v>
      </c>
    </row>
    <row r="791" spans="1:36" x14ac:dyDescent="0.2">
      <c r="A791" s="17" t="s">
        <v>5386</v>
      </c>
      <c r="B791" s="17">
        <v>41269</v>
      </c>
      <c r="C791" s="20">
        <v>0</v>
      </c>
      <c r="D791" s="20">
        <v>6055</v>
      </c>
      <c r="M791" s="20">
        <v>370</v>
      </c>
      <c r="N791" s="20">
        <v>13376</v>
      </c>
      <c r="O791" s="20">
        <v>390580</v>
      </c>
      <c r="W791" s="20">
        <f t="shared" si="36"/>
        <v>410381</v>
      </c>
      <c r="X791" s="36">
        <v>-60621</v>
      </c>
      <c r="Y791" s="36">
        <v>-271149</v>
      </c>
      <c r="Z791" s="36">
        <v>0</v>
      </c>
      <c r="AA791" s="36">
        <v>-3738</v>
      </c>
      <c r="AB791" s="36">
        <v>-2483</v>
      </c>
      <c r="AC791" s="36">
        <v>-72390</v>
      </c>
      <c r="AD791" s="36">
        <v>0</v>
      </c>
      <c r="AE791" s="36"/>
      <c r="AF791" s="36"/>
      <c r="AG791" s="36"/>
      <c r="AH791" s="36"/>
      <c r="AI791" s="20">
        <f t="shared" si="37"/>
        <v>-410381</v>
      </c>
      <c r="AJ791" s="20">
        <f t="shared" si="38"/>
        <v>0</v>
      </c>
    </row>
    <row r="792" spans="1:36" x14ac:dyDescent="0.2">
      <c r="A792" s="17" t="s">
        <v>5387</v>
      </c>
      <c r="B792" s="17">
        <v>41276</v>
      </c>
      <c r="C792" s="20">
        <v>0</v>
      </c>
      <c r="D792" s="20">
        <v>6055</v>
      </c>
      <c r="M792" s="20">
        <v>370</v>
      </c>
      <c r="N792" s="20">
        <v>13319</v>
      </c>
      <c r="O792" s="20">
        <v>390480</v>
      </c>
      <c r="W792" s="20">
        <f t="shared" si="36"/>
        <v>410224</v>
      </c>
      <c r="X792" s="36">
        <v>-60085</v>
      </c>
      <c r="Y792" s="36">
        <v>-271426</v>
      </c>
      <c r="Z792" s="36">
        <v>0</v>
      </c>
      <c r="AA792" s="36">
        <v>-3712</v>
      </c>
      <c r="AB792" s="36">
        <v>-2483</v>
      </c>
      <c r="AC792" s="36">
        <v>-72517</v>
      </c>
      <c r="AD792" s="36">
        <v>0</v>
      </c>
      <c r="AE792" s="36"/>
      <c r="AF792" s="36"/>
      <c r="AG792" s="36"/>
      <c r="AH792" s="36"/>
      <c r="AI792" s="20">
        <f t="shared" si="37"/>
        <v>-410223</v>
      </c>
      <c r="AJ792" s="20">
        <f t="shared" si="38"/>
        <v>1</v>
      </c>
    </row>
    <row r="793" spans="1:36" x14ac:dyDescent="0.2">
      <c r="A793" s="17" t="s">
        <v>5388</v>
      </c>
      <c r="B793" s="17">
        <v>41283</v>
      </c>
      <c r="C793" s="20">
        <v>0</v>
      </c>
      <c r="D793" s="20">
        <v>6055</v>
      </c>
      <c r="M793" s="20">
        <v>370</v>
      </c>
      <c r="N793" s="20">
        <v>13096</v>
      </c>
      <c r="O793" s="20">
        <v>390332</v>
      </c>
      <c r="W793" s="20">
        <f t="shared" si="36"/>
        <v>409853</v>
      </c>
      <c r="X793" s="36">
        <v>-57954</v>
      </c>
      <c r="Y793" s="36">
        <v>-276817</v>
      </c>
      <c r="Z793" s="36">
        <v>0</v>
      </c>
      <c r="AA793" s="36">
        <v>-3776</v>
      </c>
      <c r="AB793" s="36">
        <v>-2483</v>
      </c>
      <c r="AC793" s="36">
        <v>-68823</v>
      </c>
      <c r="AD793" s="36">
        <v>0</v>
      </c>
      <c r="AE793" s="36"/>
      <c r="AF793" s="36"/>
      <c r="AG793" s="36"/>
      <c r="AH793" s="36"/>
      <c r="AI793" s="20">
        <f t="shared" si="37"/>
        <v>-409853</v>
      </c>
      <c r="AJ793" s="20">
        <f t="shared" si="38"/>
        <v>0</v>
      </c>
    </row>
    <row r="794" spans="1:36" x14ac:dyDescent="0.2">
      <c r="A794" s="17" t="s">
        <v>5389</v>
      </c>
      <c r="B794" s="17">
        <v>41290</v>
      </c>
      <c r="C794" s="20">
        <v>0</v>
      </c>
      <c r="D794" s="20">
        <v>6050</v>
      </c>
      <c r="M794" s="20">
        <v>370</v>
      </c>
      <c r="N794" s="20">
        <v>13136</v>
      </c>
      <c r="O794" s="20">
        <v>390298</v>
      </c>
      <c r="W794" s="20">
        <f t="shared" si="36"/>
        <v>409854</v>
      </c>
      <c r="X794" s="36">
        <v>-57146</v>
      </c>
      <c r="Y794" s="36">
        <v>-278180</v>
      </c>
      <c r="Z794" s="36">
        <v>0</v>
      </c>
      <c r="AA794" s="36">
        <v>-3778</v>
      </c>
      <c r="AB794" s="36">
        <v>-2483</v>
      </c>
      <c r="AC794" s="36">
        <v>-68266</v>
      </c>
      <c r="AD794" s="36">
        <v>0</v>
      </c>
      <c r="AE794" s="36"/>
      <c r="AF794" s="36"/>
      <c r="AG794" s="36"/>
      <c r="AH794" s="36"/>
      <c r="AI794" s="20">
        <f t="shared" si="37"/>
        <v>-409853</v>
      </c>
      <c r="AJ794" s="20">
        <f t="shared" si="38"/>
        <v>1</v>
      </c>
    </row>
    <row r="795" spans="1:36" x14ac:dyDescent="0.2">
      <c r="A795" s="17" t="s">
        <v>5390</v>
      </c>
      <c r="B795" s="17">
        <v>41297</v>
      </c>
      <c r="C795" s="20">
        <v>0</v>
      </c>
      <c r="D795" s="20">
        <v>1875</v>
      </c>
      <c r="M795" s="20">
        <v>370</v>
      </c>
      <c r="N795" s="20">
        <v>13168</v>
      </c>
      <c r="O795" s="20">
        <v>389933</v>
      </c>
      <c r="W795" s="20">
        <f t="shared" si="36"/>
        <v>405346</v>
      </c>
      <c r="X795" s="36">
        <v>-57046</v>
      </c>
      <c r="Y795" s="36">
        <v>-273214</v>
      </c>
      <c r="Z795" s="36">
        <v>0</v>
      </c>
      <c r="AA795" s="36">
        <v>-3814</v>
      </c>
      <c r="AB795" s="36">
        <v>-2483</v>
      </c>
      <c r="AC795" s="36">
        <v>-68788</v>
      </c>
      <c r="AD795" s="36">
        <v>0</v>
      </c>
      <c r="AE795" s="36"/>
      <c r="AF795" s="36"/>
      <c r="AG795" s="36"/>
      <c r="AH795" s="36"/>
      <c r="AI795" s="20">
        <f t="shared" si="37"/>
        <v>-405345</v>
      </c>
      <c r="AJ795" s="20">
        <f t="shared" si="38"/>
        <v>1</v>
      </c>
    </row>
    <row r="796" spans="1:36" x14ac:dyDescent="0.2">
      <c r="A796" s="17" t="s">
        <v>5391</v>
      </c>
      <c r="B796" s="17">
        <v>41304</v>
      </c>
      <c r="C796" s="20">
        <v>0</v>
      </c>
      <c r="D796" s="20">
        <v>1875</v>
      </c>
      <c r="M796" s="20">
        <v>370</v>
      </c>
      <c r="N796" s="20">
        <v>13184</v>
      </c>
      <c r="O796" s="20">
        <v>389088</v>
      </c>
      <c r="W796" s="20">
        <f t="shared" si="36"/>
        <v>404517</v>
      </c>
      <c r="X796" s="36">
        <v>-57169</v>
      </c>
      <c r="Y796" s="36">
        <v>-272248</v>
      </c>
      <c r="Z796" s="36">
        <v>0</v>
      </c>
      <c r="AA796" s="36">
        <v>-3825</v>
      </c>
      <c r="AB796" s="36">
        <v>-2483</v>
      </c>
      <c r="AC796" s="36">
        <v>-68793</v>
      </c>
      <c r="AD796" s="36">
        <v>0</v>
      </c>
      <c r="AE796" s="36"/>
      <c r="AF796" s="36"/>
      <c r="AG796" s="36"/>
      <c r="AH796" s="36"/>
      <c r="AI796" s="20">
        <f t="shared" si="37"/>
        <v>-404518</v>
      </c>
      <c r="AJ796" s="20">
        <f t="shared" si="38"/>
        <v>-1</v>
      </c>
    </row>
    <row r="797" spans="1:36" x14ac:dyDescent="0.2">
      <c r="A797" s="17" t="s">
        <v>5392</v>
      </c>
      <c r="B797" s="17">
        <v>41311</v>
      </c>
      <c r="C797" s="20">
        <v>0</v>
      </c>
      <c r="D797" s="20">
        <v>1875</v>
      </c>
      <c r="M797" s="20">
        <v>370</v>
      </c>
      <c r="N797" s="20">
        <v>13208</v>
      </c>
      <c r="O797" s="20">
        <v>388958</v>
      </c>
      <c r="W797" s="20">
        <f t="shared" si="36"/>
        <v>404411</v>
      </c>
      <c r="X797" s="36">
        <v>-57194</v>
      </c>
      <c r="Y797" s="36">
        <v>-272056</v>
      </c>
      <c r="Z797" s="36">
        <v>0</v>
      </c>
      <c r="AA797" s="36">
        <v>-3857</v>
      </c>
      <c r="AB797" s="36">
        <v>-2479</v>
      </c>
      <c r="AC797" s="36">
        <v>-68824</v>
      </c>
      <c r="AD797" s="36">
        <v>0</v>
      </c>
      <c r="AE797" s="36"/>
      <c r="AF797" s="36"/>
      <c r="AG797" s="36"/>
      <c r="AH797" s="36"/>
      <c r="AI797" s="20">
        <f t="shared" si="37"/>
        <v>-404410</v>
      </c>
      <c r="AJ797" s="20">
        <f t="shared" si="38"/>
        <v>1</v>
      </c>
    </row>
    <row r="798" spans="1:36" x14ac:dyDescent="0.2">
      <c r="A798" s="17" t="s">
        <v>5393</v>
      </c>
      <c r="B798" s="17">
        <v>41318</v>
      </c>
      <c r="C798" s="20">
        <v>0</v>
      </c>
      <c r="D798" s="20">
        <v>1875</v>
      </c>
      <c r="M798" s="20">
        <v>370</v>
      </c>
      <c r="N798" s="20">
        <v>13195</v>
      </c>
      <c r="O798" s="20">
        <v>388614</v>
      </c>
      <c r="W798" s="20">
        <f t="shared" si="36"/>
        <v>404054</v>
      </c>
      <c r="X798" s="36">
        <v>-57176</v>
      </c>
      <c r="Y798" s="36">
        <v>-278027</v>
      </c>
      <c r="Z798" s="36">
        <v>0</v>
      </c>
      <c r="AA798" s="36">
        <v>-3882</v>
      </c>
      <c r="AB798" s="36">
        <v>-2479</v>
      </c>
      <c r="AC798" s="36">
        <v>-62489</v>
      </c>
      <c r="AD798" s="36">
        <v>0</v>
      </c>
      <c r="AE798" s="36"/>
      <c r="AF798" s="36"/>
      <c r="AG798" s="36"/>
      <c r="AH798" s="36"/>
      <c r="AI798" s="20">
        <f t="shared" si="37"/>
        <v>-404053</v>
      </c>
      <c r="AJ798" s="20">
        <f t="shared" si="38"/>
        <v>1</v>
      </c>
    </row>
    <row r="799" spans="1:36" x14ac:dyDescent="0.2">
      <c r="A799" s="17" t="s">
        <v>5394</v>
      </c>
      <c r="B799" s="17">
        <v>41325</v>
      </c>
      <c r="C799" s="20">
        <v>0</v>
      </c>
      <c r="D799" s="20">
        <v>2085</v>
      </c>
      <c r="M799" s="20">
        <v>370</v>
      </c>
      <c r="N799" s="20">
        <v>13248</v>
      </c>
      <c r="O799" s="20">
        <v>388525</v>
      </c>
      <c r="W799" s="20">
        <f t="shared" si="36"/>
        <v>404228</v>
      </c>
      <c r="X799" s="36">
        <v>-57242</v>
      </c>
      <c r="Y799" s="36">
        <v>-279727</v>
      </c>
      <c r="Z799" s="36">
        <v>0</v>
      </c>
      <c r="AA799" s="36">
        <v>-3943</v>
      </c>
      <c r="AB799" s="36">
        <v>-2479</v>
      </c>
      <c r="AC799" s="36">
        <v>-60836</v>
      </c>
      <c r="AD799" s="36">
        <v>0</v>
      </c>
      <c r="AE799" s="36"/>
      <c r="AF799" s="36"/>
      <c r="AG799" s="36"/>
      <c r="AH799" s="36"/>
      <c r="AI799" s="20">
        <f t="shared" si="37"/>
        <v>-404227</v>
      </c>
      <c r="AJ799" s="20">
        <f t="shared" si="38"/>
        <v>1</v>
      </c>
    </row>
    <row r="800" spans="1:36" x14ac:dyDescent="0.2">
      <c r="A800" s="17" t="s">
        <v>5395</v>
      </c>
      <c r="B800" s="17">
        <v>41332</v>
      </c>
      <c r="C800" s="20">
        <v>0</v>
      </c>
      <c r="D800" s="20">
        <v>585</v>
      </c>
      <c r="M800" s="20">
        <v>370</v>
      </c>
      <c r="N800" s="20">
        <v>13285</v>
      </c>
      <c r="O800" s="20">
        <v>388191</v>
      </c>
      <c r="W800" s="20">
        <f t="shared" si="36"/>
        <v>402431</v>
      </c>
      <c r="X800" s="36">
        <v>-57661</v>
      </c>
      <c r="Y800" s="36">
        <v>-279399</v>
      </c>
      <c r="Z800" s="36">
        <v>0</v>
      </c>
      <c r="AA800" s="36">
        <v>-3987</v>
      </c>
      <c r="AB800" s="36">
        <v>-2479</v>
      </c>
      <c r="AC800" s="36">
        <v>-58905</v>
      </c>
      <c r="AD800" s="36">
        <v>0</v>
      </c>
      <c r="AE800" s="36"/>
      <c r="AF800" s="36"/>
      <c r="AG800" s="36"/>
      <c r="AH800" s="36"/>
      <c r="AI800" s="20">
        <f t="shared" si="37"/>
        <v>-402431</v>
      </c>
      <c r="AJ800" s="20">
        <f t="shared" si="38"/>
        <v>0</v>
      </c>
    </row>
    <row r="801" spans="1:36" x14ac:dyDescent="0.2">
      <c r="A801" s="17" t="s">
        <v>5396</v>
      </c>
      <c r="B801" s="17">
        <v>41339</v>
      </c>
      <c r="C801" s="20">
        <v>0</v>
      </c>
      <c r="D801" s="20">
        <v>585</v>
      </c>
      <c r="M801" s="20">
        <v>370</v>
      </c>
      <c r="N801" s="20">
        <v>13185</v>
      </c>
      <c r="O801" s="20">
        <v>388679</v>
      </c>
      <c r="W801" s="20">
        <f t="shared" si="36"/>
        <v>402819</v>
      </c>
      <c r="X801" s="36">
        <v>-57766</v>
      </c>
      <c r="Y801" s="36">
        <v>-280508</v>
      </c>
      <c r="Z801" s="36">
        <v>0</v>
      </c>
      <c r="AA801" s="36">
        <v>-4006</v>
      </c>
      <c r="AB801" s="36">
        <v>-2479</v>
      </c>
      <c r="AC801" s="36">
        <v>-58059</v>
      </c>
      <c r="AD801" s="36">
        <v>0</v>
      </c>
      <c r="AE801" s="36"/>
      <c r="AF801" s="36"/>
      <c r="AG801" s="36"/>
      <c r="AH801" s="36"/>
      <c r="AI801" s="20">
        <f t="shared" si="37"/>
        <v>-402818</v>
      </c>
      <c r="AJ801" s="20">
        <f t="shared" si="38"/>
        <v>1</v>
      </c>
    </row>
    <row r="802" spans="1:36" x14ac:dyDescent="0.2">
      <c r="A802" s="17" t="s">
        <v>5397</v>
      </c>
      <c r="B802" s="17">
        <v>41346</v>
      </c>
      <c r="C802" s="20">
        <v>0</v>
      </c>
      <c r="D802" s="20">
        <v>585</v>
      </c>
      <c r="M802" s="20">
        <v>370</v>
      </c>
      <c r="N802" s="20">
        <v>13958</v>
      </c>
      <c r="O802" s="20">
        <v>390654</v>
      </c>
      <c r="W802" s="20">
        <f t="shared" si="36"/>
        <v>405567</v>
      </c>
      <c r="X802" s="36">
        <v>-57880</v>
      </c>
      <c r="Y802" s="36">
        <v>-276655</v>
      </c>
      <c r="Z802" s="36">
        <v>0</v>
      </c>
      <c r="AA802" s="36">
        <v>-5383</v>
      </c>
      <c r="AB802" s="36">
        <v>-2479</v>
      </c>
      <c r="AC802" s="36">
        <v>-63169</v>
      </c>
      <c r="AD802" s="36">
        <v>0</v>
      </c>
      <c r="AE802" s="36"/>
      <c r="AF802" s="36"/>
      <c r="AG802" s="36"/>
      <c r="AH802" s="36"/>
      <c r="AI802" s="20">
        <f t="shared" si="37"/>
        <v>-405566</v>
      </c>
      <c r="AJ802" s="20">
        <f t="shared" si="38"/>
        <v>1</v>
      </c>
    </row>
    <row r="803" spans="1:36" x14ac:dyDescent="0.2">
      <c r="A803" s="17" t="s">
        <v>5398</v>
      </c>
      <c r="B803" s="17">
        <v>41353</v>
      </c>
      <c r="C803" s="20">
        <v>0</v>
      </c>
      <c r="D803" s="20">
        <v>585</v>
      </c>
      <c r="M803" s="20">
        <v>370</v>
      </c>
      <c r="N803" s="20">
        <v>13464</v>
      </c>
      <c r="O803" s="20">
        <v>389262</v>
      </c>
      <c r="W803" s="20">
        <f t="shared" si="36"/>
        <v>403681</v>
      </c>
      <c r="X803" s="36">
        <v>-58018</v>
      </c>
      <c r="Y803" s="36">
        <v>-278781</v>
      </c>
      <c r="Z803" s="36">
        <v>0</v>
      </c>
      <c r="AA803" s="36">
        <v>-4006</v>
      </c>
      <c r="AB803" s="36">
        <v>-2479</v>
      </c>
      <c r="AC803" s="36">
        <v>-60396</v>
      </c>
      <c r="AD803" s="36">
        <v>0</v>
      </c>
      <c r="AE803" s="36"/>
      <c r="AF803" s="36"/>
      <c r="AG803" s="36"/>
      <c r="AH803" s="36"/>
      <c r="AI803" s="20">
        <f t="shared" si="37"/>
        <v>-403680</v>
      </c>
      <c r="AJ803" s="20">
        <f t="shared" si="38"/>
        <v>1</v>
      </c>
    </row>
    <row r="804" spans="1:36" x14ac:dyDescent="0.2">
      <c r="A804" s="17" t="s">
        <v>5399</v>
      </c>
      <c r="B804" s="17">
        <v>41360</v>
      </c>
      <c r="C804" s="20">
        <v>0</v>
      </c>
      <c r="D804" s="20">
        <v>435</v>
      </c>
      <c r="M804" s="20">
        <v>370</v>
      </c>
      <c r="N804" s="20">
        <v>13474</v>
      </c>
      <c r="O804" s="20">
        <v>389782</v>
      </c>
      <c r="W804" s="20">
        <f t="shared" si="36"/>
        <v>404061</v>
      </c>
      <c r="X804" s="36">
        <v>-59083</v>
      </c>
      <c r="Y804" s="36">
        <v>-278830</v>
      </c>
      <c r="Z804" s="36">
        <v>0</v>
      </c>
      <c r="AA804" s="36">
        <v>-4009</v>
      </c>
      <c r="AB804" s="36">
        <v>-2479</v>
      </c>
      <c r="AC804" s="36">
        <v>-59660</v>
      </c>
      <c r="AD804" s="36">
        <v>0</v>
      </c>
      <c r="AE804" s="36"/>
      <c r="AF804" s="36"/>
      <c r="AG804" s="36"/>
      <c r="AH804" s="36"/>
      <c r="AI804" s="20">
        <f t="shared" si="37"/>
        <v>-404061</v>
      </c>
      <c r="AJ804" s="20">
        <f t="shared" si="38"/>
        <v>0</v>
      </c>
    </row>
    <row r="805" spans="1:36" x14ac:dyDescent="0.2">
      <c r="A805" s="17" t="s">
        <v>5400</v>
      </c>
      <c r="B805" s="17">
        <v>41367</v>
      </c>
      <c r="C805" s="20">
        <v>0</v>
      </c>
      <c r="D805" s="20">
        <v>435</v>
      </c>
      <c r="M805" s="20">
        <v>370</v>
      </c>
      <c r="N805" s="20">
        <v>13480</v>
      </c>
      <c r="O805" s="20">
        <v>389512</v>
      </c>
      <c r="W805" s="20">
        <f t="shared" si="36"/>
        <v>403797</v>
      </c>
      <c r="X805" s="36">
        <v>-59587</v>
      </c>
      <c r="Y805" s="36">
        <v>-281182</v>
      </c>
      <c r="Z805" s="36">
        <v>0</v>
      </c>
      <c r="AA805" s="36">
        <v>-4006</v>
      </c>
      <c r="AB805" s="36">
        <v>-2479</v>
      </c>
      <c r="AC805" s="36">
        <v>-56542</v>
      </c>
      <c r="AD805" s="36">
        <v>0</v>
      </c>
      <c r="AE805" s="36"/>
      <c r="AF805" s="36"/>
      <c r="AG805" s="36"/>
      <c r="AH805" s="36"/>
      <c r="AI805" s="20">
        <f t="shared" si="37"/>
        <v>-403796</v>
      </c>
      <c r="AJ805" s="20">
        <f t="shared" si="38"/>
        <v>1</v>
      </c>
    </row>
    <row r="806" spans="1:36" x14ac:dyDescent="0.2">
      <c r="A806" s="17" t="s">
        <v>5401</v>
      </c>
      <c r="B806" s="17">
        <v>41374</v>
      </c>
      <c r="C806" s="20">
        <v>0</v>
      </c>
      <c r="D806" s="20">
        <v>435</v>
      </c>
      <c r="M806" s="20">
        <v>370</v>
      </c>
      <c r="N806" s="20">
        <v>13373</v>
      </c>
      <c r="O806" s="20">
        <v>389791</v>
      </c>
      <c r="W806" s="20">
        <f t="shared" si="36"/>
        <v>403969</v>
      </c>
      <c r="X806" s="36">
        <v>-58676</v>
      </c>
      <c r="Y806" s="36">
        <v>-286481</v>
      </c>
      <c r="Z806" s="36">
        <v>0</v>
      </c>
      <c r="AA806" s="36">
        <v>-3936</v>
      </c>
      <c r="AB806" s="36">
        <v>-2479</v>
      </c>
      <c r="AC806" s="36">
        <v>-52397</v>
      </c>
      <c r="AD806" s="36">
        <v>0</v>
      </c>
      <c r="AE806" s="36"/>
      <c r="AF806" s="36"/>
      <c r="AG806" s="36"/>
      <c r="AH806" s="36"/>
      <c r="AI806" s="20">
        <f t="shared" si="37"/>
        <v>-403969</v>
      </c>
      <c r="AJ806" s="20">
        <f t="shared" si="38"/>
        <v>0</v>
      </c>
    </row>
    <row r="807" spans="1:36" x14ac:dyDescent="0.2">
      <c r="A807" s="17" t="s">
        <v>5402</v>
      </c>
      <c r="B807" s="17">
        <v>41381</v>
      </c>
      <c r="C807" s="20">
        <v>0</v>
      </c>
      <c r="D807" s="20">
        <v>440</v>
      </c>
      <c r="M807" s="20">
        <v>370</v>
      </c>
      <c r="N807" s="20">
        <v>13411</v>
      </c>
      <c r="O807" s="20">
        <v>389850</v>
      </c>
      <c r="W807" s="20">
        <f t="shared" si="36"/>
        <v>404071</v>
      </c>
      <c r="X807" s="36">
        <v>-58356</v>
      </c>
      <c r="Y807" s="36">
        <v>-286447</v>
      </c>
      <c r="Z807" s="36">
        <v>0</v>
      </c>
      <c r="AA807" s="36">
        <v>-3961</v>
      </c>
      <c r="AB807" s="36">
        <v>-2479</v>
      </c>
      <c r="AC807" s="36">
        <v>-52828</v>
      </c>
      <c r="AD807" s="36">
        <v>0</v>
      </c>
      <c r="AE807" s="36"/>
      <c r="AF807" s="36"/>
      <c r="AG807" s="36"/>
      <c r="AH807" s="36"/>
      <c r="AI807" s="20">
        <f t="shared" si="37"/>
        <v>-404071</v>
      </c>
      <c r="AJ807" s="20">
        <f t="shared" si="38"/>
        <v>0</v>
      </c>
    </row>
    <row r="808" spans="1:36" x14ac:dyDescent="0.2">
      <c r="A808" s="17" t="s">
        <v>5403</v>
      </c>
      <c r="B808" s="17">
        <v>41388</v>
      </c>
      <c r="C808" s="20">
        <v>0</v>
      </c>
      <c r="D808" s="20">
        <v>440</v>
      </c>
      <c r="M808" s="20">
        <v>370</v>
      </c>
      <c r="N808" s="20">
        <v>13381</v>
      </c>
      <c r="O808" s="20">
        <v>389667</v>
      </c>
      <c r="W808" s="20">
        <f t="shared" si="36"/>
        <v>403858</v>
      </c>
      <c r="X808" s="36">
        <v>-58508</v>
      </c>
      <c r="Y808" s="36">
        <v>-286409</v>
      </c>
      <c r="Z808" s="36">
        <v>0</v>
      </c>
      <c r="AA808" s="36">
        <v>-3953</v>
      </c>
      <c r="AB808" s="36">
        <v>-2479</v>
      </c>
      <c r="AC808" s="36">
        <v>-52508</v>
      </c>
      <c r="AD808" s="36">
        <v>0</v>
      </c>
      <c r="AE808" s="36"/>
      <c r="AF808" s="36"/>
      <c r="AG808" s="36"/>
      <c r="AH808" s="36"/>
      <c r="AI808" s="20">
        <f t="shared" si="37"/>
        <v>-403857</v>
      </c>
      <c r="AJ808" s="20">
        <f t="shared" si="38"/>
        <v>1</v>
      </c>
    </row>
    <row r="809" spans="1:36" x14ac:dyDescent="0.2">
      <c r="A809" s="17" t="s">
        <v>5404</v>
      </c>
      <c r="B809" s="17">
        <v>41395</v>
      </c>
      <c r="C809" s="20">
        <v>0</v>
      </c>
      <c r="D809" s="20">
        <v>440</v>
      </c>
      <c r="M809" s="20">
        <v>370</v>
      </c>
      <c r="N809" s="20">
        <v>13360</v>
      </c>
      <c r="O809" s="20">
        <v>389211</v>
      </c>
      <c r="W809" s="20">
        <f t="shared" si="36"/>
        <v>403381</v>
      </c>
      <c r="X809" s="36">
        <v>-58972</v>
      </c>
      <c r="Y809" s="36">
        <v>-286412</v>
      </c>
      <c r="Z809" s="36">
        <v>0</v>
      </c>
      <c r="AA809" s="36">
        <v>-3874</v>
      </c>
      <c r="AB809" s="36">
        <v>-2479</v>
      </c>
      <c r="AC809" s="36">
        <v>-51643</v>
      </c>
      <c r="AD809" s="36">
        <v>0</v>
      </c>
      <c r="AE809" s="36"/>
      <c r="AF809" s="36"/>
      <c r="AG809" s="36"/>
      <c r="AH809" s="36"/>
      <c r="AI809" s="20">
        <f t="shared" si="37"/>
        <v>-403380</v>
      </c>
      <c r="AJ809" s="20">
        <f t="shared" si="38"/>
        <v>1</v>
      </c>
    </row>
    <row r="810" spans="1:36" x14ac:dyDescent="0.2">
      <c r="A810" s="17" t="s">
        <v>5405</v>
      </c>
      <c r="B810" s="17">
        <v>41402</v>
      </c>
      <c r="C810" s="20">
        <v>0</v>
      </c>
      <c r="D810" s="20">
        <v>440</v>
      </c>
      <c r="M810" s="20">
        <v>370</v>
      </c>
      <c r="N810" s="20">
        <v>13331</v>
      </c>
      <c r="O810" s="20">
        <v>388827</v>
      </c>
      <c r="W810" s="20">
        <f t="shared" si="36"/>
        <v>402968</v>
      </c>
      <c r="X810" s="36">
        <v>-59237</v>
      </c>
      <c r="Y810" s="36">
        <v>-289882</v>
      </c>
      <c r="Z810" s="36">
        <v>0</v>
      </c>
      <c r="AA810" s="36">
        <v>-3877</v>
      </c>
      <c r="AB810" s="36">
        <v>-2479</v>
      </c>
      <c r="AC810" s="36">
        <v>-47493</v>
      </c>
      <c r="AD810" s="36">
        <v>0</v>
      </c>
      <c r="AE810" s="36"/>
      <c r="AF810" s="36"/>
      <c r="AG810" s="36"/>
      <c r="AH810" s="36"/>
      <c r="AI810" s="20">
        <f t="shared" si="37"/>
        <v>-402968</v>
      </c>
      <c r="AJ810" s="20">
        <f t="shared" si="38"/>
        <v>0</v>
      </c>
    </row>
    <row r="811" spans="1:36" x14ac:dyDescent="0.2">
      <c r="A811" s="17" t="s">
        <v>5406</v>
      </c>
      <c r="B811" s="17">
        <v>41409</v>
      </c>
      <c r="C811" s="20">
        <v>0</v>
      </c>
      <c r="D811" s="20">
        <v>440</v>
      </c>
      <c r="M811" s="20">
        <v>370</v>
      </c>
      <c r="N811" s="20">
        <v>13314</v>
      </c>
      <c r="O811" s="20">
        <v>388656</v>
      </c>
      <c r="W811" s="20">
        <f t="shared" si="36"/>
        <v>402780</v>
      </c>
      <c r="X811" s="36">
        <v>-58754</v>
      </c>
      <c r="Y811" s="36">
        <v>-289598</v>
      </c>
      <c r="Z811" s="36">
        <v>0</v>
      </c>
      <c r="AA811" s="36">
        <v>-3962</v>
      </c>
      <c r="AB811" s="36">
        <v>-2479</v>
      </c>
      <c r="AC811" s="36">
        <v>-47987</v>
      </c>
      <c r="AD811" s="36">
        <v>0</v>
      </c>
      <c r="AE811" s="36"/>
      <c r="AF811" s="36"/>
      <c r="AG811" s="36"/>
      <c r="AH811" s="36"/>
      <c r="AI811" s="20">
        <f t="shared" si="37"/>
        <v>-402780</v>
      </c>
      <c r="AJ811" s="20">
        <f t="shared" si="38"/>
        <v>0</v>
      </c>
    </row>
    <row r="812" spans="1:36" x14ac:dyDescent="0.2">
      <c r="A812" s="17" t="s">
        <v>5407</v>
      </c>
      <c r="B812" s="17">
        <v>41416</v>
      </c>
      <c r="C812" s="20">
        <v>0</v>
      </c>
      <c r="D812" s="20">
        <v>335</v>
      </c>
      <c r="M812" s="20">
        <v>370</v>
      </c>
      <c r="N812" s="20">
        <v>13363</v>
      </c>
      <c r="O812" s="20">
        <v>390226</v>
      </c>
      <c r="W812" s="20">
        <f t="shared" si="36"/>
        <v>404294</v>
      </c>
      <c r="X812" s="36">
        <v>-58889</v>
      </c>
      <c r="Y812" s="36">
        <v>-289286</v>
      </c>
      <c r="Z812" s="36">
        <v>0</v>
      </c>
      <c r="AA812" s="36">
        <v>-4009</v>
      </c>
      <c r="AB812" s="36">
        <v>-2468</v>
      </c>
      <c r="AC812" s="36">
        <v>-49642</v>
      </c>
      <c r="AD812" s="36">
        <v>0</v>
      </c>
      <c r="AE812" s="36"/>
      <c r="AF812" s="36"/>
      <c r="AG812" s="36"/>
      <c r="AH812" s="36"/>
      <c r="AI812" s="20">
        <f t="shared" si="37"/>
        <v>-404294</v>
      </c>
      <c r="AJ812" s="20">
        <f t="shared" si="38"/>
        <v>0</v>
      </c>
    </row>
    <row r="813" spans="1:36" x14ac:dyDescent="0.2">
      <c r="A813" s="17" t="s">
        <v>5408</v>
      </c>
      <c r="B813" s="17">
        <v>41423</v>
      </c>
      <c r="C813" s="20">
        <v>0</v>
      </c>
      <c r="D813" s="20">
        <v>335</v>
      </c>
      <c r="M813" s="20">
        <v>370</v>
      </c>
      <c r="N813" s="20">
        <v>13357</v>
      </c>
      <c r="O813" s="20">
        <v>389709</v>
      </c>
      <c r="W813" s="20">
        <f t="shared" si="36"/>
        <v>403771</v>
      </c>
      <c r="X813" s="36">
        <v>-59512</v>
      </c>
      <c r="Y813" s="36">
        <v>-288739</v>
      </c>
      <c r="Z813" s="36">
        <v>0</v>
      </c>
      <c r="AA813" s="36">
        <v>-3984</v>
      </c>
      <c r="AB813" s="36">
        <v>-2468</v>
      </c>
      <c r="AC813" s="36">
        <v>-49068</v>
      </c>
      <c r="AD813" s="36">
        <v>0</v>
      </c>
      <c r="AE813" s="36"/>
      <c r="AF813" s="36"/>
      <c r="AG813" s="36"/>
      <c r="AH813" s="36"/>
      <c r="AI813" s="20">
        <f t="shared" si="37"/>
        <v>-403771</v>
      </c>
      <c r="AJ813" s="20">
        <f t="shared" si="38"/>
        <v>0</v>
      </c>
    </row>
    <row r="814" spans="1:36" x14ac:dyDescent="0.2">
      <c r="A814" s="17" t="s">
        <v>5409</v>
      </c>
      <c r="B814" s="17">
        <v>41430</v>
      </c>
      <c r="C814" s="20">
        <v>0</v>
      </c>
      <c r="D814" s="20">
        <v>335</v>
      </c>
      <c r="M814" s="20">
        <v>370</v>
      </c>
      <c r="N814" s="20">
        <v>13271</v>
      </c>
      <c r="O814" s="20">
        <v>389429</v>
      </c>
      <c r="W814" s="20">
        <f t="shared" si="36"/>
        <v>403405</v>
      </c>
      <c r="X814" s="36">
        <v>-59132</v>
      </c>
      <c r="Y814" s="36">
        <v>-287898</v>
      </c>
      <c r="Z814" s="36">
        <v>0</v>
      </c>
      <c r="AA814" s="36">
        <v>-3913</v>
      </c>
      <c r="AB814" s="36">
        <v>-4013</v>
      </c>
      <c r="AC814" s="36">
        <v>-48448</v>
      </c>
      <c r="AD814" s="36">
        <v>0</v>
      </c>
      <c r="AE814" s="36"/>
      <c r="AF814" s="36"/>
      <c r="AG814" s="36"/>
      <c r="AH814" s="36"/>
      <c r="AI814" s="20">
        <f t="shared" si="37"/>
        <v>-403404</v>
      </c>
      <c r="AJ814" s="20">
        <f t="shared" si="38"/>
        <v>1</v>
      </c>
    </row>
    <row r="815" spans="1:36" x14ac:dyDescent="0.2">
      <c r="A815" s="17" t="s">
        <v>5410</v>
      </c>
      <c r="B815" s="17">
        <v>41437</v>
      </c>
      <c r="C815" s="20">
        <v>0</v>
      </c>
      <c r="D815" s="20">
        <v>335</v>
      </c>
      <c r="M815" s="20">
        <v>370</v>
      </c>
      <c r="N815" s="20">
        <v>13210</v>
      </c>
      <c r="O815" s="20">
        <v>389472</v>
      </c>
      <c r="W815" s="20">
        <f t="shared" si="36"/>
        <v>403387</v>
      </c>
      <c r="X815" s="36">
        <v>-59110</v>
      </c>
      <c r="Y815" s="36">
        <v>-289955</v>
      </c>
      <c r="Z815" s="36">
        <v>0</v>
      </c>
      <c r="AA815" s="36">
        <v>-3836</v>
      </c>
      <c r="AB815" s="36">
        <v>-4013</v>
      </c>
      <c r="AC815" s="36">
        <v>-46472</v>
      </c>
      <c r="AD815" s="36">
        <v>0</v>
      </c>
      <c r="AE815" s="36"/>
      <c r="AF815" s="36"/>
      <c r="AG815" s="36"/>
      <c r="AH815" s="36"/>
      <c r="AI815" s="20">
        <f t="shared" si="37"/>
        <v>-403386</v>
      </c>
      <c r="AJ815" s="20">
        <f t="shared" si="38"/>
        <v>1</v>
      </c>
    </row>
    <row r="816" spans="1:36" x14ac:dyDescent="0.2">
      <c r="A816" s="17" t="s">
        <v>5411</v>
      </c>
      <c r="B816" s="17">
        <v>41444</v>
      </c>
      <c r="C816" s="20">
        <v>0</v>
      </c>
      <c r="D816" s="20">
        <v>325</v>
      </c>
      <c r="M816" s="20">
        <v>370</v>
      </c>
      <c r="N816" s="20">
        <v>14038</v>
      </c>
      <c r="O816" s="20">
        <v>389487</v>
      </c>
      <c r="W816" s="20">
        <f t="shared" si="36"/>
        <v>404220</v>
      </c>
      <c r="X816" s="36">
        <v>-59101</v>
      </c>
      <c r="Y816" s="36">
        <v>-290587</v>
      </c>
      <c r="Z816" s="36">
        <v>0</v>
      </c>
      <c r="AA816" s="36">
        <v>-3846</v>
      </c>
      <c r="AB816" s="36">
        <v>-4013</v>
      </c>
      <c r="AC816" s="36">
        <v>-46673</v>
      </c>
      <c r="AD816" s="36">
        <v>0</v>
      </c>
      <c r="AE816" s="36"/>
      <c r="AF816" s="36"/>
      <c r="AG816" s="36"/>
      <c r="AH816" s="36"/>
      <c r="AI816" s="20">
        <f t="shared" si="37"/>
        <v>-404220</v>
      </c>
      <c r="AJ816" s="20">
        <f t="shared" si="38"/>
        <v>0</v>
      </c>
    </row>
    <row r="817" spans="1:36" x14ac:dyDescent="0.2">
      <c r="A817" s="17" t="s">
        <v>5412</v>
      </c>
      <c r="B817" s="17">
        <v>41451</v>
      </c>
      <c r="C817" s="20">
        <v>0</v>
      </c>
      <c r="D817" s="20">
        <v>325</v>
      </c>
      <c r="M817" s="20">
        <v>370</v>
      </c>
      <c r="N817" s="20">
        <v>14500</v>
      </c>
      <c r="O817" s="20">
        <v>388897</v>
      </c>
      <c r="W817" s="20">
        <f t="shared" si="36"/>
        <v>404092</v>
      </c>
      <c r="X817" s="36">
        <v>-59264</v>
      </c>
      <c r="Y817" s="36">
        <v>-290518</v>
      </c>
      <c r="Z817" s="36">
        <v>0</v>
      </c>
      <c r="AA817" s="36">
        <v>-3915</v>
      </c>
      <c r="AB817" s="36">
        <v>-4013</v>
      </c>
      <c r="AC817" s="36">
        <v>-46382</v>
      </c>
      <c r="AD817" s="36">
        <v>0</v>
      </c>
      <c r="AE817" s="36"/>
      <c r="AF817" s="36"/>
      <c r="AG817" s="36"/>
      <c r="AH817" s="36"/>
      <c r="AI817" s="20">
        <f t="shared" si="37"/>
        <v>-404092</v>
      </c>
      <c r="AJ817" s="20">
        <f t="shared" si="38"/>
        <v>0</v>
      </c>
    </row>
    <row r="818" spans="1:36" x14ac:dyDescent="0.2">
      <c r="A818" s="17" t="s">
        <v>5413</v>
      </c>
      <c r="B818" s="17">
        <v>41458</v>
      </c>
      <c r="C818" s="20">
        <v>0</v>
      </c>
      <c r="D818" s="20">
        <v>325</v>
      </c>
      <c r="M818" s="20">
        <v>370</v>
      </c>
      <c r="N818" s="20">
        <v>14523</v>
      </c>
      <c r="O818" s="20">
        <v>388634</v>
      </c>
      <c r="W818" s="20">
        <f t="shared" si="36"/>
        <v>403852</v>
      </c>
      <c r="X818" s="36">
        <v>-59522</v>
      </c>
      <c r="Y818" s="36">
        <v>-290697</v>
      </c>
      <c r="Z818" s="36">
        <v>0</v>
      </c>
      <c r="AA818" s="36">
        <v>-3941</v>
      </c>
      <c r="AB818" s="36">
        <v>-4013</v>
      </c>
      <c r="AC818" s="36">
        <v>-45679</v>
      </c>
      <c r="AD818" s="36">
        <v>0</v>
      </c>
      <c r="AE818" s="36"/>
      <c r="AF818" s="36"/>
      <c r="AG818" s="36"/>
      <c r="AH818" s="36"/>
      <c r="AI818" s="20">
        <f t="shared" si="37"/>
        <v>-403852</v>
      </c>
      <c r="AJ818" s="20">
        <f t="shared" si="38"/>
        <v>0</v>
      </c>
    </row>
    <row r="819" spans="1:36" x14ac:dyDescent="0.2">
      <c r="A819" s="17" t="s">
        <v>5414</v>
      </c>
      <c r="B819" s="17">
        <v>41465</v>
      </c>
      <c r="C819" s="20">
        <v>0</v>
      </c>
      <c r="D819" s="20">
        <v>325</v>
      </c>
      <c r="M819" s="20">
        <v>370</v>
      </c>
      <c r="N819" s="20">
        <v>14588</v>
      </c>
      <c r="O819" s="20">
        <v>388681</v>
      </c>
      <c r="W819" s="20">
        <f t="shared" si="36"/>
        <v>403964</v>
      </c>
      <c r="X819" s="36">
        <v>-59521</v>
      </c>
      <c r="Y819" s="36">
        <v>-294490</v>
      </c>
      <c r="Z819" s="36">
        <v>0</v>
      </c>
      <c r="AA819" s="36">
        <v>-4024</v>
      </c>
      <c r="AB819" s="36">
        <v>-4013</v>
      </c>
      <c r="AC819" s="36">
        <v>-41916</v>
      </c>
      <c r="AD819" s="36">
        <v>0</v>
      </c>
      <c r="AE819" s="36"/>
      <c r="AF819" s="36"/>
      <c r="AG819" s="36"/>
      <c r="AH819" s="36"/>
      <c r="AI819" s="20">
        <f t="shared" si="37"/>
        <v>-403964</v>
      </c>
      <c r="AJ819" s="20">
        <f t="shared" si="38"/>
        <v>0</v>
      </c>
    </row>
    <row r="820" spans="1:36" x14ac:dyDescent="0.2">
      <c r="A820" s="17" t="s">
        <v>5415</v>
      </c>
      <c r="B820" s="17">
        <v>41472</v>
      </c>
      <c r="C820" s="20">
        <v>0</v>
      </c>
      <c r="D820" s="20">
        <v>380</v>
      </c>
      <c r="M820" s="20">
        <v>370</v>
      </c>
      <c r="N820" s="20">
        <v>14630</v>
      </c>
      <c r="O820" s="20">
        <v>388409</v>
      </c>
      <c r="W820" s="20">
        <f t="shared" si="36"/>
        <v>403789</v>
      </c>
      <c r="X820" s="36">
        <v>-59710</v>
      </c>
      <c r="Y820" s="36">
        <v>-294217</v>
      </c>
      <c r="Z820" s="36">
        <v>0</v>
      </c>
      <c r="AA820" s="36">
        <v>-3966</v>
      </c>
      <c r="AB820" s="36">
        <v>-4013</v>
      </c>
      <c r="AC820" s="36">
        <v>-41882</v>
      </c>
      <c r="AD820" s="36">
        <v>0</v>
      </c>
      <c r="AE820" s="36"/>
      <c r="AF820" s="36"/>
      <c r="AG820" s="36"/>
      <c r="AH820" s="36"/>
      <c r="AI820" s="20">
        <f t="shared" si="37"/>
        <v>-403788</v>
      </c>
      <c r="AJ820" s="20">
        <f t="shared" si="38"/>
        <v>1</v>
      </c>
    </row>
    <row r="821" spans="1:36" x14ac:dyDescent="0.2">
      <c r="A821" s="17" t="s">
        <v>5416</v>
      </c>
      <c r="B821" s="17">
        <v>41479</v>
      </c>
      <c r="C821" s="20">
        <v>0</v>
      </c>
      <c r="D821" s="20">
        <v>380</v>
      </c>
      <c r="M821" s="20">
        <v>370</v>
      </c>
      <c r="N821" s="20">
        <v>14648</v>
      </c>
      <c r="O821" s="20">
        <v>388656</v>
      </c>
      <c r="W821" s="20">
        <f t="shared" si="36"/>
        <v>404054</v>
      </c>
      <c r="X821" s="36">
        <v>-59747</v>
      </c>
      <c r="Y821" s="36">
        <v>-293962</v>
      </c>
      <c r="Z821" s="36">
        <v>0</v>
      </c>
      <c r="AA821" s="36">
        <v>-3917</v>
      </c>
      <c r="AB821" s="36">
        <v>-4013</v>
      </c>
      <c r="AC821" s="36">
        <v>-42416</v>
      </c>
      <c r="AD821" s="36">
        <v>0</v>
      </c>
      <c r="AE821" s="36"/>
      <c r="AF821" s="36"/>
      <c r="AG821" s="36"/>
      <c r="AH821" s="36"/>
      <c r="AI821" s="20">
        <f t="shared" si="37"/>
        <v>-404055</v>
      </c>
      <c r="AJ821" s="20">
        <f t="shared" si="38"/>
        <v>-1</v>
      </c>
    </row>
    <row r="822" spans="1:36" x14ac:dyDescent="0.2">
      <c r="A822" s="17" t="s">
        <v>5417</v>
      </c>
      <c r="B822" s="17">
        <v>41486</v>
      </c>
      <c r="C822" s="20">
        <v>0</v>
      </c>
      <c r="D822" s="20">
        <v>380</v>
      </c>
      <c r="M822" s="20">
        <v>370</v>
      </c>
      <c r="N822" s="20">
        <v>15070</v>
      </c>
      <c r="O822" s="20">
        <v>389070</v>
      </c>
      <c r="W822" s="20">
        <f t="shared" si="36"/>
        <v>404890</v>
      </c>
      <c r="X822" s="36">
        <v>-59945</v>
      </c>
      <c r="Y822" s="36">
        <v>-294511</v>
      </c>
      <c r="Z822" s="36">
        <v>0</v>
      </c>
      <c r="AA822" s="36">
        <v>-3967</v>
      </c>
      <c r="AB822" s="36">
        <v>-4013</v>
      </c>
      <c r="AC822" s="36">
        <v>-42453</v>
      </c>
      <c r="AD822" s="36">
        <v>0</v>
      </c>
      <c r="AE822" s="36"/>
      <c r="AF822" s="36"/>
      <c r="AG822" s="36"/>
      <c r="AH822" s="36"/>
      <c r="AI822" s="20">
        <f t="shared" si="37"/>
        <v>-404889</v>
      </c>
      <c r="AJ822" s="20">
        <f t="shared" si="38"/>
        <v>1</v>
      </c>
    </row>
    <row r="823" spans="1:36" x14ac:dyDescent="0.2">
      <c r="A823" s="17" t="s">
        <v>5418</v>
      </c>
      <c r="B823" s="17">
        <v>41493</v>
      </c>
      <c r="C823" s="20">
        <v>0</v>
      </c>
      <c r="D823" s="20">
        <v>380</v>
      </c>
      <c r="M823" s="20">
        <v>370</v>
      </c>
      <c r="N823" s="20">
        <v>15654</v>
      </c>
      <c r="O823" s="20">
        <v>388591</v>
      </c>
      <c r="W823" s="20">
        <f t="shared" si="36"/>
        <v>404995</v>
      </c>
      <c r="X823" s="36">
        <v>-59900</v>
      </c>
      <c r="Y823" s="36">
        <v>-295309</v>
      </c>
      <c r="Z823" s="36">
        <v>0</v>
      </c>
      <c r="AA823" s="36">
        <v>-3878</v>
      </c>
      <c r="AB823" s="36">
        <v>-4013</v>
      </c>
      <c r="AC823" s="36">
        <v>-41895</v>
      </c>
      <c r="AD823" s="36">
        <v>0</v>
      </c>
      <c r="AE823" s="36"/>
      <c r="AF823" s="36"/>
      <c r="AG823" s="36"/>
      <c r="AH823" s="36"/>
      <c r="AI823" s="20">
        <f t="shared" si="37"/>
        <v>-404995</v>
      </c>
      <c r="AJ823" s="20">
        <f t="shared" si="38"/>
        <v>0</v>
      </c>
    </row>
    <row r="824" spans="1:36" x14ac:dyDescent="0.2">
      <c r="A824" s="17" t="s">
        <v>5419</v>
      </c>
      <c r="B824" s="17">
        <v>41500</v>
      </c>
      <c r="C824" s="20">
        <v>0</v>
      </c>
      <c r="D824" s="20">
        <v>380</v>
      </c>
      <c r="M824" s="20">
        <v>370</v>
      </c>
      <c r="N824" s="20">
        <v>15947</v>
      </c>
      <c r="O824" s="20">
        <v>387870</v>
      </c>
      <c r="W824" s="20">
        <f t="shared" si="36"/>
        <v>404567</v>
      </c>
      <c r="X824" s="36">
        <v>-59824</v>
      </c>
      <c r="Y824" s="36">
        <v>-295269</v>
      </c>
      <c r="Z824" s="36">
        <v>0</v>
      </c>
      <c r="AA824" s="36">
        <v>-3870</v>
      </c>
      <c r="AB824" s="36">
        <v>-4013</v>
      </c>
      <c r="AC824" s="36">
        <v>-41590</v>
      </c>
      <c r="AD824" s="36">
        <v>0</v>
      </c>
      <c r="AE824" s="36"/>
      <c r="AF824" s="36"/>
      <c r="AG824" s="36"/>
      <c r="AH824" s="36"/>
      <c r="AI824" s="20">
        <f t="shared" si="37"/>
        <v>-404566</v>
      </c>
      <c r="AJ824" s="20">
        <f t="shared" si="38"/>
        <v>1</v>
      </c>
    </row>
    <row r="825" spans="1:36" x14ac:dyDescent="0.2">
      <c r="A825" s="17" t="s">
        <v>5420</v>
      </c>
      <c r="B825" s="17">
        <v>41507</v>
      </c>
      <c r="C825" s="20">
        <v>0</v>
      </c>
      <c r="D825" s="20">
        <v>180</v>
      </c>
      <c r="M825" s="20">
        <v>370</v>
      </c>
      <c r="N825" s="20">
        <v>16344</v>
      </c>
      <c r="O825" s="20">
        <v>387483</v>
      </c>
      <c r="W825" s="20">
        <f t="shared" si="36"/>
        <v>404377</v>
      </c>
      <c r="X825" s="36">
        <v>-59976</v>
      </c>
      <c r="Y825" s="36">
        <v>-298658</v>
      </c>
      <c r="Z825" s="36">
        <v>0</v>
      </c>
      <c r="AA825" s="36">
        <v>-3831</v>
      </c>
      <c r="AB825" s="36">
        <v>-4013</v>
      </c>
      <c r="AC825" s="36">
        <v>-37899</v>
      </c>
      <c r="AD825" s="36">
        <v>0</v>
      </c>
      <c r="AE825" s="36"/>
      <c r="AF825" s="36"/>
      <c r="AG825" s="36"/>
      <c r="AH825" s="36"/>
      <c r="AI825" s="20">
        <f t="shared" si="37"/>
        <v>-404377</v>
      </c>
      <c r="AJ825" s="20">
        <f t="shared" si="38"/>
        <v>0</v>
      </c>
    </row>
    <row r="826" spans="1:36" x14ac:dyDescent="0.2">
      <c r="A826" s="17" t="s">
        <v>5421</v>
      </c>
      <c r="B826" s="17">
        <v>41514</v>
      </c>
      <c r="C826" s="20">
        <v>0</v>
      </c>
      <c r="D826" s="20">
        <v>180</v>
      </c>
      <c r="M826" s="20">
        <v>370</v>
      </c>
      <c r="N826" s="20">
        <v>17099</v>
      </c>
      <c r="O826" s="20">
        <v>386943</v>
      </c>
      <c r="W826" s="20">
        <f t="shared" si="36"/>
        <v>404592</v>
      </c>
      <c r="X826" s="36">
        <v>-60475</v>
      </c>
      <c r="Y826" s="36">
        <v>-296693</v>
      </c>
      <c r="Z826" s="36">
        <v>0</v>
      </c>
      <c r="AA826" s="36">
        <v>-3866</v>
      </c>
      <c r="AB826" s="36">
        <v>-4013</v>
      </c>
      <c r="AC826" s="36">
        <v>-39545</v>
      </c>
      <c r="AD826" s="36">
        <v>0</v>
      </c>
      <c r="AE826" s="36"/>
      <c r="AF826" s="36"/>
      <c r="AG826" s="36"/>
      <c r="AH826" s="36"/>
      <c r="AI826" s="20">
        <f t="shared" si="37"/>
        <v>-404592</v>
      </c>
      <c r="AJ826" s="20">
        <f t="shared" si="38"/>
        <v>0</v>
      </c>
    </row>
    <row r="827" spans="1:36" x14ac:dyDescent="0.2">
      <c r="A827" s="17" t="s">
        <v>5422</v>
      </c>
      <c r="B827" s="17">
        <v>41521</v>
      </c>
      <c r="C827" s="20">
        <v>0</v>
      </c>
      <c r="D827" s="20">
        <v>180</v>
      </c>
      <c r="M827" s="20">
        <v>370</v>
      </c>
      <c r="N827" s="20">
        <v>16825</v>
      </c>
      <c r="O827" s="20">
        <v>386612</v>
      </c>
      <c r="W827" s="20">
        <f t="shared" si="36"/>
        <v>403987</v>
      </c>
      <c r="X827" s="36">
        <v>-60050</v>
      </c>
      <c r="Y827" s="36">
        <v>-297861</v>
      </c>
      <c r="Z827" s="36">
        <v>0</v>
      </c>
      <c r="AA827" s="36">
        <v>-3842</v>
      </c>
      <c r="AB827" s="36">
        <v>-4013</v>
      </c>
      <c r="AC827" s="36">
        <v>-38221</v>
      </c>
      <c r="AD827" s="36">
        <v>0</v>
      </c>
      <c r="AE827" s="36"/>
      <c r="AF827" s="36"/>
      <c r="AG827" s="36"/>
      <c r="AH827" s="36"/>
      <c r="AI827" s="20">
        <f t="shared" si="37"/>
        <v>-403987</v>
      </c>
      <c r="AJ827" s="20">
        <f t="shared" si="38"/>
        <v>0</v>
      </c>
    </row>
    <row r="828" spans="1:36" x14ac:dyDescent="0.2">
      <c r="A828" s="17" t="s">
        <v>5423</v>
      </c>
      <c r="B828" s="17">
        <v>41528</v>
      </c>
      <c r="C828" s="20">
        <v>0</v>
      </c>
      <c r="D828" s="20">
        <v>180</v>
      </c>
      <c r="M828" s="20">
        <v>370</v>
      </c>
      <c r="N828" s="20">
        <v>16749</v>
      </c>
      <c r="O828" s="20">
        <v>385650</v>
      </c>
      <c r="W828" s="20">
        <f t="shared" si="36"/>
        <v>402949</v>
      </c>
      <c r="X828" s="36">
        <v>-59821</v>
      </c>
      <c r="Y828" s="36">
        <v>-294157</v>
      </c>
      <c r="Z828" s="36">
        <v>0</v>
      </c>
      <c r="AA828" s="36">
        <v>-3796</v>
      </c>
      <c r="AB828" s="36">
        <v>-4013</v>
      </c>
      <c r="AC828" s="36">
        <v>-41163</v>
      </c>
      <c r="AD828" s="36">
        <v>0</v>
      </c>
      <c r="AE828" s="36"/>
      <c r="AF828" s="36"/>
      <c r="AG828" s="36"/>
      <c r="AH828" s="36"/>
      <c r="AI828" s="20">
        <f t="shared" si="37"/>
        <v>-402950</v>
      </c>
      <c r="AJ828" s="20">
        <f t="shared" si="38"/>
        <v>-1</v>
      </c>
    </row>
    <row r="829" spans="1:36" s="23" customFormat="1" x14ac:dyDescent="0.2">
      <c r="A829" s="22" t="s">
        <v>5424</v>
      </c>
      <c r="B829" s="22">
        <v>41535</v>
      </c>
      <c r="C829" s="24">
        <v>0</v>
      </c>
      <c r="D829" s="24">
        <v>215</v>
      </c>
      <c r="M829" s="24">
        <v>370</v>
      </c>
      <c r="N829" s="24">
        <v>17091</v>
      </c>
      <c r="O829" s="24">
        <v>385585</v>
      </c>
      <c r="W829" s="24">
        <f>SUM(C829:D829,M829:P829)</f>
        <v>403261</v>
      </c>
      <c r="X829" s="40">
        <v>-59684</v>
      </c>
      <c r="Y829" s="40">
        <v>-294143</v>
      </c>
      <c r="Z829" s="40">
        <v>0</v>
      </c>
      <c r="AA829" s="40">
        <v>-3763</v>
      </c>
      <c r="AB829" s="40">
        <v>-4013</v>
      </c>
      <c r="AC829" s="40">
        <v>-41659</v>
      </c>
      <c r="AD829" s="40">
        <v>0</v>
      </c>
      <c r="AE829" s="40"/>
      <c r="AF829" s="40"/>
      <c r="AG829" s="40"/>
      <c r="AH829" s="40"/>
      <c r="AI829" s="24">
        <f t="shared" si="37"/>
        <v>-403262</v>
      </c>
      <c r="AJ829" s="24">
        <f t="shared" si="38"/>
        <v>-1</v>
      </c>
    </row>
    <row r="830" spans="1:36" x14ac:dyDescent="0.2">
      <c r="A830" s="17" t="s">
        <v>5425</v>
      </c>
      <c r="B830" s="17">
        <v>41542</v>
      </c>
      <c r="C830" s="20">
        <v>0</v>
      </c>
      <c r="D830" s="20">
        <v>215</v>
      </c>
      <c r="E830" s="20">
        <v>215</v>
      </c>
      <c r="F830" s="20">
        <v>0</v>
      </c>
      <c r="I830" s="20">
        <v>10641</v>
      </c>
      <c r="K830" s="20">
        <v>375000</v>
      </c>
      <c r="L830" s="20">
        <v>3747</v>
      </c>
      <c r="M830" s="20">
        <v>370</v>
      </c>
      <c r="N830" s="20">
        <v>17460</v>
      </c>
      <c r="O830" s="20">
        <v>384945</v>
      </c>
      <c r="Q830" s="20"/>
      <c r="W830" s="20">
        <f>SUM(C830:D830,G830:M830)</f>
        <v>389973</v>
      </c>
      <c r="X830" s="36">
        <v>-59817</v>
      </c>
      <c r="Y830" s="36">
        <v>-294255</v>
      </c>
      <c r="Z830" s="36">
        <v>0</v>
      </c>
      <c r="AA830" s="36">
        <v>-3745</v>
      </c>
      <c r="AB830" s="36">
        <v>-4013</v>
      </c>
      <c r="AC830" s="36">
        <v>-41159</v>
      </c>
      <c r="AD830" s="36">
        <v>0</v>
      </c>
      <c r="AE830" s="36"/>
      <c r="AF830" s="36"/>
      <c r="AG830" s="36"/>
      <c r="AH830" s="36"/>
      <c r="AI830" s="20">
        <f>SUM(X830:AA830)</f>
        <v>-357817</v>
      </c>
      <c r="AJ830" s="20">
        <f t="shared" si="38"/>
        <v>32156</v>
      </c>
    </row>
    <row r="831" spans="1:36" x14ac:dyDescent="0.2">
      <c r="A831" s="17" t="s">
        <v>5426</v>
      </c>
      <c r="B831" s="17">
        <v>41549</v>
      </c>
      <c r="C831" s="20">
        <v>0</v>
      </c>
      <c r="D831" s="20">
        <v>215</v>
      </c>
      <c r="E831" s="20">
        <v>215</v>
      </c>
      <c r="F831" s="20">
        <v>0</v>
      </c>
      <c r="I831" s="20">
        <v>10061</v>
      </c>
      <c r="K831" s="20">
        <v>375000</v>
      </c>
      <c r="L831" s="20">
        <v>3712</v>
      </c>
      <c r="M831" s="20">
        <v>370</v>
      </c>
      <c r="N831" s="20">
        <v>16709</v>
      </c>
      <c r="O831" s="20">
        <v>384982</v>
      </c>
      <c r="W831" s="20">
        <f t="shared" ref="W831:W882" si="39">SUM(C831:D831,G831:M831)</f>
        <v>389358</v>
      </c>
      <c r="X831" s="36">
        <v>-59853</v>
      </c>
      <c r="Y831" s="36">
        <v>-298608</v>
      </c>
      <c r="Z831" s="36">
        <v>0</v>
      </c>
      <c r="AA831" s="36">
        <v>-3710</v>
      </c>
      <c r="AB831" s="36">
        <v>-4013</v>
      </c>
      <c r="AC831" s="36">
        <v>-36092</v>
      </c>
      <c r="AD831" s="36">
        <v>0</v>
      </c>
      <c r="AE831" s="36"/>
      <c r="AF831" s="36"/>
      <c r="AG831" s="36"/>
      <c r="AH831" s="36"/>
      <c r="AI831" s="20">
        <f t="shared" ref="AI831:AI894" si="40">SUM(X831:AA831)</f>
        <v>-362171</v>
      </c>
      <c r="AJ831" s="20">
        <f t="shared" ref="AJ831:AJ894" si="41">W831+AI831</f>
        <v>27187</v>
      </c>
    </row>
    <row r="832" spans="1:36" x14ac:dyDescent="0.2">
      <c r="A832" s="17" t="s">
        <v>5427</v>
      </c>
      <c r="B832" s="17">
        <v>41556</v>
      </c>
      <c r="C832" s="20">
        <v>0</v>
      </c>
      <c r="D832" s="20">
        <v>215</v>
      </c>
      <c r="E832" s="20">
        <v>215</v>
      </c>
      <c r="F832" s="20">
        <v>0</v>
      </c>
      <c r="I832" s="20">
        <v>10064</v>
      </c>
      <c r="K832" s="20">
        <v>375000</v>
      </c>
      <c r="L832" s="20">
        <v>3794</v>
      </c>
      <c r="M832" s="20">
        <v>370</v>
      </c>
      <c r="N832" s="20">
        <v>16996</v>
      </c>
      <c r="O832" s="20">
        <v>385665</v>
      </c>
      <c r="W832" s="20">
        <f t="shared" si="39"/>
        <v>389443</v>
      </c>
      <c r="X832" s="36">
        <v>-59759</v>
      </c>
      <c r="Y832" s="36">
        <v>-299406</v>
      </c>
      <c r="Z832" s="36">
        <v>0</v>
      </c>
      <c r="AA832" s="36">
        <v>-3777</v>
      </c>
      <c r="AB832" s="36">
        <v>-4013</v>
      </c>
      <c r="AC832" s="36">
        <v>-36291</v>
      </c>
      <c r="AD832" s="36">
        <v>0</v>
      </c>
      <c r="AE832" s="36"/>
      <c r="AF832" s="36"/>
      <c r="AG832" s="36"/>
      <c r="AH832" s="36"/>
      <c r="AI832" s="20">
        <f t="shared" si="40"/>
        <v>-362942</v>
      </c>
      <c r="AJ832" s="20">
        <f t="shared" si="41"/>
        <v>26501</v>
      </c>
    </row>
    <row r="833" spans="1:36" x14ac:dyDescent="0.2">
      <c r="A833" s="17" t="s">
        <v>5428</v>
      </c>
      <c r="B833" s="17">
        <v>41563</v>
      </c>
      <c r="C833" s="20">
        <v>0</v>
      </c>
      <c r="D833" s="20">
        <v>155</v>
      </c>
      <c r="E833" s="20">
        <v>155</v>
      </c>
      <c r="F833" s="20">
        <v>0</v>
      </c>
      <c r="I833" s="20">
        <v>10019</v>
      </c>
      <c r="K833" s="20">
        <v>375000</v>
      </c>
      <c r="L833" s="20">
        <v>3780</v>
      </c>
      <c r="M833" s="20">
        <v>370</v>
      </c>
      <c r="N833" s="20">
        <v>17063</v>
      </c>
      <c r="O833" s="20">
        <v>385627</v>
      </c>
      <c r="W833" s="20">
        <f t="shared" si="39"/>
        <v>389324</v>
      </c>
      <c r="X833" s="36">
        <v>-59737</v>
      </c>
      <c r="Y833" s="36">
        <v>-299272</v>
      </c>
      <c r="Z833" s="36">
        <v>0</v>
      </c>
      <c r="AA833" s="36">
        <v>-3778</v>
      </c>
      <c r="AB833" s="36">
        <v>-4013</v>
      </c>
      <c r="AC833" s="36">
        <v>-36416</v>
      </c>
      <c r="AD833" s="36">
        <v>0</v>
      </c>
      <c r="AE833" s="36"/>
      <c r="AF833" s="36"/>
      <c r="AG833" s="36"/>
      <c r="AH833" s="36"/>
      <c r="AI833" s="20">
        <f t="shared" si="40"/>
        <v>-362787</v>
      </c>
      <c r="AJ833" s="20">
        <f t="shared" si="41"/>
        <v>26537</v>
      </c>
    </row>
    <row r="834" spans="1:36" x14ac:dyDescent="0.2">
      <c r="A834" s="17" t="s">
        <v>5429</v>
      </c>
      <c r="B834" s="17">
        <v>41570</v>
      </c>
      <c r="C834" s="20">
        <v>0</v>
      </c>
      <c r="D834" s="20">
        <v>155</v>
      </c>
      <c r="E834" s="20">
        <v>155</v>
      </c>
      <c r="F834" s="20">
        <v>0</v>
      </c>
      <c r="I834" s="20">
        <v>10086</v>
      </c>
      <c r="K834" s="20">
        <v>375000</v>
      </c>
      <c r="L834" s="20">
        <v>3729</v>
      </c>
      <c r="M834" s="20">
        <v>370</v>
      </c>
      <c r="N834" s="20">
        <v>17272</v>
      </c>
      <c r="O834" s="20">
        <v>385153</v>
      </c>
      <c r="W834" s="20">
        <f t="shared" si="39"/>
        <v>389340</v>
      </c>
      <c r="X834" s="36">
        <v>-59809</v>
      </c>
      <c r="Y834" s="36">
        <v>-298058</v>
      </c>
      <c r="Z834" s="36">
        <v>0</v>
      </c>
      <c r="AA834" s="36">
        <v>-3726</v>
      </c>
      <c r="AB834" s="36">
        <v>-4013</v>
      </c>
      <c r="AC834" s="36">
        <v>-37344</v>
      </c>
      <c r="AD834" s="36">
        <v>0</v>
      </c>
      <c r="AE834" s="36"/>
      <c r="AF834" s="36"/>
      <c r="AG834" s="36"/>
      <c r="AH834" s="36"/>
      <c r="AI834" s="20">
        <f t="shared" si="40"/>
        <v>-361593</v>
      </c>
      <c r="AJ834" s="20">
        <f t="shared" si="41"/>
        <v>27747</v>
      </c>
    </row>
    <row r="835" spans="1:36" x14ac:dyDescent="0.2">
      <c r="A835" s="17" t="s">
        <v>5430</v>
      </c>
      <c r="B835" s="17">
        <v>41577</v>
      </c>
      <c r="C835" s="20">
        <v>0</v>
      </c>
      <c r="D835" s="20">
        <v>155</v>
      </c>
      <c r="E835" s="20">
        <v>155</v>
      </c>
      <c r="F835" s="20">
        <v>0</v>
      </c>
      <c r="I835" s="20">
        <v>10121</v>
      </c>
      <c r="K835" s="20">
        <v>375000</v>
      </c>
      <c r="L835" s="20">
        <v>3751</v>
      </c>
      <c r="M835" s="20">
        <v>370</v>
      </c>
      <c r="N835" s="20">
        <v>17462</v>
      </c>
      <c r="O835" s="20">
        <v>385304</v>
      </c>
      <c r="W835" s="20">
        <f t="shared" si="39"/>
        <v>389397</v>
      </c>
      <c r="X835" s="36">
        <v>-60226</v>
      </c>
      <c r="Y835" s="36">
        <v>-302460</v>
      </c>
      <c r="Z835" s="36">
        <v>0</v>
      </c>
      <c r="AA835" s="36">
        <v>-3747</v>
      </c>
      <c r="AB835" s="36">
        <v>-4013</v>
      </c>
      <c r="AC835" s="36">
        <v>-32845</v>
      </c>
      <c r="AD835" s="36">
        <v>0</v>
      </c>
      <c r="AE835" s="36"/>
      <c r="AF835" s="36"/>
      <c r="AG835" s="36"/>
      <c r="AH835" s="36"/>
      <c r="AI835" s="20">
        <f t="shared" si="40"/>
        <v>-366433</v>
      </c>
      <c r="AJ835" s="20">
        <f t="shared" si="41"/>
        <v>22964</v>
      </c>
    </row>
    <row r="836" spans="1:36" x14ac:dyDescent="0.2">
      <c r="A836" s="17" t="s">
        <v>5431</v>
      </c>
      <c r="B836" s="17">
        <v>41584</v>
      </c>
      <c r="C836" s="20">
        <v>0</v>
      </c>
      <c r="D836" s="20">
        <v>155</v>
      </c>
      <c r="E836" s="20">
        <v>155</v>
      </c>
      <c r="F836" s="20">
        <v>0</v>
      </c>
      <c r="I836" s="20">
        <v>10089</v>
      </c>
      <c r="K836" s="20">
        <v>375000</v>
      </c>
      <c r="L836" s="20">
        <v>3751</v>
      </c>
      <c r="M836" s="20">
        <v>370</v>
      </c>
      <c r="N836" s="20">
        <v>17198</v>
      </c>
      <c r="O836" s="20">
        <v>386617</v>
      </c>
      <c r="W836" s="20">
        <f t="shared" si="39"/>
        <v>389365</v>
      </c>
      <c r="X836" s="36">
        <v>-60224</v>
      </c>
      <c r="Y836" s="36">
        <v>-302399</v>
      </c>
      <c r="Z836" s="36">
        <v>0</v>
      </c>
      <c r="AA836" s="36">
        <v>-3744</v>
      </c>
      <c r="AB836" s="36">
        <v>-4013</v>
      </c>
      <c r="AC836" s="36">
        <v>-33960</v>
      </c>
      <c r="AD836" s="36">
        <v>0</v>
      </c>
      <c r="AE836" s="36"/>
      <c r="AF836" s="36"/>
      <c r="AG836" s="36"/>
      <c r="AH836" s="36"/>
      <c r="AI836" s="20">
        <f t="shared" si="40"/>
        <v>-366367</v>
      </c>
      <c r="AJ836" s="20">
        <f t="shared" si="41"/>
        <v>22998</v>
      </c>
    </row>
    <row r="837" spans="1:36" x14ac:dyDescent="0.2">
      <c r="A837" s="17" t="s">
        <v>5432</v>
      </c>
      <c r="B837" s="17">
        <v>41591</v>
      </c>
      <c r="C837" s="20">
        <v>0</v>
      </c>
      <c r="D837" s="20">
        <v>155</v>
      </c>
      <c r="E837" s="20">
        <v>155</v>
      </c>
      <c r="F837" s="20">
        <v>0</v>
      </c>
      <c r="I837" s="20">
        <v>10072</v>
      </c>
      <c r="K837" s="20">
        <v>375000</v>
      </c>
      <c r="L837" s="20">
        <v>3787</v>
      </c>
      <c r="M837" s="20">
        <v>370</v>
      </c>
      <c r="N837" s="20">
        <v>17294</v>
      </c>
      <c r="O837" s="20">
        <v>387049</v>
      </c>
      <c r="W837" s="20">
        <f t="shared" si="39"/>
        <v>389384</v>
      </c>
      <c r="X837" s="36">
        <v>-60092</v>
      </c>
      <c r="Y837" s="36">
        <v>-303169</v>
      </c>
      <c r="Z837" s="36">
        <v>0</v>
      </c>
      <c r="AA837" s="36">
        <v>-3763</v>
      </c>
      <c r="AB837" s="36">
        <v>-4013</v>
      </c>
      <c r="AC837" s="36">
        <v>-33830</v>
      </c>
      <c r="AD837" s="36">
        <v>0</v>
      </c>
      <c r="AE837" s="36"/>
      <c r="AF837" s="36"/>
      <c r="AG837" s="36"/>
      <c r="AH837" s="36"/>
      <c r="AI837" s="20">
        <f t="shared" si="40"/>
        <v>-367024</v>
      </c>
      <c r="AJ837" s="20">
        <f t="shared" si="41"/>
        <v>22360</v>
      </c>
    </row>
    <row r="838" spans="1:36" x14ac:dyDescent="0.2">
      <c r="A838" s="17" t="s">
        <v>5433</v>
      </c>
      <c r="B838" s="17">
        <v>41598</v>
      </c>
      <c r="C838" s="20">
        <v>0</v>
      </c>
      <c r="D838" s="20">
        <v>105</v>
      </c>
      <c r="E838" s="20">
        <v>105</v>
      </c>
      <c r="F838" s="20">
        <v>0</v>
      </c>
      <c r="I838" s="20">
        <v>10091</v>
      </c>
      <c r="K838" s="20">
        <v>375000</v>
      </c>
      <c r="L838" s="20">
        <v>3731</v>
      </c>
      <c r="M838" s="20">
        <v>370</v>
      </c>
      <c r="N838" s="20">
        <v>17114</v>
      </c>
      <c r="O838" s="20">
        <v>386683</v>
      </c>
      <c r="W838" s="20">
        <f t="shared" si="39"/>
        <v>389297</v>
      </c>
      <c r="X838" s="36">
        <v>-60273</v>
      </c>
      <c r="Y838" s="36">
        <v>-302828</v>
      </c>
      <c r="Z838" s="36">
        <v>0</v>
      </c>
      <c r="AA838" s="36">
        <v>-3723</v>
      </c>
      <c r="AB838" s="36">
        <v>-4013</v>
      </c>
      <c r="AC838" s="36">
        <v>-33435</v>
      </c>
      <c r="AD838" s="36">
        <v>0</v>
      </c>
      <c r="AE838" s="36"/>
      <c r="AF838" s="36"/>
      <c r="AG838" s="36"/>
      <c r="AH838" s="36"/>
      <c r="AI838" s="20">
        <f t="shared" si="40"/>
        <v>-366824</v>
      </c>
      <c r="AJ838" s="20">
        <f t="shared" si="41"/>
        <v>22473</v>
      </c>
    </row>
    <row r="839" spans="1:36" x14ac:dyDescent="0.2">
      <c r="A839" s="17" t="s">
        <v>5434</v>
      </c>
      <c r="B839" s="17">
        <v>41605</v>
      </c>
      <c r="C839" s="20">
        <v>0</v>
      </c>
      <c r="D839" s="20">
        <v>105</v>
      </c>
      <c r="E839" s="20">
        <v>105</v>
      </c>
      <c r="F839" s="20">
        <v>0</v>
      </c>
      <c r="I839" s="20">
        <v>10087</v>
      </c>
      <c r="K839" s="20">
        <v>375000</v>
      </c>
      <c r="L839" s="20">
        <v>3729</v>
      </c>
      <c r="M839" s="20">
        <v>370</v>
      </c>
      <c r="N839" s="20">
        <v>16967</v>
      </c>
      <c r="O839" s="20">
        <v>385989</v>
      </c>
      <c r="W839" s="20">
        <f t="shared" si="39"/>
        <v>389291</v>
      </c>
      <c r="X839" s="36">
        <v>-60617</v>
      </c>
      <c r="Y839" s="36">
        <v>-300503</v>
      </c>
      <c r="Z839" s="36">
        <v>0</v>
      </c>
      <c r="AA839" s="36">
        <v>-3698</v>
      </c>
      <c r="AB839" s="36">
        <v>-4013</v>
      </c>
      <c r="AC839" s="36">
        <v>-34599</v>
      </c>
      <c r="AD839" s="36">
        <v>0</v>
      </c>
      <c r="AE839" s="36"/>
      <c r="AF839" s="36"/>
      <c r="AG839" s="36"/>
      <c r="AH839" s="36"/>
      <c r="AI839" s="20">
        <f t="shared" si="40"/>
        <v>-364818</v>
      </c>
      <c r="AJ839" s="20">
        <f t="shared" si="41"/>
        <v>24473</v>
      </c>
    </row>
    <row r="840" spans="1:36" x14ac:dyDescent="0.2">
      <c r="A840" s="17" t="s">
        <v>5435</v>
      </c>
      <c r="B840" s="17">
        <v>41612</v>
      </c>
      <c r="C840" s="20">
        <v>0</v>
      </c>
      <c r="D840" s="20">
        <v>105</v>
      </c>
      <c r="E840" s="20">
        <v>105</v>
      </c>
      <c r="F840" s="20">
        <v>0</v>
      </c>
      <c r="I840" s="20">
        <v>10052</v>
      </c>
      <c r="K840" s="20">
        <v>375000</v>
      </c>
      <c r="L840" s="20">
        <v>3691</v>
      </c>
      <c r="M840" s="20">
        <v>370</v>
      </c>
      <c r="N840" s="20">
        <v>16410</v>
      </c>
      <c r="O840" s="20">
        <v>385088</v>
      </c>
      <c r="W840" s="20">
        <f t="shared" si="39"/>
        <v>389218</v>
      </c>
      <c r="X840" s="36">
        <v>-61171</v>
      </c>
      <c r="Y840" s="36">
        <v>-301488</v>
      </c>
      <c r="Z840" s="36">
        <v>0</v>
      </c>
      <c r="AA840" s="36">
        <v>-3683</v>
      </c>
      <c r="AB840" s="36">
        <v>-4078</v>
      </c>
      <c r="AC840" s="36">
        <v>-31552</v>
      </c>
      <c r="AD840" s="36">
        <v>0</v>
      </c>
      <c r="AE840" s="36"/>
      <c r="AF840" s="36"/>
      <c r="AG840" s="36"/>
      <c r="AH840" s="36"/>
      <c r="AI840" s="20">
        <f t="shared" si="40"/>
        <v>-366342</v>
      </c>
      <c r="AJ840" s="20">
        <f t="shared" si="41"/>
        <v>22876</v>
      </c>
    </row>
    <row r="841" spans="1:36" x14ac:dyDescent="0.2">
      <c r="A841" s="17" t="s">
        <v>5436</v>
      </c>
      <c r="B841" s="17">
        <v>41619</v>
      </c>
      <c r="C841" s="20">
        <v>0</v>
      </c>
      <c r="D841" s="20">
        <v>105</v>
      </c>
      <c r="E841" s="20">
        <v>105</v>
      </c>
      <c r="F841" s="20">
        <v>0</v>
      </c>
      <c r="I841" s="20">
        <v>10025</v>
      </c>
      <c r="K841" s="20">
        <v>375000</v>
      </c>
      <c r="L841" s="20">
        <v>3701</v>
      </c>
      <c r="M841" s="20">
        <v>370</v>
      </c>
      <c r="N841" s="20">
        <v>16388</v>
      </c>
      <c r="O841" s="20">
        <v>384525</v>
      </c>
      <c r="W841" s="20">
        <f t="shared" si="39"/>
        <v>389201</v>
      </c>
      <c r="X841" s="36">
        <v>-61489</v>
      </c>
      <c r="Y841" s="36">
        <v>-298923</v>
      </c>
      <c r="Z841" s="36">
        <v>0</v>
      </c>
      <c r="AA841" s="36">
        <v>-3676</v>
      </c>
      <c r="AB841" s="36">
        <v>-4078</v>
      </c>
      <c r="AC841" s="36">
        <v>-33223</v>
      </c>
      <c r="AD841" s="36">
        <v>0</v>
      </c>
      <c r="AE841" s="36"/>
      <c r="AF841" s="36"/>
      <c r="AG841" s="36"/>
      <c r="AH841" s="36"/>
      <c r="AI841" s="20">
        <f t="shared" si="40"/>
        <v>-364088</v>
      </c>
      <c r="AJ841" s="20">
        <f t="shared" si="41"/>
        <v>25113</v>
      </c>
    </row>
    <row r="842" spans="1:36" x14ac:dyDescent="0.2">
      <c r="A842" s="17" t="s">
        <v>5437</v>
      </c>
      <c r="B842" s="17">
        <v>41626</v>
      </c>
      <c r="C842" s="20">
        <v>0</v>
      </c>
      <c r="D842" s="20">
        <v>125</v>
      </c>
      <c r="E842" s="20">
        <v>125</v>
      </c>
      <c r="F842" s="20">
        <v>0</v>
      </c>
      <c r="I842" s="20">
        <v>10013</v>
      </c>
      <c r="K842" s="20">
        <v>375000</v>
      </c>
      <c r="L842" s="20">
        <v>3680</v>
      </c>
      <c r="M842" s="20">
        <v>370</v>
      </c>
      <c r="N842" s="20">
        <v>16492</v>
      </c>
      <c r="O842" s="20">
        <v>384492</v>
      </c>
      <c r="W842" s="20">
        <f t="shared" si="39"/>
        <v>389188</v>
      </c>
      <c r="X842" s="36">
        <v>-62117</v>
      </c>
      <c r="Y842" s="36">
        <v>-297716</v>
      </c>
      <c r="Z842" s="36">
        <v>0</v>
      </c>
      <c r="AA842" s="36">
        <v>-3669</v>
      </c>
      <c r="AB842" s="36">
        <v>-4078</v>
      </c>
      <c r="AC842" s="36">
        <v>-33899</v>
      </c>
      <c r="AD842" s="36">
        <v>0</v>
      </c>
      <c r="AE842" s="36"/>
      <c r="AF842" s="36"/>
      <c r="AG842" s="36"/>
      <c r="AH842" s="36"/>
      <c r="AI842" s="20">
        <f t="shared" si="40"/>
        <v>-363502</v>
      </c>
      <c r="AJ842" s="20">
        <f t="shared" si="41"/>
        <v>25686</v>
      </c>
    </row>
    <row r="843" spans="1:36" x14ac:dyDescent="0.2">
      <c r="A843" s="17" t="s">
        <v>5438</v>
      </c>
      <c r="B843" s="17">
        <v>41633</v>
      </c>
      <c r="C843" s="20">
        <v>0</v>
      </c>
      <c r="D843" s="20">
        <v>125</v>
      </c>
      <c r="E843" s="20">
        <v>125</v>
      </c>
      <c r="F843" s="20">
        <v>0</v>
      </c>
      <c r="I843" s="20">
        <v>9988</v>
      </c>
      <c r="K843" s="20">
        <v>375000</v>
      </c>
      <c r="L843" s="20">
        <v>3687</v>
      </c>
      <c r="M843" s="20">
        <v>370</v>
      </c>
      <c r="N843" s="20">
        <v>16438</v>
      </c>
      <c r="O843" s="20">
        <v>384796</v>
      </c>
      <c r="W843" s="20">
        <f t="shared" si="39"/>
        <v>389170</v>
      </c>
      <c r="X843" s="36">
        <v>-63425</v>
      </c>
      <c r="Y843" s="36">
        <v>-297183</v>
      </c>
      <c r="Z843" s="36">
        <v>0</v>
      </c>
      <c r="AA843" s="36">
        <v>-3670</v>
      </c>
      <c r="AB843" s="36">
        <v>-4078</v>
      </c>
      <c r="AC843" s="36">
        <v>-33372</v>
      </c>
      <c r="AD843" s="36">
        <v>0</v>
      </c>
      <c r="AE843" s="36"/>
      <c r="AF843" s="36"/>
      <c r="AG843" s="36"/>
      <c r="AH843" s="36"/>
      <c r="AI843" s="20">
        <f t="shared" si="40"/>
        <v>-364278</v>
      </c>
      <c r="AJ843" s="20">
        <f t="shared" si="41"/>
        <v>24892</v>
      </c>
    </row>
    <row r="844" spans="1:36" x14ac:dyDescent="0.2">
      <c r="A844" s="17" t="s">
        <v>5439</v>
      </c>
      <c r="B844" s="17">
        <v>41640</v>
      </c>
      <c r="C844" s="20">
        <v>0</v>
      </c>
      <c r="D844" s="20">
        <v>125</v>
      </c>
      <c r="E844" s="20">
        <v>125</v>
      </c>
      <c r="F844" s="20">
        <v>0</v>
      </c>
      <c r="I844" s="20">
        <v>9979</v>
      </c>
      <c r="K844" s="20">
        <v>375000</v>
      </c>
      <c r="L844" s="20">
        <v>3648</v>
      </c>
      <c r="M844" s="20">
        <v>370</v>
      </c>
      <c r="N844" s="20">
        <v>16400</v>
      </c>
      <c r="O844" s="20">
        <v>384366</v>
      </c>
      <c r="W844" s="20">
        <f t="shared" si="39"/>
        <v>389122</v>
      </c>
      <c r="X844" s="36">
        <v>-62470</v>
      </c>
      <c r="Y844" s="36">
        <v>-297036</v>
      </c>
      <c r="Z844" s="36">
        <v>0</v>
      </c>
      <c r="AA844" s="36">
        <v>-3634</v>
      </c>
      <c r="AB844" s="36">
        <v>-4078</v>
      </c>
      <c r="AC844" s="36">
        <v>-34043</v>
      </c>
      <c r="AD844" s="36">
        <v>0</v>
      </c>
      <c r="AE844" s="36"/>
      <c r="AF844" s="36"/>
      <c r="AG844" s="36"/>
      <c r="AH844" s="36"/>
      <c r="AI844" s="20">
        <f t="shared" si="40"/>
        <v>-363140</v>
      </c>
      <c r="AJ844" s="20">
        <f t="shared" si="41"/>
        <v>25982</v>
      </c>
    </row>
    <row r="845" spans="1:36" x14ac:dyDescent="0.2">
      <c r="A845" s="17" t="s">
        <v>5440</v>
      </c>
      <c r="B845" s="17">
        <v>41647</v>
      </c>
      <c r="C845" s="20">
        <v>0</v>
      </c>
      <c r="D845" s="20">
        <v>125</v>
      </c>
      <c r="E845" s="20">
        <v>125</v>
      </c>
      <c r="F845" s="20">
        <v>0</v>
      </c>
      <c r="I845" s="20">
        <v>9990</v>
      </c>
      <c r="K845" s="20">
        <v>375000</v>
      </c>
      <c r="L845" s="20">
        <v>3648</v>
      </c>
      <c r="M845" s="20">
        <v>370</v>
      </c>
      <c r="N845" s="20">
        <v>16141</v>
      </c>
      <c r="O845" s="20">
        <v>384836</v>
      </c>
      <c r="W845" s="20">
        <f t="shared" si="39"/>
        <v>389133</v>
      </c>
      <c r="X845" s="36">
        <v>-60517</v>
      </c>
      <c r="Y845" s="36">
        <v>-299413</v>
      </c>
      <c r="Z845" s="36">
        <v>0</v>
      </c>
      <c r="AA845" s="36">
        <v>-3647</v>
      </c>
      <c r="AB845" s="36">
        <v>-4078</v>
      </c>
      <c r="AC845" s="36">
        <v>-33817</v>
      </c>
      <c r="AD845" s="36">
        <v>0</v>
      </c>
      <c r="AE845" s="36"/>
      <c r="AF845" s="36"/>
      <c r="AG845" s="36"/>
      <c r="AH845" s="36"/>
      <c r="AI845" s="20">
        <f t="shared" si="40"/>
        <v>-363577</v>
      </c>
      <c r="AJ845" s="20">
        <f t="shared" si="41"/>
        <v>25556</v>
      </c>
    </row>
    <row r="846" spans="1:36" x14ac:dyDescent="0.2">
      <c r="A846" s="17" t="s">
        <v>5441</v>
      </c>
      <c r="B846" s="17">
        <v>41654</v>
      </c>
      <c r="C846" s="20">
        <v>0</v>
      </c>
      <c r="D846" s="20">
        <v>325</v>
      </c>
      <c r="E846" s="20">
        <v>325</v>
      </c>
      <c r="F846" s="20">
        <v>0</v>
      </c>
      <c r="I846" s="20">
        <v>10006</v>
      </c>
      <c r="K846" s="20">
        <v>375000</v>
      </c>
      <c r="L846" s="20">
        <v>3675</v>
      </c>
      <c r="M846" s="20">
        <v>370</v>
      </c>
      <c r="N846" s="20">
        <v>16240</v>
      </c>
      <c r="O846" s="20">
        <v>384687</v>
      </c>
      <c r="W846" s="20">
        <f t="shared" si="39"/>
        <v>389376</v>
      </c>
      <c r="X846" s="36">
        <v>-59688</v>
      </c>
      <c r="Y846" s="36">
        <v>-300820</v>
      </c>
      <c r="Z846" s="36">
        <v>0</v>
      </c>
      <c r="AA846" s="36">
        <v>-3674</v>
      </c>
      <c r="AB846" s="36">
        <v>-4078</v>
      </c>
      <c r="AC846" s="36">
        <v>-33361</v>
      </c>
      <c r="AD846" s="36">
        <v>0</v>
      </c>
      <c r="AE846" s="36"/>
      <c r="AF846" s="36"/>
      <c r="AG846" s="36"/>
      <c r="AH846" s="36"/>
      <c r="AI846" s="20">
        <f t="shared" si="40"/>
        <v>-364182</v>
      </c>
      <c r="AJ846" s="20">
        <f t="shared" si="41"/>
        <v>25194</v>
      </c>
    </row>
    <row r="847" spans="1:36" x14ac:dyDescent="0.2">
      <c r="A847" s="17" t="s">
        <v>5442</v>
      </c>
      <c r="B847" s="17">
        <v>41661</v>
      </c>
      <c r="C847" s="20">
        <v>0</v>
      </c>
      <c r="D847" s="20">
        <v>325</v>
      </c>
      <c r="E847" s="20">
        <v>325</v>
      </c>
      <c r="F847" s="20">
        <v>0</v>
      </c>
      <c r="I847" s="20">
        <v>10025</v>
      </c>
      <c r="K847" s="20">
        <v>375000</v>
      </c>
      <c r="L847" s="20">
        <v>3628</v>
      </c>
      <c r="M847" s="20">
        <v>370</v>
      </c>
      <c r="N847" s="20">
        <v>16157</v>
      </c>
      <c r="O847" s="20">
        <v>385015</v>
      </c>
      <c r="W847" s="20">
        <f t="shared" si="39"/>
        <v>389348</v>
      </c>
      <c r="X847" s="36">
        <v>-59438</v>
      </c>
      <c r="Y847" s="36">
        <v>-300583</v>
      </c>
      <c r="Z847" s="36">
        <v>0</v>
      </c>
      <c r="AA847" s="36">
        <v>-3624</v>
      </c>
      <c r="AB847" s="36">
        <v>-4078</v>
      </c>
      <c r="AC847" s="36">
        <v>-34145</v>
      </c>
      <c r="AD847" s="36">
        <v>0</v>
      </c>
      <c r="AE847" s="36"/>
      <c r="AF847" s="36"/>
      <c r="AG847" s="36"/>
      <c r="AH847" s="36"/>
      <c r="AI847" s="20">
        <f t="shared" si="40"/>
        <v>-363645</v>
      </c>
      <c r="AJ847" s="20">
        <f t="shared" si="41"/>
        <v>25703</v>
      </c>
    </row>
    <row r="848" spans="1:36" x14ac:dyDescent="0.2">
      <c r="A848" s="17" t="s">
        <v>5443</v>
      </c>
      <c r="B848" s="17">
        <v>41668</v>
      </c>
      <c r="C848" s="20">
        <v>0</v>
      </c>
      <c r="D848" s="20">
        <v>325</v>
      </c>
      <c r="E848" s="20">
        <v>325</v>
      </c>
      <c r="F848" s="20">
        <v>0</v>
      </c>
      <c r="I848" s="20">
        <v>10086</v>
      </c>
      <c r="K848" s="20">
        <v>375000</v>
      </c>
      <c r="L848" s="20">
        <v>3624</v>
      </c>
      <c r="M848" s="20">
        <v>370</v>
      </c>
      <c r="N848" s="20">
        <v>16165</v>
      </c>
      <c r="O848" s="20">
        <v>385420</v>
      </c>
      <c r="W848" s="20">
        <f t="shared" si="39"/>
        <v>389405</v>
      </c>
      <c r="X848" s="36">
        <v>-59478</v>
      </c>
      <c r="Y848" s="36">
        <v>-302310</v>
      </c>
      <c r="Z848" s="36">
        <v>0</v>
      </c>
      <c r="AA848" s="36">
        <v>-3632</v>
      </c>
      <c r="AB848" s="36">
        <v>-4078</v>
      </c>
      <c r="AC848" s="36">
        <v>-32782</v>
      </c>
      <c r="AD848" s="36">
        <v>0</v>
      </c>
      <c r="AE848" s="36"/>
      <c r="AF848" s="36"/>
      <c r="AG848" s="36"/>
      <c r="AH848" s="36"/>
      <c r="AI848" s="20">
        <f t="shared" si="40"/>
        <v>-365420</v>
      </c>
      <c r="AJ848" s="20">
        <f t="shared" si="41"/>
        <v>23985</v>
      </c>
    </row>
    <row r="849" spans="1:36" x14ac:dyDescent="0.2">
      <c r="A849" s="17" t="s">
        <v>5444</v>
      </c>
      <c r="B849" s="17">
        <v>41675</v>
      </c>
      <c r="C849" s="20">
        <v>0</v>
      </c>
      <c r="D849" s="20">
        <v>325</v>
      </c>
      <c r="E849" s="20">
        <v>325</v>
      </c>
      <c r="F849" s="20">
        <v>0</v>
      </c>
      <c r="I849" s="20">
        <v>10137</v>
      </c>
      <c r="K849" s="20">
        <v>375000</v>
      </c>
      <c r="L849" s="20">
        <v>3689</v>
      </c>
      <c r="M849" s="20">
        <v>370</v>
      </c>
      <c r="N849" s="20">
        <v>16413</v>
      </c>
      <c r="O849" s="20">
        <v>385706</v>
      </c>
      <c r="W849" s="20">
        <f t="shared" si="39"/>
        <v>389521</v>
      </c>
      <c r="X849" s="36">
        <v>-59528</v>
      </c>
      <c r="Y849" s="36">
        <v>-302188</v>
      </c>
      <c r="Z849" s="36">
        <v>0</v>
      </c>
      <c r="AA849" s="36">
        <v>-3687</v>
      </c>
      <c r="AB849" s="36">
        <v>-4078</v>
      </c>
      <c r="AC849" s="36">
        <v>-33332</v>
      </c>
      <c r="AD849" s="36">
        <v>0</v>
      </c>
      <c r="AE849" s="36"/>
      <c r="AF849" s="36"/>
      <c r="AG849" s="36"/>
      <c r="AH849" s="36"/>
      <c r="AI849" s="20">
        <f t="shared" si="40"/>
        <v>-365403</v>
      </c>
      <c r="AJ849" s="20">
        <f t="shared" si="41"/>
        <v>24118</v>
      </c>
    </row>
    <row r="850" spans="1:36" x14ac:dyDescent="0.2">
      <c r="A850" s="17" t="s">
        <v>5445</v>
      </c>
      <c r="B850" s="17">
        <v>41682</v>
      </c>
      <c r="C850" s="20">
        <v>0</v>
      </c>
      <c r="D850" s="20">
        <v>325</v>
      </c>
      <c r="E850" s="20">
        <v>325</v>
      </c>
      <c r="F850" s="20">
        <v>0</v>
      </c>
      <c r="I850" s="20">
        <v>10098</v>
      </c>
      <c r="K850" s="20">
        <v>375000</v>
      </c>
      <c r="L850" s="20">
        <v>3626</v>
      </c>
      <c r="M850" s="20">
        <v>370</v>
      </c>
      <c r="N850" s="20">
        <v>16162</v>
      </c>
      <c r="O850" s="20">
        <v>385305</v>
      </c>
      <c r="W850" s="20">
        <f t="shared" si="39"/>
        <v>389419</v>
      </c>
      <c r="X850" s="36">
        <v>-59444</v>
      </c>
      <c r="Y850" s="36">
        <v>-303994</v>
      </c>
      <c r="Z850" s="36">
        <v>0</v>
      </c>
      <c r="AA850" s="36">
        <v>-3624</v>
      </c>
      <c r="AB850" s="36">
        <v>-4078</v>
      </c>
      <c r="AC850" s="36">
        <v>-31022</v>
      </c>
      <c r="AD850" s="36">
        <v>0</v>
      </c>
      <c r="AE850" s="36"/>
      <c r="AF850" s="36"/>
      <c r="AG850" s="36"/>
      <c r="AH850" s="36"/>
      <c r="AI850" s="20">
        <f t="shared" si="40"/>
        <v>-367062</v>
      </c>
      <c r="AJ850" s="20">
        <f t="shared" si="41"/>
        <v>22357</v>
      </c>
    </row>
    <row r="851" spans="1:36" x14ac:dyDescent="0.2">
      <c r="A851" s="17" t="s">
        <v>5446</v>
      </c>
      <c r="B851" s="17">
        <v>41689</v>
      </c>
      <c r="C851" s="20">
        <v>0</v>
      </c>
      <c r="D851" s="20">
        <v>1165</v>
      </c>
      <c r="E851" s="20">
        <v>1165</v>
      </c>
      <c r="F851" s="20">
        <v>0</v>
      </c>
      <c r="I851" s="20">
        <v>10152</v>
      </c>
      <c r="K851" s="20">
        <v>375000</v>
      </c>
      <c r="L851" s="20">
        <v>3599</v>
      </c>
      <c r="M851" s="20">
        <v>370</v>
      </c>
      <c r="N851" s="20">
        <v>16312</v>
      </c>
      <c r="O851" s="20">
        <v>385242</v>
      </c>
      <c r="W851" s="20">
        <f t="shared" si="39"/>
        <v>390286</v>
      </c>
      <c r="X851" s="36">
        <v>-59391</v>
      </c>
      <c r="Y851" s="36">
        <v>-305951</v>
      </c>
      <c r="Z851" s="36">
        <v>0</v>
      </c>
      <c r="AA851" s="36">
        <v>-3597</v>
      </c>
      <c r="AB851" s="36">
        <v>-4078</v>
      </c>
      <c r="AC851" s="36">
        <v>-30072</v>
      </c>
      <c r="AD851" s="36">
        <v>0</v>
      </c>
      <c r="AE851" s="36"/>
      <c r="AF851" s="36"/>
      <c r="AG851" s="36"/>
      <c r="AH851" s="36"/>
      <c r="AI851" s="20">
        <f t="shared" si="40"/>
        <v>-368939</v>
      </c>
      <c r="AJ851" s="20">
        <f t="shared" si="41"/>
        <v>21347</v>
      </c>
    </row>
    <row r="852" spans="1:36" x14ac:dyDescent="0.2">
      <c r="A852" s="17" t="s">
        <v>5447</v>
      </c>
      <c r="B852" s="17">
        <v>41696</v>
      </c>
      <c r="C852" s="20">
        <v>0</v>
      </c>
      <c r="D852" s="20">
        <v>1165</v>
      </c>
      <c r="E852" s="20">
        <v>1165</v>
      </c>
      <c r="F852" s="20">
        <v>0</v>
      </c>
      <c r="I852" s="20">
        <v>10161</v>
      </c>
      <c r="K852" s="20">
        <v>375000</v>
      </c>
      <c r="L852" s="20">
        <v>3615</v>
      </c>
      <c r="M852" s="20">
        <v>370</v>
      </c>
      <c r="N852" s="20">
        <v>16589</v>
      </c>
      <c r="O852" s="20">
        <v>385493</v>
      </c>
      <c r="W852" s="20">
        <f t="shared" si="39"/>
        <v>390311</v>
      </c>
      <c r="X852" s="36">
        <v>-59610</v>
      </c>
      <c r="Y852" s="36">
        <v>-305743</v>
      </c>
      <c r="Z852" s="36">
        <v>0</v>
      </c>
      <c r="AA852" s="36">
        <v>-3612</v>
      </c>
      <c r="AB852" s="36">
        <v>-4078</v>
      </c>
      <c r="AC852" s="36">
        <v>-30573</v>
      </c>
      <c r="AD852" s="36">
        <v>0</v>
      </c>
      <c r="AE852" s="36"/>
      <c r="AF852" s="36"/>
      <c r="AG852" s="36"/>
      <c r="AH852" s="36"/>
      <c r="AI852" s="20">
        <f t="shared" si="40"/>
        <v>-368965</v>
      </c>
      <c r="AJ852" s="20">
        <f t="shared" si="41"/>
        <v>21346</v>
      </c>
    </row>
    <row r="853" spans="1:36" x14ac:dyDescent="0.2">
      <c r="A853" s="17" t="s">
        <v>5448</v>
      </c>
      <c r="B853" s="17">
        <v>41703</v>
      </c>
      <c r="C853" s="20">
        <v>0</v>
      </c>
      <c r="D853" s="20">
        <v>1165</v>
      </c>
      <c r="E853" s="20">
        <v>1165</v>
      </c>
      <c r="F853" s="20">
        <v>0</v>
      </c>
      <c r="I853" s="20">
        <v>10168</v>
      </c>
      <c r="K853" s="20">
        <v>375000</v>
      </c>
      <c r="L853" s="20">
        <v>3034</v>
      </c>
      <c r="M853" s="20">
        <v>370</v>
      </c>
      <c r="N853" s="20">
        <v>15871</v>
      </c>
      <c r="O853" s="20">
        <v>386303</v>
      </c>
      <c r="W853" s="20">
        <f t="shared" si="39"/>
        <v>389737</v>
      </c>
      <c r="X853" s="36">
        <v>-59721</v>
      </c>
      <c r="Y853" s="36">
        <v>-306104</v>
      </c>
      <c r="Z853" s="36">
        <v>0</v>
      </c>
      <c r="AA853" s="36">
        <v>-3592</v>
      </c>
      <c r="AB853" s="36">
        <v>-4078</v>
      </c>
      <c r="AC853" s="36">
        <v>-30213</v>
      </c>
      <c r="AD853" s="36">
        <v>0</v>
      </c>
      <c r="AE853" s="36"/>
      <c r="AF853" s="36"/>
      <c r="AG853" s="36"/>
      <c r="AH853" s="36"/>
      <c r="AI853" s="20">
        <f t="shared" si="40"/>
        <v>-369417</v>
      </c>
      <c r="AJ853" s="20">
        <f t="shared" si="41"/>
        <v>20320</v>
      </c>
    </row>
    <row r="854" spans="1:36" x14ac:dyDescent="0.2">
      <c r="A854" s="17" t="s">
        <v>5449</v>
      </c>
      <c r="B854" s="17">
        <v>41710</v>
      </c>
      <c r="C854" s="20">
        <v>0</v>
      </c>
      <c r="D854" s="20">
        <v>1165</v>
      </c>
      <c r="E854" s="20">
        <v>1165</v>
      </c>
      <c r="F854" s="20">
        <v>0</v>
      </c>
      <c r="I854" s="20">
        <v>10099</v>
      </c>
      <c r="K854" s="20">
        <v>375000</v>
      </c>
      <c r="L854" s="20">
        <v>3831</v>
      </c>
      <c r="M854" s="20">
        <v>370</v>
      </c>
      <c r="N854" s="20">
        <v>17187</v>
      </c>
      <c r="O854" s="20">
        <v>386590</v>
      </c>
      <c r="W854" s="20">
        <f t="shared" si="39"/>
        <v>390465</v>
      </c>
      <c r="X854" s="36">
        <v>-59758</v>
      </c>
      <c r="Y854" s="36">
        <v>-295540</v>
      </c>
      <c r="Z854" s="36">
        <v>0</v>
      </c>
      <c r="AA854" s="36">
        <v>-3620</v>
      </c>
      <c r="AB854" s="36">
        <v>-4073</v>
      </c>
      <c r="AC854" s="36">
        <v>-42321</v>
      </c>
      <c r="AD854" s="36">
        <v>0</v>
      </c>
      <c r="AE854" s="36"/>
      <c r="AF854" s="36"/>
      <c r="AG854" s="36"/>
      <c r="AH854" s="36"/>
      <c r="AI854" s="20">
        <f t="shared" si="40"/>
        <v>-358918</v>
      </c>
      <c r="AJ854" s="20">
        <f t="shared" si="41"/>
        <v>31547</v>
      </c>
    </row>
    <row r="855" spans="1:36" x14ac:dyDescent="0.2">
      <c r="A855" s="17" t="s">
        <v>5450</v>
      </c>
      <c r="B855" s="17">
        <v>41717</v>
      </c>
      <c r="C855" s="20">
        <v>0</v>
      </c>
      <c r="D855" s="20">
        <v>1313</v>
      </c>
      <c r="E855" s="20">
        <v>1313</v>
      </c>
      <c r="F855" s="20">
        <v>0</v>
      </c>
      <c r="I855" s="20">
        <v>10140</v>
      </c>
      <c r="K855" s="20">
        <v>375000</v>
      </c>
      <c r="L855" s="20">
        <v>3958</v>
      </c>
      <c r="M855" s="20">
        <v>370</v>
      </c>
      <c r="N855" s="20">
        <v>17242</v>
      </c>
      <c r="O855" s="20">
        <v>385379</v>
      </c>
      <c r="W855" s="20">
        <f t="shared" si="39"/>
        <v>390781</v>
      </c>
      <c r="X855" s="36">
        <v>-59820</v>
      </c>
      <c r="Y855" s="36">
        <v>-299620</v>
      </c>
      <c r="Z855" s="36">
        <v>0</v>
      </c>
      <c r="AA855" s="36">
        <v>-3616</v>
      </c>
      <c r="AB855" s="36">
        <v>-4073</v>
      </c>
      <c r="AC855" s="36">
        <v>-37175</v>
      </c>
      <c r="AD855" s="36">
        <v>0</v>
      </c>
      <c r="AE855" s="36"/>
      <c r="AF855" s="36"/>
      <c r="AG855" s="36"/>
      <c r="AH855" s="36"/>
      <c r="AI855" s="20">
        <f t="shared" si="40"/>
        <v>-363056</v>
      </c>
      <c r="AJ855" s="20">
        <f t="shared" si="41"/>
        <v>27725</v>
      </c>
    </row>
    <row r="856" spans="1:36" x14ac:dyDescent="0.2">
      <c r="A856" s="17" t="s">
        <v>5451</v>
      </c>
      <c r="B856" s="17">
        <v>41724</v>
      </c>
      <c r="C856" s="20">
        <v>0</v>
      </c>
      <c r="D856" s="20">
        <v>1313</v>
      </c>
      <c r="E856" s="20">
        <v>1313</v>
      </c>
      <c r="F856" s="20">
        <v>0</v>
      </c>
      <c r="I856" s="20">
        <v>10161</v>
      </c>
      <c r="K856" s="20">
        <v>375000</v>
      </c>
      <c r="L856" s="20">
        <v>3612</v>
      </c>
      <c r="M856" s="20">
        <v>370</v>
      </c>
      <c r="N856" s="20">
        <v>17237</v>
      </c>
      <c r="O856" s="20">
        <v>384866</v>
      </c>
      <c r="W856" s="20">
        <f t="shared" si="39"/>
        <v>390456</v>
      </c>
      <c r="X856" s="36">
        <v>-60104</v>
      </c>
      <c r="Y856" s="36">
        <v>-300100</v>
      </c>
      <c r="Z856" s="36">
        <v>0</v>
      </c>
      <c r="AA856" s="36">
        <v>-3624</v>
      </c>
      <c r="AB856" s="36">
        <v>-4073</v>
      </c>
      <c r="AC856" s="36">
        <v>-35885</v>
      </c>
      <c r="AD856" s="36">
        <v>0</v>
      </c>
      <c r="AE856" s="36"/>
      <c r="AF856" s="36"/>
      <c r="AG856" s="36"/>
      <c r="AH856" s="36"/>
      <c r="AI856" s="20">
        <f t="shared" si="40"/>
        <v>-363828</v>
      </c>
      <c r="AJ856" s="20">
        <f t="shared" si="41"/>
        <v>26628</v>
      </c>
    </row>
    <row r="857" spans="1:36" x14ac:dyDescent="0.2">
      <c r="A857" s="17" t="s">
        <v>5452</v>
      </c>
      <c r="B857" s="17">
        <v>41731</v>
      </c>
      <c r="C857" s="20">
        <v>0</v>
      </c>
      <c r="D857" s="20">
        <v>1313</v>
      </c>
      <c r="E857" s="20">
        <v>1313</v>
      </c>
      <c r="F857" s="20">
        <v>0</v>
      </c>
      <c r="I857" s="20">
        <v>10167</v>
      </c>
      <c r="K857" s="20">
        <v>375000</v>
      </c>
      <c r="L857" s="20">
        <v>3596</v>
      </c>
      <c r="M857" s="20">
        <v>370</v>
      </c>
      <c r="N857" s="20">
        <v>17161</v>
      </c>
      <c r="O857" s="20">
        <v>385182</v>
      </c>
      <c r="W857" s="20">
        <f t="shared" si="39"/>
        <v>390446</v>
      </c>
      <c r="X857" s="36">
        <v>-60447</v>
      </c>
      <c r="Y857" s="36">
        <v>-299696</v>
      </c>
      <c r="Z857" s="36">
        <v>0</v>
      </c>
      <c r="AA857" s="36">
        <v>-3608</v>
      </c>
      <c r="AB857" s="36">
        <v>-4073</v>
      </c>
      <c r="AC857" s="36">
        <v>-36202</v>
      </c>
      <c r="AD857" s="36">
        <v>0</v>
      </c>
      <c r="AE857" s="36"/>
      <c r="AF857" s="36"/>
      <c r="AG857" s="36"/>
      <c r="AH857" s="36"/>
      <c r="AI857" s="20">
        <f t="shared" si="40"/>
        <v>-363751</v>
      </c>
      <c r="AJ857" s="20">
        <f t="shared" si="41"/>
        <v>26695</v>
      </c>
    </row>
    <row r="858" spans="1:36" x14ac:dyDescent="0.2">
      <c r="A858" s="17" t="s">
        <v>5453</v>
      </c>
      <c r="B858" s="17">
        <v>41738</v>
      </c>
      <c r="C858" s="20">
        <v>0</v>
      </c>
      <c r="D858" s="20">
        <v>1313</v>
      </c>
      <c r="E858" s="20">
        <v>1313</v>
      </c>
      <c r="F858" s="20">
        <v>0</v>
      </c>
      <c r="I858" s="20">
        <v>10192</v>
      </c>
      <c r="K858" s="20">
        <v>375000</v>
      </c>
      <c r="L858" s="20">
        <v>3574</v>
      </c>
      <c r="M858" s="20">
        <v>370</v>
      </c>
      <c r="N858" s="20">
        <v>17169</v>
      </c>
      <c r="O858" s="20">
        <v>385036</v>
      </c>
      <c r="W858" s="20">
        <f t="shared" si="39"/>
        <v>390449</v>
      </c>
      <c r="X858" s="36">
        <v>-60479</v>
      </c>
      <c r="Y858" s="36">
        <v>-300649</v>
      </c>
      <c r="Z858" s="36">
        <v>0</v>
      </c>
      <c r="AA858" s="36">
        <v>-3587</v>
      </c>
      <c r="AB858" s="36">
        <v>-4073</v>
      </c>
      <c r="AC858" s="36">
        <v>-35100</v>
      </c>
      <c r="AD858" s="36">
        <v>0</v>
      </c>
      <c r="AE858" s="36"/>
      <c r="AF858" s="36"/>
      <c r="AG858" s="36"/>
      <c r="AH858" s="36"/>
      <c r="AI858" s="20">
        <f t="shared" si="40"/>
        <v>-364715</v>
      </c>
      <c r="AJ858" s="20">
        <f t="shared" si="41"/>
        <v>25734</v>
      </c>
    </row>
    <row r="859" spans="1:36" x14ac:dyDescent="0.2">
      <c r="A859" s="17" t="s">
        <v>5454</v>
      </c>
      <c r="B859" s="17">
        <v>41745</v>
      </c>
      <c r="C859" s="20">
        <v>0</v>
      </c>
      <c r="D859" s="20">
        <v>1313</v>
      </c>
      <c r="E859" s="20">
        <v>1313</v>
      </c>
      <c r="F859" s="20">
        <v>0</v>
      </c>
      <c r="I859" s="20">
        <v>10182</v>
      </c>
      <c r="K859" s="20">
        <v>375000</v>
      </c>
      <c r="L859" s="20">
        <v>3568</v>
      </c>
      <c r="M859" s="20">
        <v>370</v>
      </c>
      <c r="N859" s="20">
        <v>17190</v>
      </c>
      <c r="O859" s="20">
        <v>384850</v>
      </c>
      <c r="W859" s="20">
        <f t="shared" si="39"/>
        <v>390433</v>
      </c>
      <c r="X859" s="36">
        <v>-61421</v>
      </c>
      <c r="Y859" s="36">
        <v>-299695</v>
      </c>
      <c r="Z859" s="36">
        <v>0</v>
      </c>
      <c r="AA859" s="36">
        <v>-3580</v>
      </c>
      <c r="AB859" s="36">
        <v>-4078</v>
      </c>
      <c r="AC859" s="36">
        <v>-34948</v>
      </c>
      <c r="AD859" s="36">
        <v>0</v>
      </c>
      <c r="AE859" s="36"/>
      <c r="AF859" s="36"/>
      <c r="AG859" s="36"/>
      <c r="AH859" s="36"/>
      <c r="AI859" s="20">
        <f t="shared" si="40"/>
        <v>-364696</v>
      </c>
      <c r="AJ859" s="20">
        <f t="shared" si="41"/>
        <v>25737</v>
      </c>
    </row>
    <row r="860" spans="1:36" x14ac:dyDescent="0.2">
      <c r="A860" s="17" t="s">
        <v>5455</v>
      </c>
      <c r="B860" s="17">
        <v>41752</v>
      </c>
      <c r="C860" s="20">
        <v>0</v>
      </c>
      <c r="D860" s="20">
        <v>1313</v>
      </c>
      <c r="E860" s="20">
        <v>1313</v>
      </c>
      <c r="F860" s="20">
        <v>0</v>
      </c>
      <c r="I860" s="20">
        <v>10171</v>
      </c>
      <c r="K860" s="20">
        <v>375000</v>
      </c>
      <c r="L860" s="20">
        <v>3570</v>
      </c>
      <c r="M860" s="20">
        <v>370</v>
      </c>
      <c r="N860" s="20">
        <v>17189</v>
      </c>
      <c r="O860" s="20">
        <v>384463</v>
      </c>
      <c r="W860" s="20">
        <f t="shared" si="39"/>
        <v>390424</v>
      </c>
      <c r="X860" s="36">
        <v>-61661</v>
      </c>
      <c r="Y860" s="36">
        <v>-303399</v>
      </c>
      <c r="Z860" s="36">
        <v>0</v>
      </c>
      <c r="AA860" s="36">
        <v>-3581</v>
      </c>
      <c r="AB860" s="36">
        <v>-4078</v>
      </c>
      <c r="AC860" s="36">
        <v>-30615</v>
      </c>
      <c r="AD860" s="36">
        <v>0</v>
      </c>
      <c r="AE860" s="36"/>
      <c r="AF860" s="36"/>
      <c r="AG860" s="36"/>
      <c r="AH860" s="36"/>
      <c r="AI860" s="20">
        <f t="shared" si="40"/>
        <v>-368641</v>
      </c>
      <c r="AJ860" s="20">
        <f t="shared" si="41"/>
        <v>21783</v>
      </c>
    </row>
    <row r="861" spans="1:36" x14ac:dyDescent="0.2">
      <c r="A861" s="17" t="s">
        <v>5456</v>
      </c>
      <c r="B861" s="17">
        <v>41759</v>
      </c>
      <c r="C861" s="20">
        <v>0</v>
      </c>
      <c r="D861" s="20">
        <v>1313</v>
      </c>
      <c r="E861" s="20">
        <v>1313</v>
      </c>
      <c r="F861" s="20">
        <v>0</v>
      </c>
      <c r="I861" s="20">
        <v>10197</v>
      </c>
      <c r="K861" s="20">
        <v>375000</v>
      </c>
      <c r="L861" s="20">
        <v>3548</v>
      </c>
      <c r="M861" s="20">
        <v>370</v>
      </c>
      <c r="N861" s="20">
        <v>16904</v>
      </c>
      <c r="O861" s="20">
        <v>385026</v>
      </c>
      <c r="W861" s="20">
        <f t="shared" si="39"/>
        <v>390428</v>
      </c>
      <c r="X861" s="36">
        <v>-61255</v>
      </c>
      <c r="Y861" s="36">
        <v>-303808</v>
      </c>
      <c r="Z861" s="36">
        <v>0</v>
      </c>
      <c r="AA861" s="36">
        <v>-3560</v>
      </c>
      <c r="AB861" s="36">
        <v>-4078</v>
      </c>
      <c r="AC861" s="36">
        <v>-30913</v>
      </c>
      <c r="AD861" s="36">
        <v>0</v>
      </c>
      <c r="AE861" s="36"/>
      <c r="AF861" s="36"/>
      <c r="AG861" s="36"/>
      <c r="AH861" s="36"/>
      <c r="AI861" s="20">
        <f t="shared" si="40"/>
        <v>-368623</v>
      </c>
      <c r="AJ861" s="20">
        <f t="shared" si="41"/>
        <v>21805</v>
      </c>
    </row>
    <row r="862" spans="1:36" x14ac:dyDescent="0.2">
      <c r="A862" s="17" t="s">
        <v>5457</v>
      </c>
      <c r="B862" s="17">
        <v>41766</v>
      </c>
      <c r="C862" s="20">
        <v>0</v>
      </c>
      <c r="D862" s="20">
        <v>1313</v>
      </c>
      <c r="E862" s="20">
        <v>1313</v>
      </c>
      <c r="F862" s="20">
        <v>0</v>
      </c>
      <c r="I862" s="20">
        <v>10195</v>
      </c>
      <c r="K862" s="20">
        <v>375000</v>
      </c>
      <c r="L862" s="20">
        <v>3533</v>
      </c>
      <c r="M862" s="20">
        <v>370</v>
      </c>
      <c r="N862" s="20">
        <v>16895</v>
      </c>
      <c r="O862" s="20">
        <v>384832</v>
      </c>
      <c r="W862" s="20">
        <f t="shared" si="39"/>
        <v>390411</v>
      </c>
      <c r="X862" s="36">
        <v>-61436</v>
      </c>
      <c r="Y862" s="36">
        <v>-304262</v>
      </c>
      <c r="Z862" s="36">
        <v>0</v>
      </c>
      <c r="AA862" s="36">
        <v>-3544</v>
      </c>
      <c r="AB862" s="36">
        <v>-4078</v>
      </c>
      <c r="AC862" s="36">
        <v>-30089</v>
      </c>
      <c r="AD862" s="36">
        <v>0</v>
      </c>
      <c r="AE862" s="36"/>
      <c r="AF862" s="36"/>
      <c r="AG862" s="36"/>
      <c r="AH862" s="36"/>
      <c r="AI862" s="20">
        <f t="shared" si="40"/>
        <v>-369242</v>
      </c>
      <c r="AJ862" s="20">
        <f t="shared" si="41"/>
        <v>21169</v>
      </c>
    </row>
    <row r="863" spans="1:36" x14ac:dyDescent="0.2">
      <c r="A863" s="17" t="s">
        <v>5458</v>
      </c>
      <c r="B863" s="17">
        <v>41773</v>
      </c>
      <c r="C863" s="20">
        <v>0</v>
      </c>
      <c r="D863" s="20">
        <v>1313</v>
      </c>
      <c r="E863" s="20">
        <v>1313</v>
      </c>
      <c r="F863" s="20">
        <v>0</v>
      </c>
      <c r="I863" s="20">
        <v>10223</v>
      </c>
      <c r="K863" s="20">
        <v>375000</v>
      </c>
      <c r="L863" s="20">
        <v>3577</v>
      </c>
      <c r="M863" s="20">
        <v>370</v>
      </c>
      <c r="N863" s="20">
        <v>16927</v>
      </c>
      <c r="O863" s="20">
        <v>384176</v>
      </c>
      <c r="W863" s="20">
        <f t="shared" si="39"/>
        <v>390483</v>
      </c>
      <c r="X863" s="36">
        <v>-60778</v>
      </c>
      <c r="Y863" s="36">
        <v>-304876</v>
      </c>
      <c r="Z863" s="36">
        <v>0</v>
      </c>
      <c r="AA863" s="36">
        <v>-3589</v>
      </c>
      <c r="AB863" s="36">
        <v>-4078</v>
      </c>
      <c r="AC863" s="36">
        <v>-29464</v>
      </c>
      <c r="AD863" s="36">
        <v>0</v>
      </c>
      <c r="AE863" s="36"/>
      <c r="AF863" s="36"/>
      <c r="AG863" s="36"/>
      <c r="AH863" s="36"/>
      <c r="AI863" s="20">
        <f t="shared" si="40"/>
        <v>-369243</v>
      </c>
      <c r="AJ863" s="20">
        <f t="shared" si="41"/>
        <v>21240</v>
      </c>
    </row>
    <row r="864" spans="1:36" x14ac:dyDescent="0.2">
      <c r="A864" s="17" t="s">
        <v>5459</v>
      </c>
      <c r="B864" s="17">
        <v>41780</v>
      </c>
      <c r="C864" s="20">
        <v>0</v>
      </c>
      <c r="D864" s="20">
        <v>1473</v>
      </c>
      <c r="E864" s="20">
        <v>1473</v>
      </c>
      <c r="F864" s="20">
        <v>0</v>
      </c>
      <c r="I864" s="20">
        <v>10207</v>
      </c>
      <c r="K864" s="20">
        <v>375000</v>
      </c>
      <c r="L864" s="20">
        <v>3555</v>
      </c>
      <c r="M864" s="20">
        <v>370</v>
      </c>
      <c r="N864" s="20">
        <v>16858</v>
      </c>
      <c r="O864" s="20">
        <v>384473</v>
      </c>
      <c r="W864" s="20">
        <f t="shared" si="39"/>
        <v>390605</v>
      </c>
      <c r="X864" s="36">
        <v>-60993</v>
      </c>
      <c r="Y864" s="36">
        <v>-304879</v>
      </c>
      <c r="Z864" s="36">
        <v>0</v>
      </c>
      <c r="AA864" s="36">
        <v>-3567</v>
      </c>
      <c r="AB864" s="36">
        <v>-4078</v>
      </c>
      <c r="AC864" s="36">
        <v>-29657</v>
      </c>
      <c r="AD864" s="36">
        <v>0</v>
      </c>
      <c r="AE864" s="36"/>
      <c r="AF864" s="36"/>
      <c r="AG864" s="36"/>
      <c r="AH864" s="36"/>
      <c r="AI864" s="20">
        <f t="shared" si="40"/>
        <v>-369439</v>
      </c>
      <c r="AJ864" s="20">
        <f t="shared" si="41"/>
        <v>21166</v>
      </c>
    </row>
    <row r="865" spans="1:36" x14ac:dyDescent="0.2">
      <c r="A865" s="17" t="s">
        <v>5460</v>
      </c>
      <c r="B865" s="17">
        <v>41787</v>
      </c>
      <c r="C865" s="20">
        <v>0</v>
      </c>
      <c r="D865" s="20">
        <v>1473</v>
      </c>
      <c r="E865" s="20">
        <v>1473</v>
      </c>
      <c r="F865" s="20">
        <v>0</v>
      </c>
      <c r="I865" s="20">
        <v>10264</v>
      </c>
      <c r="K865" s="20">
        <v>375000</v>
      </c>
      <c r="L865" s="20">
        <v>3594</v>
      </c>
      <c r="M865" s="20">
        <v>370</v>
      </c>
      <c r="N865" s="20">
        <v>16933</v>
      </c>
      <c r="O865" s="20">
        <v>384649</v>
      </c>
      <c r="W865" s="20">
        <f t="shared" si="39"/>
        <v>390701</v>
      </c>
      <c r="X865" s="36">
        <v>-61436</v>
      </c>
      <c r="Y865" s="36">
        <v>-305548</v>
      </c>
      <c r="Z865" s="36">
        <v>0</v>
      </c>
      <c r="AA865" s="36">
        <v>-3605</v>
      </c>
      <c r="AB865" s="36">
        <v>-4078</v>
      </c>
      <c r="AC865" s="36">
        <v>-28758</v>
      </c>
      <c r="AD865" s="36">
        <v>0</v>
      </c>
      <c r="AE865" s="36"/>
      <c r="AF865" s="36"/>
      <c r="AG865" s="36"/>
      <c r="AH865" s="36"/>
      <c r="AI865" s="20">
        <f t="shared" si="40"/>
        <v>-370589</v>
      </c>
      <c r="AJ865" s="20">
        <f t="shared" si="41"/>
        <v>20112</v>
      </c>
    </row>
    <row r="866" spans="1:36" x14ac:dyDescent="0.2">
      <c r="A866" s="17" t="s">
        <v>5461</v>
      </c>
      <c r="B866" s="17">
        <v>41794</v>
      </c>
      <c r="C866" s="20">
        <v>0</v>
      </c>
      <c r="D866" s="20">
        <v>1473</v>
      </c>
      <c r="E866" s="20">
        <v>1473</v>
      </c>
      <c r="F866" s="20">
        <v>0</v>
      </c>
      <c r="I866" s="20">
        <v>10243</v>
      </c>
      <c r="K866" s="20">
        <v>375000</v>
      </c>
      <c r="L866" s="20">
        <v>3579</v>
      </c>
      <c r="M866" s="20">
        <v>370</v>
      </c>
      <c r="N866" s="20">
        <v>16560</v>
      </c>
      <c r="O866" s="20">
        <v>384776</v>
      </c>
      <c r="W866" s="20">
        <f t="shared" si="39"/>
        <v>390665</v>
      </c>
      <c r="X866" s="36">
        <v>-61175</v>
      </c>
      <c r="Y866" s="36">
        <v>-305980</v>
      </c>
      <c r="Z866" s="36">
        <v>0</v>
      </c>
      <c r="AA866" s="36">
        <v>-3590</v>
      </c>
      <c r="AB866" s="36">
        <v>-4128</v>
      </c>
      <c r="AC866" s="36">
        <v>-28306</v>
      </c>
      <c r="AD866" s="36">
        <v>0</v>
      </c>
      <c r="AE866" s="36"/>
      <c r="AF866" s="36"/>
      <c r="AG866" s="36"/>
      <c r="AH866" s="36"/>
      <c r="AI866" s="20">
        <f t="shared" si="40"/>
        <v>-370745</v>
      </c>
      <c r="AJ866" s="20">
        <f t="shared" si="41"/>
        <v>19920</v>
      </c>
    </row>
    <row r="867" spans="1:36" x14ac:dyDescent="0.2">
      <c r="A867" s="17" t="s">
        <v>5462</v>
      </c>
      <c r="B867" s="17">
        <v>41801</v>
      </c>
      <c r="C867" s="20">
        <v>0</v>
      </c>
      <c r="D867" s="20">
        <v>1473</v>
      </c>
      <c r="E867" s="20">
        <v>1473</v>
      </c>
      <c r="F867" s="20">
        <v>0</v>
      </c>
      <c r="I867" s="20">
        <v>10209</v>
      </c>
      <c r="K867" s="20">
        <v>375000</v>
      </c>
      <c r="L867" s="20">
        <v>3572</v>
      </c>
      <c r="M867" s="20">
        <v>370</v>
      </c>
      <c r="N867" s="20">
        <v>16769</v>
      </c>
      <c r="O867" s="20">
        <v>384760</v>
      </c>
      <c r="W867" s="20">
        <f t="shared" si="39"/>
        <v>390624</v>
      </c>
      <c r="X867" s="36">
        <v>-61157</v>
      </c>
      <c r="Y867" s="36">
        <v>-303405</v>
      </c>
      <c r="Z867" s="36">
        <v>0</v>
      </c>
      <c r="AA867" s="36">
        <v>-3581</v>
      </c>
      <c r="AB867" s="36">
        <v>-4128</v>
      </c>
      <c r="AC867" s="36">
        <v>-31101</v>
      </c>
      <c r="AD867" s="36">
        <v>0</v>
      </c>
      <c r="AE867" s="36"/>
      <c r="AF867" s="36"/>
      <c r="AG867" s="36"/>
      <c r="AH867" s="36"/>
      <c r="AI867" s="20">
        <f t="shared" si="40"/>
        <v>-368143</v>
      </c>
      <c r="AJ867" s="20">
        <f t="shared" si="41"/>
        <v>22481</v>
      </c>
    </row>
    <row r="868" spans="1:36" x14ac:dyDescent="0.2">
      <c r="A868" s="17" t="s">
        <v>5463</v>
      </c>
      <c r="B868" s="17">
        <v>41808</v>
      </c>
      <c r="C868" s="20">
        <v>0</v>
      </c>
      <c r="D868" s="20">
        <v>1908</v>
      </c>
      <c r="E868" s="20">
        <v>1908</v>
      </c>
      <c r="F868" s="20">
        <v>0</v>
      </c>
      <c r="I868" s="20">
        <v>10197</v>
      </c>
      <c r="K868" s="20">
        <v>375000</v>
      </c>
      <c r="L868" s="20">
        <v>3537</v>
      </c>
      <c r="M868" s="20">
        <v>370</v>
      </c>
      <c r="N868" s="20">
        <v>16615</v>
      </c>
      <c r="O868" s="20">
        <v>385387</v>
      </c>
      <c r="W868" s="20">
        <f t="shared" si="39"/>
        <v>391012</v>
      </c>
      <c r="X868" s="36">
        <v>-61164</v>
      </c>
      <c r="Y868" s="36">
        <v>-303435</v>
      </c>
      <c r="Z868" s="36">
        <v>0</v>
      </c>
      <c r="AA868" s="36">
        <v>-3547</v>
      </c>
      <c r="AB868" s="36">
        <v>-4128</v>
      </c>
      <c r="AC868" s="36">
        <v>-32006</v>
      </c>
      <c r="AD868" s="36">
        <v>0</v>
      </c>
      <c r="AE868" s="36"/>
      <c r="AF868" s="36"/>
      <c r="AG868" s="36"/>
      <c r="AH868" s="36"/>
      <c r="AI868" s="20">
        <f t="shared" si="40"/>
        <v>-368146</v>
      </c>
      <c r="AJ868" s="20">
        <f t="shared" si="41"/>
        <v>22866</v>
      </c>
    </row>
    <row r="869" spans="1:36" x14ac:dyDescent="0.2">
      <c r="A869" s="17" t="s">
        <v>5464</v>
      </c>
      <c r="B869" s="17">
        <v>41815</v>
      </c>
      <c r="C869" s="20">
        <v>0</v>
      </c>
      <c r="D869" s="20">
        <v>1908</v>
      </c>
      <c r="E869" s="20">
        <v>1908</v>
      </c>
      <c r="F869" s="20">
        <v>0</v>
      </c>
      <c r="I869" s="20">
        <v>10247</v>
      </c>
      <c r="K869" s="20">
        <v>375000</v>
      </c>
      <c r="L869" s="20">
        <v>3531</v>
      </c>
      <c r="M869" s="20">
        <v>370</v>
      </c>
      <c r="N869" s="20">
        <v>16674</v>
      </c>
      <c r="O869" s="20">
        <v>385845</v>
      </c>
      <c r="W869" s="20">
        <f t="shared" si="39"/>
        <v>391056</v>
      </c>
      <c r="X869" s="36">
        <v>-61410</v>
      </c>
      <c r="Y869" s="36">
        <v>-303599</v>
      </c>
      <c r="Z869" s="36">
        <v>0</v>
      </c>
      <c r="AA869" s="36">
        <v>-3540</v>
      </c>
      <c r="AB869" s="36">
        <v>-4128</v>
      </c>
      <c r="AC869" s="36">
        <v>-32120</v>
      </c>
      <c r="AD869" s="36">
        <v>0</v>
      </c>
      <c r="AE869" s="36"/>
      <c r="AF869" s="36"/>
      <c r="AG869" s="36"/>
      <c r="AH869" s="36"/>
      <c r="AI869" s="20">
        <f t="shared" si="40"/>
        <v>-368549</v>
      </c>
      <c r="AJ869" s="20">
        <f t="shared" si="41"/>
        <v>22507</v>
      </c>
    </row>
    <row r="870" spans="1:36" x14ac:dyDescent="0.2">
      <c r="A870" s="17" t="s">
        <v>5465</v>
      </c>
      <c r="B870" s="17">
        <v>41822</v>
      </c>
      <c r="C870" s="20">
        <v>0</v>
      </c>
      <c r="D870" s="20">
        <v>1908</v>
      </c>
      <c r="E870" s="20">
        <v>1908</v>
      </c>
      <c r="F870" s="20">
        <v>0</v>
      </c>
      <c r="I870" s="20">
        <v>10242</v>
      </c>
      <c r="K870" s="20">
        <v>375000</v>
      </c>
      <c r="L870" s="20">
        <v>3500</v>
      </c>
      <c r="M870" s="20">
        <v>370</v>
      </c>
      <c r="N870" s="20">
        <v>16345</v>
      </c>
      <c r="O870" s="20">
        <v>385964</v>
      </c>
      <c r="W870" s="20">
        <f t="shared" si="39"/>
        <v>391020</v>
      </c>
      <c r="X870" s="36">
        <v>-61641</v>
      </c>
      <c r="Y870" s="36">
        <v>-303764</v>
      </c>
      <c r="Z870" s="36">
        <v>0</v>
      </c>
      <c r="AA870" s="36">
        <v>-3501</v>
      </c>
      <c r="AB870" s="36">
        <v>-4128</v>
      </c>
      <c r="AC870" s="36">
        <v>-31554</v>
      </c>
      <c r="AD870" s="36">
        <v>0</v>
      </c>
      <c r="AE870" s="36"/>
      <c r="AF870" s="36"/>
      <c r="AG870" s="36"/>
      <c r="AH870" s="36"/>
      <c r="AI870" s="20">
        <f t="shared" si="40"/>
        <v>-368906</v>
      </c>
      <c r="AJ870" s="20">
        <f t="shared" si="41"/>
        <v>22114</v>
      </c>
    </row>
    <row r="871" spans="1:36" x14ac:dyDescent="0.2">
      <c r="A871" s="17" t="s">
        <v>5466</v>
      </c>
      <c r="B871" s="17">
        <v>41829</v>
      </c>
      <c r="C871" s="20">
        <v>0</v>
      </c>
      <c r="D871" s="20">
        <v>1908</v>
      </c>
      <c r="E871" s="20">
        <v>1908</v>
      </c>
      <c r="F871" s="20">
        <v>0</v>
      </c>
      <c r="I871" s="20">
        <v>10308</v>
      </c>
      <c r="K871" s="20">
        <v>375000</v>
      </c>
      <c r="L871" s="20">
        <v>3496</v>
      </c>
      <c r="M871" s="20">
        <v>370</v>
      </c>
      <c r="N871" s="20">
        <v>16418</v>
      </c>
      <c r="O871" s="20">
        <v>386268</v>
      </c>
      <c r="W871" s="20">
        <f t="shared" si="39"/>
        <v>391082</v>
      </c>
      <c r="X871" s="36">
        <v>-61644</v>
      </c>
      <c r="Y871" s="36">
        <v>-303718</v>
      </c>
      <c r="Z871" s="36">
        <v>0</v>
      </c>
      <c r="AA871" s="36">
        <v>-3504</v>
      </c>
      <c r="AB871" s="36">
        <v>-4128</v>
      </c>
      <c r="AC871" s="36">
        <v>-31970</v>
      </c>
      <c r="AD871" s="36">
        <v>0</v>
      </c>
      <c r="AE871" s="36"/>
      <c r="AF871" s="36"/>
      <c r="AG871" s="36"/>
      <c r="AH871" s="36"/>
      <c r="AI871" s="20">
        <f t="shared" si="40"/>
        <v>-368866</v>
      </c>
      <c r="AJ871" s="20">
        <f t="shared" si="41"/>
        <v>22216</v>
      </c>
    </row>
    <row r="872" spans="1:36" x14ac:dyDescent="0.2">
      <c r="A872" s="17" t="s">
        <v>5467</v>
      </c>
      <c r="B872" s="17">
        <v>41836</v>
      </c>
      <c r="C872" s="20">
        <v>0</v>
      </c>
      <c r="D872" s="20">
        <v>2127</v>
      </c>
      <c r="E872" s="20">
        <v>2127</v>
      </c>
      <c r="F872" s="20">
        <v>0</v>
      </c>
      <c r="I872" s="20">
        <v>10313</v>
      </c>
      <c r="K872" s="20">
        <v>375000</v>
      </c>
      <c r="L872" s="20">
        <v>3496</v>
      </c>
      <c r="M872" s="20">
        <v>370</v>
      </c>
      <c r="N872" s="20">
        <v>16117</v>
      </c>
      <c r="O872" s="20">
        <v>386191</v>
      </c>
      <c r="W872" s="20">
        <f t="shared" si="39"/>
        <v>391306</v>
      </c>
      <c r="X872" s="36">
        <v>-61685</v>
      </c>
      <c r="Y872" s="36">
        <v>-303931</v>
      </c>
      <c r="Z872" s="36">
        <v>0</v>
      </c>
      <c r="AA872" s="36">
        <v>-3504</v>
      </c>
      <c r="AB872" s="36">
        <v>-4128</v>
      </c>
      <c r="AC872" s="36">
        <v>-31558</v>
      </c>
      <c r="AD872" s="36">
        <v>0</v>
      </c>
      <c r="AE872" s="36"/>
      <c r="AF872" s="36"/>
      <c r="AG872" s="36"/>
      <c r="AH872" s="36"/>
      <c r="AI872" s="20">
        <f t="shared" si="40"/>
        <v>-369120</v>
      </c>
      <c r="AJ872" s="20">
        <f t="shared" si="41"/>
        <v>22186</v>
      </c>
    </row>
    <row r="873" spans="1:36" x14ac:dyDescent="0.2">
      <c r="A873" s="17" t="s">
        <v>5468</v>
      </c>
      <c r="B873" s="17">
        <v>41843</v>
      </c>
      <c r="C873" s="20">
        <v>0</v>
      </c>
      <c r="D873" s="20">
        <v>2127</v>
      </c>
      <c r="E873" s="20">
        <v>2127</v>
      </c>
      <c r="F873" s="20">
        <v>0</v>
      </c>
      <c r="I873" s="20">
        <v>10385</v>
      </c>
      <c r="K873" s="20">
        <v>375000</v>
      </c>
      <c r="L873" s="20">
        <v>3519</v>
      </c>
      <c r="M873" s="20">
        <v>370</v>
      </c>
      <c r="N873" s="20">
        <v>16314</v>
      </c>
      <c r="O873" s="20">
        <v>386169</v>
      </c>
      <c r="W873" s="20">
        <f t="shared" si="39"/>
        <v>391401</v>
      </c>
      <c r="X873" s="36">
        <v>-61770</v>
      </c>
      <c r="Y873" s="36">
        <v>-303509</v>
      </c>
      <c r="Z873" s="36">
        <v>0</v>
      </c>
      <c r="AA873" s="36">
        <v>-3526</v>
      </c>
      <c r="AB873" s="36">
        <v>-4128</v>
      </c>
      <c r="AC873" s="36">
        <v>-32047</v>
      </c>
      <c r="AD873" s="36">
        <v>0</v>
      </c>
      <c r="AE873" s="36"/>
      <c r="AF873" s="36"/>
      <c r="AG873" s="36"/>
      <c r="AH873" s="36"/>
      <c r="AI873" s="20">
        <f t="shared" si="40"/>
        <v>-368805</v>
      </c>
      <c r="AJ873" s="20">
        <f t="shared" si="41"/>
        <v>22596</v>
      </c>
    </row>
    <row r="874" spans="1:36" x14ac:dyDescent="0.2">
      <c r="A874" s="17" t="s">
        <v>5469</v>
      </c>
      <c r="B874" s="17">
        <v>41850</v>
      </c>
      <c r="C874" s="20">
        <v>0</v>
      </c>
      <c r="D874" s="20">
        <v>2127</v>
      </c>
      <c r="E874" s="20">
        <v>2127</v>
      </c>
      <c r="F874" s="20">
        <v>0</v>
      </c>
      <c r="I874" s="20">
        <v>10416</v>
      </c>
      <c r="K874" s="20">
        <v>375000</v>
      </c>
      <c r="L874" s="20">
        <v>3544</v>
      </c>
      <c r="M874" s="20">
        <v>370</v>
      </c>
      <c r="N874" s="20">
        <v>15991</v>
      </c>
      <c r="O874" s="20">
        <v>386483</v>
      </c>
      <c r="W874" s="20">
        <f t="shared" si="39"/>
        <v>391457</v>
      </c>
      <c r="X874" s="36">
        <v>-62163</v>
      </c>
      <c r="Y874" s="36">
        <v>-303183</v>
      </c>
      <c r="Z874" s="36">
        <v>0</v>
      </c>
      <c r="AA874" s="36">
        <v>-3550</v>
      </c>
      <c r="AB874" s="36">
        <v>-4128</v>
      </c>
      <c r="AC874" s="36">
        <v>-31946</v>
      </c>
      <c r="AD874" s="36">
        <v>0</v>
      </c>
      <c r="AE874" s="36"/>
      <c r="AF874" s="36"/>
      <c r="AG874" s="36"/>
      <c r="AH874" s="36"/>
      <c r="AI874" s="20">
        <f t="shared" si="40"/>
        <v>-368896</v>
      </c>
      <c r="AJ874" s="20">
        <f t="shared" si="41"/>
        <v>22561</v>
      </c>
    </row>
    <row r="875" spans="1:36" x14ac:dyDescent="0.2">
      <c r="A875" s="17" t="s">
        <v>5470</v>
      </c>
      <c r="B875" s="17">
        <v>41857</v>
      </c>
      <c r="C875" s="20">
        <v>0</v>
      </c>
      <c r="D875" s="20">
        <v>2127</v>
      </c>
      <c r="E875" s="20">
        <v>2127</v>
      </c>
      <c r="F875" s="20">
        <v>0</v>
      </c>
      <c r="I875" s="20">
        <v>10439</v>
      </c>
      <c r="K875" s="20">
        <v>375000</v>
      </c>
      <c r="L875" s="20">
        <v>3564</v>
      </c>
      <c r="M875" s="20">
        <v>370</v>
      </c>
      <c r="N875" s="20">
        <v>16246</v>
      </c>
      <c r="O875" s="20">
        <v>386427</v>
      </c>
      <c r="W875" s="20">
        <f t="shared" si="39"/>
        <v>391500</v>
      </c>
      <c r="X875" s="36">
        <v>-62150</v>
      </c>
      <c r="Y875" s="36">
        <v>-304120</v>
      </c>
      <c r="Z875" s="36">
        <v>0</v>
      </c>
      <c r="AA875" s="36">
        <v>-3571</v>
      </c>
      <c r="AB875" s="36">
        <v>-4128</v>
      </c>
      <c r="AC875" s="36">
        <v>-31202</v>
      </c>
      <c r="AD875" s="36">
        <v>0</v>
      </c>
      <c r="AE875" s="36"/>
      <c r="AF875" s="36"/>
      <c r="AG875" s="36"/>
      <c r="AH875" s="36"/>
      <c r="AI875" s="20">
        <f t="shared" si="40"/>
        <v>-369841</v>
      </c>
      <c r="AJ875" s="20">
        <f t="shared" si="41"/>
        <v>21659</v>
      </c>
    </row>
    <row r="876" spans="1:36" x14ac:dyDescent="0.2">
      <c r="A876" s="17" t="s">
        <v>5471</v>
      </c>
      <c r="B876" s="17">
        <v>41864</v>
      </c>
      <c r="C876" s="20">
        <v>0</v>
      </c>
      <c r="D876" s="20">
        <v>2127</v>
      </c>
      <c r="E876" s="20">
        <v>2127</v>
      </c>
      <c r="F876" s="20">
        <v>0</v>
      </c>
      <c r="I876" s="20">
        <v>10465</v>
      </c>
      <c r="K876" s="20">
        <v>375000</v>
      </c>
      <c r="L876" s="20">
        <v>3596</v>
      </c>
      <c r="M876" s="20">
        <v>370</v>
      </c>
      <c r="N876" s="20">
        <v>16508</v>
      </c>
      <c r="O876" s="20">
        <v>385951</v>
      </c>
      <c r="W876" s="20">
        <f t="shared" si="39"/>
        <v>391558</v>
      </c>
      <c r="X876" s="36">
        <v>-62080</v>
      </c>
      <c r="Y876" s="36">
        <v>-303843</v>
      </c>
      <c r="Z876" s="36">
        <v>0</v>
      </c>
      <c r="AA876" s="36">
        <v>-3602</v>
      </c>
      <c r="AB876" s="36">
        <v>-4128</v>
      </c>
      <c r="AC876" s="36">
        <v>-31304</v>
      </c>
      <c r="AD876" s="36">
        <v>0</v>
      </c>
      <c r="AE876" s="36"/>
      <c r="AF876" s="36"/>
      <c r="AG876" s="36"/>
      <c r="AH876" s="36"/>
      <c r="AI876" s="20">
        <f t="shared" si="40"/>
        <v>-369525</v>
      </c>
      <c r="AJ876" s="20">
        <f t="shared" si="41"/>
        <v>22033</v>
      </c>
    </row>
    <row r="877" spans="1:36" x14ac:dyDescent="0.2">
      <c r="A877" s="17" t="s">
        <v>5472</v>
      </c>
      <c r="B877" s="17">
        <v>41871</v>
      </c>
      <c r="C877" s="20">
        <v>0</v>
      </c>
      <c r="D877" s="20">
        <v>1562</v>
      </c>
      <c r="E877" s="20">
        <v>1562</v>
      </c>
      <c r="F877" s="20">
        <v>0</v>
      </c>
      <c r="I877" s="20">
        <v>10516</v>
      </c>
      <c r="K877" s="20">
        <v>375000</v>
      </c>
      <c r="L877" s="20">
        <v>3622</v>
      </c>
      <c r="M877" s="20">
        <v>370</v>
      </c>
      <c r="N877" s="20">
        <v>16842</v>
      </c>
      <c r="O877" s="20">
        <v>386171</v>
      </c>
      <c r="W877" s="20">
        <f t="shared" si="39"/>
        <v>391070</v>
      </c>
      <c r="X877" s="36">
        <v>-62109</v>
      </c>
      <c r="Y877" s="36">
        <v>-303539</v>
      </c>
      <c r="Z877" s="36">
        <v>0</v>
      </c>
      <c r="AA877" s="36">
        <v>-3611</v>
      </c>
      <c r="AB877" s="36">
        <v>-4128</v>
      </c>
      <c r="AC877" s="36">
        <v>-31557</v>
      </c>
      <c r="AD877" s="36">
        <v>0</v>
      </c>
      <c r="AE877" s="36"/>
      <c r="AF877" s="36"/>
      <c r="AG877" s="36"/>
      <c r="AH877" s="36"/>
      <c r="AI877" s="20">
        <f t="shared" si="40"/>
        <v>-369259</v>
      </c>
      <c r="AJ877" s="20">
        <f t="shared" si="41"/>
        <v>21811</v>
      </c>
    </row>
    <row r="878" spans="1:36" x14ac:dyDescent="0.2">
      <c r="A878" s="17" t="s">
        <v>5473</v>
      </c>
      <c r="B878" s="17">
        <v>41878</v>
      </c>
      <c r="C878" s="20">
        <v>0</v>
      </c>
      <c r="D878" s="20">
        <v>1562</v>
      </c>
      <c r="E878" s="20">
        <v>1562</v>
      </c>
      <c r="F878" s="20">
        <v>0</v>
      </c>
      <c r="I878" s="20">
        <v>10579</v>
      </c>
      <c r="K878" s="20">
        <v>375000</v>
      </c>
      <c r="L878" s="20">
        <v>3627</v>
      </c>
      <c r="M878" s="20">
        <v>370</v>
      </c>
      <c r="N878" s="20">
        <v>17207</v>
      </c>
      <c r="O878" s="20">
        <v>386045</v>
      </c>
      <c r="W878" s="20">
        <f t="shared" si="39"/>
        <v>391138</v>
      </c>
      <c r="X878" s="36">
        <v>-62512</v>
      </c>
      <c r="Y878" s="36">
        <v>-302778</v>
      </c>
      <c r="Z878" s="36">
        <v>0</v>
      </c>
      <c r="AA878" s="36">
        <v>-3623</v>
      </c>
      <c r="AB878" s="36">
        <v>-4128</v>
      </c>
      <c r="AC878" s="36">
        <v>-32144</v>
      </c>
      <c r="AD878" s="36">
        <v>0</v>
      </c>
      <c r="AE878" s="36"/>
      <c r="AF878" s="36"/>
      <c r="AG878" s="36"/>
      <c r="AH878" s="36"/>
      <c r="AI878" s="20">
        <f t="shared" si="40"/>
        <v>-368913</v>
      </c>
      <c r="AJ878" s="20">
        <f t="shared" si="41"/>
        <v>22225</v>
      </c>
    </row>
    <row r="879" spans="1:36" x14ac:dyDescent="0.2">
      <c r="A879" s="17" t="s">
        <v>5474</v>
      </c>
      <c r="B879" s="17">
        <v>41885</v>
      </c>
      <c r="C879" s="20">
        <v>0</v>
      </c>
      <c r="D879" s="20">
        <v>1562</v>
      </c>
      <c r="E879" s="20">
        <v>1562</v>
      </c>
      <c r="F879" s="20">
        <v>0</v>
      </c>
      <c r="I879" s="20">
        <v>10608</v>
      </c>
      <c r="K879" s="20">
        <v>375000</v>
      </c>
      <c r="L879" s="20">
        <v>3655</v>
      </c>
      <c r="M879" s="20">
        <v>370</v>
      </c>
      <c r="N879" s="20">
        <v>17532</v>
      </c>
      <c r="O879" s="20">
        <v>385991</v>
      </c>
      <c r="W879" s="20">
        <f t="shared" si="39"/>
        <v>391195</v>
      </c>
      <c r="X879" s="36">
        <v>-62365</v>
      </c>
      <c r="Y879" s="36">
        <v>-301950</v>
      </c>
      <c r="Z879" s="36">
        <v>0</v>
      </c>
      <c r="AA879" s="36">
        <v>-3651</v>
      </c>
      <c r="AB879" s="36">
        <v>-4128</v>
      </c>
      <c r="AC879" s="36">
        <v>-33360</v>
      </c>
      <c r="AD879" s="36">
        <v>0</v>
      </c>
      <c r="AE879" s="36"/>
      <c r="AF879" s="36"/>
      <c r="AG879" s="36"/>
      <c r="AH879" s="36"/>
      <c r="AI879" s="20">
        <f t="shared" si="40"/>
        <v>-367966</v>
      </c>
      <c r="AJ879" s="20">
        <f t="shared" si="41"/>
        <v>23229</v>
      </c>
    </row>
    <row r="880" spans="1:36" x14ac:dyDescent="0.2">
      <c r="A880" s="17" t="s">
        <v>5475</v>
      </c>
      <c r="B880" s="17">
        <v>41892</v>
      </c>
      <c r="C880" s="20">
        <v>0</v>
      </c>
      <c r="D880" s="20">
        <v>1562</v>
      </c>
      <c r="E880" s="20">
        <v>1562</v>
      </c>
      <c r="F880" s="20">
        <v>0</v>
      </c>
      <c r="I880" s="20">
        <v>10105</v>
      </c>
      <c r="K880" s="20">
        <v>375000</v>
      </c>
      <c r="L880" s="20">
        <v>3718</v>
      </c>
      <c r="M880" s="20">
        <v>370</v>
      </c>
      <c r="N880" s="20">
        <v>16942</v>
      </c>
      <c r="O880" s="20">
        <v>386079</v>
      </c>
      <c r="W880" s="20">
        <f t="shared" si="39"/>
        <v>390755</v>
      </c>
      <c r="X880" s="36">
        <v>-62341</v>
      </c>
      <c r="Y880" s="36">
        <v>-288265</v>
      </c>
      <c r="Z880" s="36">
        <v>0</v>
      </c>
      <c r="AA880" s="36">
        <v>-3717</v>
      </c>
      <c r="AB880" s="36">
        <v>-4128</v>
      </c>
      <c r="AC880" s="36">
        <v>-46502</v>
      </c>
      <c r="AD880" s="36">
        <v>0</v>
      </c>
      <c r="AE880" s="36"/>
      <c r="AF880" s="36"/>
      <c r="AG880" s="36"/>
      <c r="AH880" s="36"/>
      <c r="AI880" s="20">
        <f t="shared" si="40"/>
        <v>-354323</v>
      </c>
      <c r="AJ880" s="20">
        <f t="shared" si="41"/>
        <v>36432</v>
      </c>
    </row>
    <row r="881" spans="1:36" x14ac:dyDescent="0.2">
      <c r="A881" s="17" t="s">
        <v>5476</v>
      </c>
      <c r="B881" s="17">
        <v>41899</v>
      </c>
      <c r="C881" s="20">
        <v>0</v>
      </c>
      <c r="D881" s="20">
        <v>1658</v>
      </c>
      <c r="E881" s="20">
        <v>1658</v>
      </c>
      <c r="F881" s="20">
        <v>0</v>
      </c>
      <c r="I881" s="20">
        <v>10135</v>
      </c>
      <c r="K881" s="20">
        <v>375000</v>
      </c>
      <c r="L881" s="20">
        <v>3674</v>
      </c>
      <c r="M881" s="20">
        <v>370</v>
      </c>
      <c r="N881" s="20">
        <v>16640</v>
      </c>
      <c r="O881" s="20">
        <v>385631</v>
      </c>
      <c r="W881" s="20">
        <f t="shared" si="39"/>
        <v>390837</v>
      </c>
      <c r="X881" s="36">
        <v>-62391</v>
      </c>
      <c r="Y881" s="36">
        <v>-289724</v>
      </c>
      <c r="Z881" s="36">
        <v>0</v>
      </c>
      <c r="AA881" s="36">
        <v>-3678</v>
      </c>
      <c r="AB881" s="36">
        <v>-4128</v>
      </c>
      <c r="AC881" s="36">
        <v>-44378</v>
      </c>
      <c r="AD881" s="36">
        <v>0</v>
      </c>
      <c r="AE881" s="36"/>
      <c r="AF881" s="36"/>
      <c r="AG881" s="36"/>
      <c r="AH881" s="36"/>
      <c r="AI881" s="20">
        <f t="shared" si="40"/>
        <v>-355793</v>
      </c>
      <c r="AJ881" s="20">
        <f t="shared" si="41"/>
        <v>35044</v>
      </c>
    </row>
    <row r="882" spans="1:36" x14ac:dyDescent="0.2">
      <c r="A882" s="17" t="s">
        <v>5477</v>
      </c>
      <c r="B882" s="17">
        <v>41906</v>
      </c>
      <c r="C882" s="20">
        <v>0</v>
      </c>
      <c r="D882" s="20">
        <v>1658</v>
      </c>
      <c r="E882" s="20">
        <v>1658</v>
      </c>
      <c r="F882" s="20">
        <v>0</v>
      </c>
      <c r="I882" s="20">
        <v>10186</v>
      </c>
      <c r="K882" s="20">
        <v>375000</v>
      </c>
      <c r="L882" s="20">
        <v>3655</v>
      </c>
      <c r="M882" s="20">
        <v>370</v>
      </c>
      <c r="N882" s="20">
        <v>16628</v>
      </c>
      <c r="O882" s="20">
        <v>386476</v>
      </c>
      <c r="W882" s="20">
        <f t="shared" si="39"/>
        <v>390869</v>
      </c>
      <c r="X882" s="36">
        <v>-62598</v>
      </c>
      <c r="Y882" s="36">
        <v>-289788</v>
      </c>
      <c r="Z882" s="36">
        <v>0</v>
      </c>
      <c r="AA882" s="36">
        <v>-3672</v>
      </c>
      <c r="AB882" s="36">
        <v>-4128</v>
      </c>
      <c r="AC882" s="36">
        <v>-44947</v>
      </c>
      <c r="AD882" s="36">
        <v>0</v>
      </c>
      <c r="AE882" s="36"/>
      <c r="AF882" s="36"/>
      <c r="AG882" s="36"/>
      <c r="AH882" s="36"/>
      <c r="AI882" s="20">
        <f t="shared" si="40"/>
        <v>-356058</v>
      </c>
      <c r="AJ882" s="20">
        <f t="shared" si="41"/>
        <v>34811</v>
      </c>
    </row>
    <row r="883" spans="1:36" x14ac:dyDescent="0.2">
      <c r="A883" s="17" t="s">
        <v>5478</v>
      </c>
      <c r="B883" s="17">
        <v>41913</v>
      </c>
      <c r="C883" s="20">
        <v>0</v>
      </c>
      <c r="D883" s="20">
        <v>1658</v>
      </c>
      <c r="E883" s="20">
        <v>1658</v>
      </c>
      <c r="F883" s="20">
        <v>0</v>
      </c>
      <c r="I883" s="20">
        <v>10263</v>
      </c>
      <c r="K883" s="20">
        <v>375000</v>
      </c>
      <c r="L883" s="20">
        <v>3690</v>
      </c>
      <c r="M883" s="20">
        <v>370</v>
      </c>
      <c r="W883" s="20">
        <f>SUM(C883:D883,G883:M883)</f>
        <v>390981</v>
      </c>
      <c r="X883" s="36">
        <v>-62704</v>
      </c>
      <c r="Y883" s="36">
        <v>-293613</v>
      </c>
      <c r="Z883" s="36">
        <v>0</v>
      </c>
      <c r="AA883" s="36">
        <v>-3708</v>
      </c>
      <c r="AB883" s="36"/>
      <c r="AC883" s="36"/>
      <c r="AD883" s="36">
        <v>0</v>
      </c>
      <c r="AE883" s="36"/>
      <c r="AF883" s="36"/>
      <c r="AG883" s="36"/>
      <c r="AH883" s="36"/>
      <c r="AI883" s="20">
        <f t="shared" si="40"/>
        <v>-360025</v>
      </c>
      <c r="AJ883" s="20">
        <f t="shared" si="41"/>
        <v>30956</v>
      </c>
    </row>
    <row r="884" spans="1:36" x14ac:dyDescent="0.2">
      <c r="A884" s="17" t="s">
        <v>5479</v>
      </c>
      <c r="B884" s="17">
        <v>41920</v>
      </c>
      <c r="C884" s="20">
        <v>0</v>
      </c>
      <c r="D884" s="20">
        <v>1658</v>
      </c>
      <c r="E884" s="20">
        <v>1658</v>
      </c>
      <c r="F884" s="20">
        <v>0</v>
      </c>
      <c r="I884" s="20">
        <v>10305</v>
      </c>
      <c r="K884" s="20">
        <v>375000</v>
      </c>
      <c r="L884" s="20">
        <v>3721</v>
      </c>
      <c r="M884" s="20">
        <v>370</v>
      </c>
      <c r="W884" s="20">
        <f t="shared" ref="W884:W947" si="42">SUM(C884:D884,G884:M884)</f>
        <v>391054</v>
      </c>
      <c r="X884" s="36">
        <v>-62617</v>
      </c>
      <c r="Y884" s="36">
        <v>-299079</v>
      </c>
      <c r="Z884" s="36">
        <v>0</v>
      </c>
      <c r="AA884" s="36">
        <v>-3739</v>
      </c>
      <c r="AB884" s="36"/>
      <c r="AC884" s="36"/>
      <c r="AD884" s="36">
        <v>0</v>
      </c>
      <c r="AE884" s="36"/>
      <c r="AF884" s="36"/>
      <c r="AG884" s="36"/>
      <c r="AH884" s="36"/>
      <c r="AI884" s="20">
        <f t="shared" si="40"/>
        <v>-365435</v>
      </c>
      <c r="AJ884" s="20">
        <f t="shared" si="41"/>
        <v>25619</v>
      </c>
    </row>
    <row r="885" spans="1:36" x14ac:dyDescent="0.2">
      <c r="A885" s="17" t="s">
        <v>5480</v>
      </c>
      <c r="B885" s="17">
        <v>41927</v>
      </c>
      <c r="C885" s="20">
        <v>0</v>
      </c>
      <c r="D885" s="20">
        <v>1746</v>
      </c>
      <c r="E885" s="20">
        <v>1746</v>
      </c>
      <c r="F885" s="20">
        <v>0</v>
      </c>
      <c r="I885" s="20">
        <v>10383</v>
      </c>
      <c r="K885" s="20">
        <v>375000</v>
      </c>
      <c r="L885" s="20">
        <v>3773</v>
      </c>
      <c r="M885" s="20">
        <v>370</v>
      </c>
      <c r="W885" s="20">
        <f t="shared" si="42"/>
        <v>391272</v>
      </c>
      <c r="X885" s="36">
        <v>-62607</v>
      </c>
      <c r="Y885" s="36">
        <v>-300727</v>
      </c>
      <c r="Z885" s="36">
        <v>0</v>
      </c>
      <c r="AA885" s="36">
        <v>-3792</v>
      </c>
      <c r="AB885" s="36"/>
      <c r="AC885" s="36"/>
      <c r="AD885" s="36">
        <v>0</v>
      </c>
      <c r="AE885" s="36"/>
      <c r="AF885" s="36"/>
      <c r="AG885" s="36"/>
      <c r="AH885" s="36"/>
      <c r="AI885" s="20">
        <f t="shared" si="40"/>
        <v>-367126</v>
      </c>
      <c r="AJ885" s="20">
        <f t="shared" si="41"/>
        <v>24146</v>
      </c>
    </row>
    <row r="886" spans="1:36" x14ac:dyDescent="0.2">
      <c r="A886" s="17" t="s">
        <v>5481</v>
      </c>
      <c r="B886" s="17">
        <v>41934</v>
      </c>
      <c r="C886" s="20">
        <v>0</v>
      </c>
      <c r="D886" s="20">
        <v>1746</v>
      </c>
      <c r="E886" s="20">
        <v>1746</v>
      </c>
      <c r="F886" s="20">
        <v>0</v>
      </c>
      <c r="I886" s="20">
        <v>10352</v>
      </c>
      <c r="K886" s="20">
        <v>375000</v>
      </c>
      <c r="L886" s="20">
        <v>3735</v>
      </c>
      <c r="M886" s="20">
        <v>370</v>
      </c>
      <c r="W886" s="20">
        <f t="shared" si="42"/>
        <v>391203</v>
      </c>
      <c r="X886" s="36">
        <v>-62562</v>
      </c>
      <c r="Y886" s="36">
        <v>-304393</v>
      </c>
      <c r="Z886" s="36">
        <v>0</v>
      </c>
      <c r="AA886" s="36">
        <v>-3750</v>
      </c>
      <c r="AB886" s="36"/>
      <c r="AC886" s="36"/>
      <c r="AD886" s="36">
        <v>0</v>
      </c>
      <c r="AE886" s="36"/>
      <c r="AF886" s="36"/>
      <c r="AG886" s="36"/>
      <c r="AH886" s="36"/>
      <c r="AI886" s="20">
        <f t="shared" si="40"/>
        <v>-370705</v>
      </c>
      <c r="AJ886" s="20">
        <f t="shared" si="41"/>
        <v>20498</v>
      </c>
    </row>
    <row r="887" spans="1:36" x14ac:dyDescent="0.2">
      <c r="A887" s="17" t="s">
        <v>5482</v>
      </c>
      <c r="B887" s="17">
        <v>41941</v>
      </c>
      <c r="C887" s="20">
        <v>0</v>
      </c>
      <c r="D887" s="20">
        <v>1746</v>
      </c>
      <c r="E887" s="20">
        <v>1746</v>
      </c>
      <c r="F887" s="20">
        <v>0</v>
      </c>
      <c r="I887" s="20">
        <v>10379</v>
      </c>
      <c r="K887" s="20">
        <v>375000</v>
      </c>
      <c r="L887" s="20">
        <v>3711</v>
      </c>
      <c r="M887" s="20">
        <v>370</v>
      </c>
      <c r="W887" s="20">
        <f t="shared" si="42"/>
        <v>391206</v>
      </c>
      <c r="X887" s="36">
        <v>-63059</v>
      </c>
      <c r="Y887" s="36">
        <v>-302106</v>
      </c>
      <c r="Z887" s="36">
        <v>0</v>
      </c>
      <c r="AA887" s="36">
        <v>-3725</v>
      </c>
      <c r="AB887" s="36"/>
      <c r="AC887" s="36"/>
      <c r="AD887" s="36">
        <v>0</v>
      </c>
      <c r="AE887" s="36"/>
      <c r="AF887" s="36"/>
      <c r="AG887" s="36"/>
      <c r="AH887" s="36"/>
      <c r="AI887" s="20">
        <f t="shared" si="40"/>
        <v>-368890</v>
      </c>
      <c r="AJ887" s="20">
        <f t="shared" si="41"/>
        <v>22316</v>
      </c>
    </row>
    <row r="888" spans="1:36" x14ac:dyDescent="0.2">
      <c r="A888" s="17" t="s">
        <v>5483</v>
      </c>
      <c r="B888" s="17">
        <v>41948</v>
      </c>
      <c r="C888" s="20">
        <v>0</v>
      </c>
      <c r="D888" s="20">
        <v>1746</v>
      </c>
      <c r="E888" s="20">
        <v>1746</v>
      </c>
      <c r="F888" s="20">
        <v>0</v>
      </c>
      <c r="I888" s="20">
        <v>10416</v>
      </c>
      <c r="K888" s="20">
        <v>375000</v>
      </c>
      <c r="L888" s="20">
        <v>3748</v>
      </c>
      <c r="M888" s="20">
        <v>370</v>
      </c>
      <c r="W888" s="20">
        <f t="shared" si="42"/>
        <v>391280</v>
      </c>
      <c r="X888" s="36">
        <v>-63060</v>
      </c>
      <c r="Y888" s="36">
        <v>-304766</v>
      </c>
      <c r="Z888" s="36">
        <v>0</v>
      </c>
      <c r="AA888" s="36">
        <v>-3761</v>
      </c>
      <c r="AB888" s="36"/>
      <c r="AC888" s="36"/>
      <c r="AD888" s="36">
        <v>0</v>
      </c>
      <c r="AE888" s="36"/>
      <c r="AF888" s="36"/>
      <c r="AG888" s="36"/>
      <c r="AH888" s="36"/>
      <c r="AI888" s="20">
        <f t="shared" si="40"/>
        <v>-371587</v>
      </c>
      <c r="AJ888" s="20">
        <f t="shared" si="41"/>
        <v>19693</v>
      </c>
    </row>
    <row r="889" spans="1:36" x14ac:dyDescent="0.2">
      <c r="A889" s="17" t="s">
        <v>5484</v>
      </c>
      <c r="B889" s="17">
        <v>41955</v>
      </c>
      <c r="C889" s="20">
        <v>0</v>
      </c>
      <c r="D889" s="20">
        <v>1746</v>
      </c>
      <c r="E889" s="20">
        <v>1746</v>
      </c>
      <c r="F889" s="20">
        <v>0</v>
      </c>
      <c r="I889" s="20">
        <v>10441</v>
      </c>
      <c r="K889" s="20">
        <v>375000</v>
      </c>
      <c r="L889" s="20">
        <v>3783</v>
      </c>
      <c r="M889" s="20">
        <v>370</v>
      </c>
      <c r="W889" s="20">
        <f t="shared" si="42"/>
        <v>391340</v>
      </c>
      <c r="X889" s="36">
        <v>-63108</v>
      </c>
      <c r="Y889" s="36">
        <v>-304993</v>
      </c>
      <c r="Z889" s="36">
        <v>0</v>
      </c>
      <c r="AA889" s="36">
        <v>-3796</v>
      </c>
      <c r="AB889" s="36"/>
      <c r="AC889" s="36"/>
      <c r="AD889" s="36">
        <v>0</v>
      </c>
      <c r="AE889" s="36"/>
      <c r="AF889" s="36"/>
      <c r="AG889" s="36"/>
      <c r="AH889" s="36"/>
      <c r="AI889" s="20">
        <f t="shared" si="40"/>
        <v>-371897</v>
      </c>
      <c r="AJ889" s="20">
        <f t="shared" si="41"/>
        <v>19443</v>
      </c>
    </row>
    <row r="890" spans="1:36" x14ac:dyDescent="0.2">
      <c r="A890" s="17" t="s">
        <v>5485</v>
      </c>
      <c r="B890" s="17">
        <v>41962</v>
      </c>
      <c r="C890" s="20">
        <v>0</v>
      </c>
      <c r="D890" s="20">
        <v>1903</v>
      </c>
      <c r="E890" s="20">
        <v>1903</v>
      </c>
      <c r="F890" s="20">
        <v>0</v>
      </c>
      <c r="I890" s="20">
        <v>10501</v>
      </c>
      <c r="K890" s="20">
        <v>375000</v>
      </c>
      <c r="L890" s="20">
        <v>3822</v>
      </c>
      <c r="M890" s="20">
        <v>370</v>
      </c>
      <c r="W890" s="20">
        <f t="shared" si="42"/>
        <v>391596</v>
      </c>
      <c r="X890" s="36">
        <v>-63128</v>
      </c>
      <c r="Y890" s="36">
        <v>-304297</v>
      </c>
      <c r="Z890" s="36">
        <v>0</v>
      </c>
      <c r="AA890" s="36">
        <v>-3835</v>
      </c>
      <c r="AB890" s="36"/>
      <c r="AC890" s="36"/>
      <c r="AD890" s="36">
        <v>0</v>
      </c>
      <c r="AE890" s="36"/>
      <c r="AF890" s="36"/>
      <c r="AG890" s="36"/>
      <c r="AH890" s="36"/>
      <c r="AI890" s="20">
        <f t="shared" si="40"/>
        <v>-371260</v>
      </c>
      <c r="AJ890" s="20">
        <f t="shared" si="41"/>
        <v>20336</v>
      </c>
    </row>
    <row r="891" spans="1:36" x14ac:dyDescent="0.2">
      <c r="A891" s="17" t="s">
        <v>5486</v>
      </c>
      <c r="B891" s="17">
        <v>41969</v>
      </c>
      <c r="C891" s="20">
        <v>0</v>
      </c>
      <c r="D891" s="20">
        <v>1903</v>
      </c>
      <c r="E891" s="20">
        <v>1903</v>
      </c>
      <c r="F891" s="20">
        <v>0</v>
      </c>
      <c r="I891" s="20">
        <v>10600</v>
      </c>
      <c r="K891" s="20">
        <v>375000</v>
      </c>
      <c r="L891" s="20">
        <v>3793</v>
      </c>
      <c r="M891" s="20">
        <v>370</v>
      </c>
      <c r="W891" s="20">
        <f t="shared" si="42"/>
        <v>391666</v>
      </c>
      <c r="X891" s="36">
        <v>-63672</v>
      </c>
      <c r="Y891" s="36">
        <v>-303509</v>
      </c>
      <c r="Z891" s="36">
        <v>0</v>
      </c>
      <c r="AA891" s="36">
        <v>-3805</v>
      </c>
      <c r="AB891" s="36"/>
      <c r="AC891" s="36"/>
      <c r="AD891" s="36">
        <v>0</v>
      </c>
      <c r="AE891" s="36"/>
      <c r="AF891" s="36"/>
      <c r="AG891" s="36"/>
      <c r="AH891" s="36"/>
      <c r="AI891" s="20">
        <f t="shared" si="40"/>
        <v>-370986</v>
      </c>
      <c r="AJ891" s="20">
        <f t="shared" si="41"/>
        <v>20680</v>
      </c>
    </row>
    <row r="892" spans="1:36" x14ac:dyDescent="0.2">
      <c r="A892" s="17" t="s">
        <v>5487</v>
      </c>
      <c r="B892" s="17">
        <v>41976</v>
      </c>
      <c r="C892" s="20">
        <v>0</v>
      </c>
      <c r="D892" s="20">
        <v>1903</v>
      </c>
      <c r="E892" s="20">
        <v>1903</v>
      </c>
      <c r="F892" s="20">
        <v>0</v>
      </c>
      <c r="I892" s="20">
        <v>10684</v>
      </c>
      <c r="K892" s="20">
        <v>375000</v>
      </c>
      <c r="L892" s="20">
        <v>3813</v>
      </c>
      <c r="M892" s="20">
        <v>370</v>
      </c>
      <c r="W892" s="20">
        <f t="shared" si="42"/>
        <v>391770</v>
      </c>
      <c r="X892" s="36">
        <v>-64298</v>
      </c>
      <c r="Y892" s="36">
        <v>-303668</v>
      </c>
      <c r="Z892" s="36">
        <v>0</v>
      </c>
      <c r="AA892" s="36">
        <v>-3824</v>
      </c>
      <c r="AB892" s="36"/>
      <c r="AC892" s="36"/>
      <c r="AD892" s="36">
        <v>0</v>
      </c>
      <c r="AE892" s="36"/>
      <c r="AF892" s="36"/>
      <c r="AG892" s="36"/>
      <c r="AH892" s="36"/>
      <c r="AI892" s="20">
        <f t="shared" si="40"/>
        <v>-371790</v>
      </c>
      <c r="AJ892" s="20">
        <f t="shared" si="41"/>
        <v>19980</v>
      </c>
    </row>
    <row r="893" spans="1:36" x14ac:dyDescent="0.2">
      <c r="A893" s="17" t="s">
        <v>5488</v>
      </c>
      <c r="B893" s="17">
        <v>41983</v>
      </c>
      <c r="C893" s="20">
        <v>0</v>
      </c>
      <c r="D893" s="20">
        <v>1903</v>
      </c>
      <c r="E893" s="20">
        <v>1903</v>
      </c>
      <c r="F893" s="20">
        <v>0</v>
      </c>
      <c r="I893" s="20">
        <v>10674</v>
      </c>
      <c r="K893" s="20">
        <v>375000</v>
      </c>
      <c r="L893" s="20">
        <v>3816</v>
      </c>
      <c r="M893" s="20">
        <v>370</v>
      </c>
      <c r="W893" s="20">
        <f t="shared" si="42"/>
        <v>391763</v>
      </c>
      <c r="X893" s="36">
        <v>-64724</v>
      </c>
      <c r="Y893" s="36">
        <v>-300956</v>
      </c>
      <c r="Z893" s="36">
        <v>0</v>
      </c>
      <c r="AA893" s="36">
        <v>-3827</v>
      </c>
      <c r="AB893" s="36"/>
      <c r="AC893" s="36"/>
      <c r="AD893" s="36">
        <v>0</v>
      </c>
      <c r="AE893" s="36"/>
      <c r="AF893" s="36"/>
      <c r="AG893" s="36"/>
      <c r="AH893" s="36"/>
      <c r="AI893" s="20">
        <f t="shared" si="40"/>
        <v>-369507</v>
      </c>
      <c r="AJ893" s="20">
        <f t="shared" si="41"/>
        <v>22256</v>
      </c>
    </row>
    <row r="894" spans="1:36" x14ac:dyDescent="0.2">
      <c r="A894" s="17" t="s">
        <v>5489</v>
      </c>
      <c r="B894" s="17">
        <v>41990</v>
      </c>
      <c r="C894" s="20">
        <v>0</v>
      </c>
      <c r="D894" s="20">
        <v>2298</v>
      </c>
      <c r="E894" s="20">
        <v>2298</v>
      </c>
      <c r="F894" s="20">
        <v>0</v>
      </c>
      <c r="I894" s="20">
        <v>10701</v>
      </c>
      <c r="K894" s="20">
        <v>375000</v>
      </c>
      <c r="L894" s="20">
        <v>3830</v>
      </c>
      <c r="M894" s="20">
        <v>370</v>
      </c>
      <c r="W894" s="20">
        <f t="shared" si="42"/>
        <v>392199</v>
      </c>
      <c r="X894" s="36">
        <v>-65253</v>
      </c>
      <c r="Y894" s="36">
        <v>-300352</v>
      </c>
      <c r="Z894" s="36">
        <v>0</v>
      </c>
      <c r="AA894" s="36">
        <v>-3839</v>
      </c>
      <c r="AB894" s="36"/>
      <c r="AC894" s="36"/>
      <c r="AD894" s="36">
        <v>0</v>
      </c>
      <c r="AE894" s="36"/>
      <c r="AF894" s="36"/>
      <c r="AG894" s="36"/>
      <c r="AH894" s="36"/>
      <c r="AI894" s="20">
        <f t="shared" si="40"/>
        <v>-369444</v>
      </c>
      <c r="AJ894" s="20">
        <f t="shared" si="41"/>
        <v>22755</v>
      </c>
    </row>
    <row r="895" spans="1:36" x14ac:dyDescent="0.2">
      <c r="A895" s="17" t="s">
        <v>5489</v>
      </c>
      <c r="B895" s="17">
        <v>41997</v>
      </c>
      <c r="C895" s="20">
        <v>0</v>
      </c>
      <c r="D895" s="20">
        <v>2298</v>
      </c>
      <c r="E895" s="20">
        <v>2298</v>
      </c>
      <c r="F895" s="20">
        <v>0</v>
      </c>
      <c r="I895" s="20">
        <v>10662</v>
      </c>
      <c r="K895" s="20">
        <v>375000</v>
      </c>
      <c r="L895" s="20">
        <v>3854</v>
      </c>
      <c r="M895" s="20">
        <v>370</v>
      </c>
      <c r="W895" s="20">
        <f t="shared" si="42"/>
        <v>392184</v>
      </c>
      <c r="X895" s="36">
        <v>-66876</v>
      </c>
      <c r="Y895" s="36">
        <v>-299414</v>
      </c>
      <c r="Z895" s="36">
        <v>0</v>
      </c>
      <c r="AA895" s="36">
        <v>-3861</v>
      </c>
      <c r="AB895" s="36"/>
      <c r="AC895" s="36"/>
      <c r="AD895" s="36">
        <v>0</v>
      </c>
      <c r="AE895" s="36"/>
      <c r="AF895" s="36"/>
      <c r="AG895" s="36"/>
      <c r="AH895" s="36"/>
      <c r="AI895" s="20">
        <f t="shared" ref="AI895:AI958" si="43">SUM(X895:AA895)</f>
        <v>-370151</v>
      </c>
      <c r="AJ895" s="20">
        <f t="shared" ref="AJ895:AJ958" si="44">W895+AI895</f>
        <v>22033</v>
      </c>
    </row>
    <row r="896" spans="1:36" x14ac:dyDescent="0.2">
      <c r="A896" s="17" t="s">
        <v>5490</v>
      </c>
      <c r="B896" s="17">
        <v>42004</v>
      </c>
      <c r="C896" s="20">
        <v>0</v>
      </c>
      <c r="D896" s="20">
        <v>2298</v>
      </c>
      <c r="E896" s="20">
        <v>2298</v>
      </c>
      <c r="F896" s="20">
        <v>0</v>
      </c>
      <c r="I896" s="20">
        <v>10710</v>
      </c>
      <c r="K896" s="20">
        <v>375000</v>
      </c>
      <c r="L896" s="20">
        <v>3844</v>
      </c>
      <c r="M896" s="20">
        <v>370</v>
      </c>
      <c r="W896" s="20">
        <f t="shared" si="42"/>
        <v>392222</v>
      </c>
      <c r="X896" s="36">
        <v>-66038</v>
      </c>
      <c r="Y896" s="36">
        <v>-298544</v>
      </c>
      <c r="Z896" s="36">
        <v>0</v>
      </c>
      <c r="AA896" s="36">
        <v>-3851</v>
      </c>
      <c r="AB896" s="36"/>
      <c r="AC896" s="36"/>
      <c r="AD896" s="36">
        <v>0</v>
      </c>
      <c r="AE896" s="36"/>
      <c r="AF896" s="36"/>
      <c r="AG896" s="36"/>
      <c r="AH896" s="36"/>
      <c r="AI896" s="20">
        <f t="shared" si="43"/>
        <v>-368433</v>
      </c>
      <c r="AJ896" s="20">
        <f t="shared" si="44"/>
        <v>23789</v>
      </c>
    </row>
    <row r="897" spans="1:36" x14ac:dyDescent="0.2">
      <c r="A897" s="17" t="s">
        <v>5491</v>
      </c>
      <c r="B897" s="17">
        <v>42011</v>
      </c>
      <c r="C897" s="20">
        <v>0</v>
      </c>
      <c r="D897" s="20">
        <v>2298</v>
      </c>
      <c r="E897" s="20">
        <v>2298</v>
      </c>
      <c r="F897" s="20">
        <v>0</v>
      </c>
      <c r="I897" s="20">
        <v>10763</v>
      </c>
      <c r="K897" s="20">
        <v>375000</v>
      </c>
      <c r="L897" s="20">
        <v>3971</v>
      </c>
      <c r="M897" s="20">
        <v>370</v>
      </c>
      <c r="W897" s="20">
        <f t="shared" si="42"/>
        <v>392402</v>
      </c>
      <c r="X897" s="36">
        <v>-64454</v>
      </c>
      <c r="Y897" s="36">
        <v>-301237</v>
      </c>
      <c r="Z897" s="36">
        <v>0</v>
      </c>
      <c r="AA897" s="36">
        <v>-3980</v>
      </c>
      <c r="AB897" s="36"/>
      <c r="AC897" s="36"/>
      <c r="AD897" s="36">
        <v>0</v>
      </c>
      <c r="AE897" s="36"/>
      <c r="AF897" s="36"/>
      <c r="AG897" s="36"/>
      <c r="AH897" s="36"/>
      <c r="AI897" s="20">
        <f t="shared" si="43"/>
        <v>-369671</v>
      </c>
      <c r="AJ897" s="20">
        <f t="shared" si="44"/>
        <v>22731</v>
      </c>
    </row>
    <row r="898" spans="1:36" x14ac:dyDescent="0.2">
      <c r="A898" s="17" t="s">
        <v>5492</v>
      </c>
      <c r="B898" s="17">
        <v>42018</v>
      </c>
      <c r="C898" s="20">
        <v>0</v>
      </c>
      <c r="D898" s="20">
        <v>2339</v>
      </c>
      <c r="E898" s="20">
        <v>2339</v>
      </c>
      <c r="F898" s="20">
        <v>0</v>
      </c>
      <c r="I898" s="20">
        <v>10795</v>
      </c>
      <c r="K898" s="20">
        <v>375000</v>
      </c>
      <c r="L898" s="20">
        <v>3945</v>
      </c>
      <c r="M898" s="20">
        <v>370</v>
      </c>
      <c r="W898" s="20">
        <f t="shared" si="42"/>
        <v>392449</v>
      </c>
      <c r="X898" s="36">
        <v>-63275</v>
      </c>
      <c r="Y898" s="36">
        <v>-303304</v>
      </c>
      <c r="Z898" s="36">
        <v>0</v>
      </c>
      <c r="AA898" s="36">
        <v>-3954</v>
      </c>
      <c r="AB898" s="36"/>
      <c r="AC898" s="36"/>
      <c r="AD898" s="36">
        <v>0</v>
      </c>
      <c r="AE898" s="36"/>
      <c r="AF898" s="36"/>
      <c r="AG898" s="36"/>
      <c r="AH898" s="36"/>
      <c r="AI898" s="20">
        <f t="shared" si="43"/>
        <v>-370533</v>
      </c>
      <c r="AJ898" s="20">
        <f t="shared" si="44"/>
        <v>21916</v>
      </c>
    </row>
    <row r="899" spans="1:36" x14ac:dyDescent="0.2">
      <c r="A899" s="17" t="s">
        <v>5493</v>
      </c>
      <c r="B899" s="17">
        <v>42025</v>
      </c>
      <c r="C899" s="20">
        <v>0</v>
      </c>
      <c r="D899" s="20">
        <v>2339</v>
      </c>
      <c r="E899" s="20">
        <v>2339</v>
      </c>
      <c r="F899" s="20">
        <v>0</v>
      </c>
      <c r="I899" s="20">
        <v>10856</v>
      </c>
      <c r="K899" s="20">
        <v>375000</v>
      </c>
      <c r="L899" s="20">
        <v>3973</v>
      </c>
      <c r="M899" s="20">
        <v>370</v>
      </c>
      <c r="W899" s="20">
        <f t="shared" si="42"/>
        <v>392538</v>
      </c>
      <c r="X899" s="36">
        <v>-62905</v>
      </c>
      <c r="Y899" s="36">
        <v>-304769</v>
      </c>
      <c r="Z899" s="36">
        <v>0</v>
      </c>
      <c r="AA899" s="36">
        <v>-3981</v>
      </c>
      <c r="AB899" s="36"/>
      <c r="AC899" s="36"/>
      <c r="AD899" s="36">
        <v>0</v>
      </c>
      <c r="AE899" s="36"/>
      <c r="AF899" s="36"/>
      <c r="AG899" s="36"/>
      <c r="AH899" s="36"/>
      <c r="AI899" s="20">
        <f t="shared" si="43"/>
        <v>-371655</v>
      </c>
      <c r="AJ899" s="20">
        <f t="shared" si="44"/>
        <v>20883</v>
      </c>
    </row>
    <row r="900" spans="1:36" x14ac:dyDescent="0.2">
      <c r="A900" s="17" t="s">
        <v>5494</v>
      </c>
      <c r="B900" s="17">
        <v>42032</v>
      </c>
      <c r="C900" s="20">
        <v>0</v>
      </c>
      <c r="D900" s="20">
        <v>2339</v>
      </c>
      <c r="E900" s="20">
        <v>2339</v>
      </c>
      <c r="F900" s="20">
        <v>0</v>
      </c>
      <c r="I900" s="20">
        <v>10863</v>
      </c>
      <c r="K900" s="20">
        <v>375000</v>
      </c>
      <c r="L900" s="20">
        <v>3954</v>
      </c>
      <c r="M900" s="20">
        <v>370</v>
      </c>
      <c r="W900" s="20">
        <f t="shared" si="42"/>
        <v>392526</v>
      </c>
      <c r="X900" s="36">
        <v>-62941</v>
      </c>
      <c r="Y900" s="36">
        <v>-304983</v>
      </c>
      <c r="Z900" s="36">
        <v>0</v>
      </c>
      <c r="AA900" s="36">
        <v>-3961</v>
      </c>
      <c r="AB900" s="36"/>
      <c r="AC900" s="36"/>
      <c r="AD900" s="36">
        <v>0</v>
      </c>
      <c r="AE900" s="36"/>
      <c r="AF900" s="36"/>
      <c r="AG900" s="36"/>
      <c r="AH900" s="36"/>
      <c r="AI900" s="20">
        <f t="shared" si="43"/>
        <v>-371885</v>
      </c>
      <c r="AJ900" s="20">
        <f t="shared" si="44"/>
        <v>20641</v>
      </c>
    </row>
    <row r="901" spans="1:36" x14ac:dyDescent="0.2">
      <c r="A901" s="17" t="s">
        <v>5495</v>
      </c>
      <c r="B901" s="17">
        <v>42039</v>
      </c>
      <c r="C901" s="20">
        <v>0</v>
      </c>
      <c r="D901" s="20">
        <v>2339</v>
      </c>
      <c r="E901" s="20">
        <v>2339</v>
      </c>
      <c r="F901" s="20">
        <v>0</v>
      </c>
      <c r="I901" s="20">
        <v>10839</v>
      </c>
      <c r="K901" s="20">
        <v>375000</v>
      </c>
      <c r="L901" s="20">
        <v>3945</v>
      </c>
      <c r="M901" s="20">
        <v>370</v>
      </c>
      <c r="W901" s="20">
        <f t="shared" si="42"/>
        <v>392493</v>
      </c>
      <c r="X901" s="36">
        <v>-63282</v>
      </c>
      <c r="Y901" s="36">
        <v>-306174</v>
      </c>
      <c r="Z901" s="36">
        <v>0</v>
      </c>
      <c r="AA901" s="36">
        <v>-3951</v>
      </c>
      <c r="AB901" s="36"/>
      <c r="AC901" s="36"/>
      <c r="AD901" s="36">
        <v>0</v>
      </c>
      <c r="AE901" s="36"/>
      <c r="AF901" s="36"/>
      <c r="AG901" s="36"/>
      <c r="AH901" s="36"/>
      <c r="AI901" s="20">
        <f t="shared" si="43"/>
        <v>-373407</v>
      </c>
      <c r="AJ901" s="20">
        <f t="shared" si="44"/>
        <v>19086</v>
      </c>
    </row>
    <row r="902" spans="1:36" x14ac:dyDescent="0.2">
      <c r="A902" s="17" t="s">
        <v>5496</v>
      </c>
      <c r="B902" s="17">
        <v>42046</v>
      </c>
      <c r="C902" s="20">
        <v>0</v>
      </c>
      <c r="D902" s="20">
        <v>2339</v>
      </c>
      <c r="E902" s="20">
        <v>2339</v>
      </c>
      <c r="F902" s="20">
        <v>0</v>
      </c>
      <c r="I902" s="20">
        <v>10791</v>
      </c>
      <c r="K902" s="20">
        <v>375000</v>
      </c>
      <c r="L902" s="20">
        <v>3927</v>
      </c>
      <c r="M902" s="20">
        <v>370</v>
      </c>
      <c r="W902" s="20">
        <f t="shared" si="42"/>
        <v>392427</v>
      </c>
      <c r="X902" s="36">
        <v>-63284</v>
      </c>
      <c r="Y902" s="36">
        <v>-306302</v>
      </c>
      <c r="Z902" s="36">
        <v>0</v>
      </c>
      <c r="AA902" s="36">
        <v>-3933</v>
      </c>
      <c r="AB902" s="36"/>
      <c r="AC902" s="36"/>
      <c r="AD902" s="36">
        <v>0</v>
      </c>
      <c r="AE902" s="36"/>
      <c r="AF902" s="36"/>
      <c r="AG902" s="36"/>
      <c r="AH902" s="36"/>
      <c r="AI902" s="20">
        <f t="shared" si="43"/>
        <v>-373519</v>
      </c>
      <c r="AJ902" s="20">
        <f t="shared" si="44"/>
        <v>18908</v>
      </c>
    </row>
    <row r="903" spans="1:36" x14ac:dyDescent="0.2">
      <c r="A903" s="17" t="s">
        <v>5497</v>
      </c>
      <c r="B903" s="17">
        <v>42053</v>
      </c>
      <c r="C903" s="20">
        <v>0</v>
      </c>
      <c r="D903" s="20">
        <v>2994</v>
      </c>
      <c r="E903" s="20">
        <v>2994</v>
      </c>
      <c r="F903" s="20">
        <v>0</v>
      </c>
      <c r="I903" s="20">
        <v>10784</v>
      </c>
      <c r="K903" s="20">
        <v>375000</v>
      </c>
      <c r="L903" s="20">
        <v>3886</v>
      </c>
      <c r="M903" s="20">
        <v>370</v>
      </c>
      <c r="W903" s="20">
        <f t="shared" si="42"/>
        <v>393034</v>
      </c>
      <c r="X903" s="36">
        <v>-63008</v>
      </c>
      <c r="Y903" s="36">
        <v>-307311</v>
      </c>
      <c r="Z903" s="36">
        <v>0</v>
      </c>
      <c r="AA903" s="36">
        <v>-3891</v>
      </c>
      <c r="AB903" s="36"/>
      <c r="AC903" s="36"/>
      <c r="AD903" s="36">
        <v>0</v>
      </c>
      <c r="AE903" s="36"/>
      <c r="AF903" s="36"/>
      <c r="AG903" s="36"/>
      <c r="AH903" s="36"/>
      <c r="AI903" s="20">
        <f t="shared" si="43"/>
        <v>-374210</v>
      </c>
      <c r="AJ903" s="20">
        <f t="shared" si="44"/>
        <v>18824</v>
      </c>
    </row>
    <row r="904" spans="1:36" x14ac:dyDescent="0.2">
      <c r="A904" s="17" t="s">
        <v>5498</v>
      </c>
      <c r="B904" s="17">
        <v>42060</v>
      </c>
      <c r="C904" s="20">
        <v>0</v>
      </c>
      <c r="D904" s="20">
        <v>2994</v>
      </c>
      <c r="E904" s="20">
        <v>2994</v>
      </c>
      <c r="F904" s="20">
        <v>0</v>
      </c>
      <c r="I904" s="20">
        <v>10810</v>
      </c>
      <c r="K904" s="20">
        <v>375000</v>
      </c>
      <c r="L904" s="20">
        <v>3869</v>
      </c>
      <c r="M904" s="20">
        <v>370</v>
      </c>
      <c r="W904" s="20">
        <f t="shared" si="42"/>
        <v>393043</v>
      </c>
      <c r="X904" s="36">
        <v>-63309</v>
      </c>
      <c r="Y904" s="36">
        <v>-307017</v>
      </c>
      <c r="Z904" s="36">
        <v>0</v>
      </c>
      <c r="AA904" s="36">
        <v>-3875</v>
      </c>
      <c r="AB904" s="36"/>
      <c r="AC904" s="36"/>
      <c r="AD904" s="36">
        <v>0</v>
      </c>
      <c r="AE904" s="36"/>
      <c r="AF904" s="36"/>
      <c r="AG904" s="36"/>
      <c r="AH904" s="36"/>
      <c r="AI904" s="20">
        <f t="shared" si="43"/>
        <v>-374201</v>
      </c>
      <c r="AJ904" s="20">
        <f t="shared" si="44"/>
        <v>18842</v>
      </c>
    </row>
    <row r="905" spans="1:36" x14ac:dyDescent="0.2">
      <c r="A905" s="17" t="s">
        <v>5499</v>
      </c>
      <c r="B905" s="17">
        <v>42067</v>
      </c>
      <c r="C905" s="20">
        <v>0</v>
      </c>
      <c r="D905" s="20">
        <v>2994</v>
      </c>
      <c r="E905" s="20">
        <v>2994</v>
      </c>
      <c r="F905" s="20">
        <v>0</v>
      </c>
      <c r="I905" s="20">
        <v>10747</v>
      </c>
      <c r="K905" s="20">
        <v>375000</v>
      </c>
      <c r="L905" s="20">
        <v>3931</v>
      </c>
      <c r="M905" s="20">
        <v>370</v>
      </c>
      <c r="W905" s="20">
        <f t="shared" si="42"/>
        <v>393042</v>
      </c>
      <c r="X905" s="36">
        <v>-63584</v>
      </c>
      <c r="Y905" s="36">
        <v>-306862</v>
      </c>
      <c r="Z905" s="36">
        <v>0</v>
      </c>
      <c r="AA905" s="36">
        <v>-3935</v>
      </c>
      <c r="AB905" s="36"/>
      <c r="AC905" s="36"/>
      <c r="AD905" s="36">
        <v>0</v>
      </c>
      <c r="AE905" s="36"/>
      <c r="AF905" s="36"/>
      <c r="AG905" s="36"/>
      <c r="AH905" s="36"/>
      <c r="AI905" s="20">
        <f t="shared" si="43"/>
        <v>-374381</v>
      </c>
      <c r="AJ905" s="20">
        <f t="shared" si="44"/>
        <v>18661</v>
      </c>
    </row>
    <row r="906" spans="1:36" x14ac:dyDescent="0.2">
      <c r="A906" s="17" t="s">
        <v>5500</v>
      </c>
      <c r="B906" s="17">
        <v>42074</v>
      </c>
      <c r="C906" s="20">
        <v>0</v>
      </c>
      <c r="D906" s="20">
        <v>2994</v>
      </c>
      <c r="E906" s="20">
        <v>2994</v>
      </c>
      <c r="F906" s="20">
        <v>0</v>
      </c>
      <c r="I906" s="20">
        <v>10701</v>
      </c>
      <c r="K906" s="20">
        <v>375000</v>
      </c>
      <c r="L906" s="20">
        <v>3991</v>
      </c>
      <c r="M906" s="20">
        <v>370</v>
      </c>
      <c r="W906" s="20">
        <f t="shared" si="42"/>
        <v>393056</v>
      </c>
      <c r="X906" s="36">
        <v>-63691</v>
      </c>
      <c r="Y906" s="36">
        <v>-303217</v>
      </c>
      <c r="Z906" s="36">
        <v>0</v>
      </c>
      <c r="AA906" s="36">
        <v>-4004</v>
      </c>
      <c r="AB906" s="36"/>
      <c r="AC906" s="36"/>
      <c r="AD906" s="36">
        <v>0</v>
      </c>
      <c r="AE906" s="36"/>
      <c r="AF906" s="36"/>
      <c r="AG906" s="36"/>
      <c r="AH906" s="36"/>
      <c r="AI906" s="20">
        <f t="shared" si="43"/>
        <v>-370912</v>
      </c>
      <c r="AJ906" s="20">
        <f t="shared" si="44"/>
        <v>22144</v>
      </c>
    </row>
    <row r="907" spans="1:36" x14ac:dyDescent="0.2">
      <c r="A907" s="17" t="s">
        <v>5501</v>
      </c>
      <c r="B907" s="17">
        <v>42081</v>
      </c>
      <c r="C907" s="20">
        <v>0</v>
      </c>
      <c r="D907" s="20">
        <v>5180</v>
      </c>
      <c r="E907" s="20">
        <v>5180</v>
      </c>
      <c r="F907" s="20">
        <v>0</v>
      </c>
      <c r="I907" s="20">
        <v>10826</v>
      </c>
      <c r="K907" s="20">
        <v>375000</v>
      </c>
      <c r="L907" s="20">
        <v>4011</v>
      </c>
      <c r="M907" s="20">
        <v>370</v>
      </c>
      <c r="W907" s="20">
        <f t="shared" si="42"/>
        <v>395387</v>
      </c>
      <c r="X907" s="36">
        <v>-63715</v>
      </c>
      <c r="Y907" s="36">
        <v>-304713</v>
      </c>
      <c r="Z907" s="36">
        <v>0</v>
      </c>
      <c r="AA907" s="36">
        <v>-4020</v>
      </c>
      <c r="AB907" s="36"/>
      <c r="AC907" s="36"/>
      <c r="AD907" s="36">
        <v>0</v>
      </c>
      <c r="AE907" s="36"/>
      <c r="AF907" s="36"/>
      <c r="AG907" s="36"/>
      <c r="AH907" s="36"/>
      <c r="AI907" s="20">
        <f t="shared" si="43"/>
        <v>-372448</v>
      </c>
      <c r="AJ907" s="20">
        <f t="shared" si="44"/>
        <v>22939</v>
      </c>
    </row>
    <row r="908" spans="1:36" x14ac:dyDescent="0.2">
      <c r="A908" s="17" t="s">
        <v>5502</v>
      </c>
      <c r="B908" s="17">
        <v>42088</v>
      </c>
      <c r="C908" s="20">
        <v>0</v>
      </c>
      <c r="D908" s="20">
        <v>5180</v>
      </c>
      <c r="E908" s="20">
        <v>5180</v>
      </c>
      <c r="F908" s="20">
        <v>0</v>
      </c>
      <c r="I908" s="20">
        <v>10869</v>
      </c>
      <c r="K908" s="20">
        <v>375000</v>
      </c>
      <c r="L908" s="20">
        <v>4007</v>
      </c>
      <c r="M908" s="20">
        <v>370</v>
      </c>
      <c r="W908" s="20">
        <f t="shared" si="42"/>
        <v>395426</v>
      </c>
      <c r="X908" s="36">
        <v>-64104</v>
      </c>
      <c r="Y908" s="36">
        <v>-305656</v>
      </c>
      <c r="Z908" s="36">
        <v>0</v>
      </c>
      <c r="AA908" s="36">
        <v>-4020</v>
      </c>
      <c r="AB908" s="36"/>
      <c r="AC908" s="36"/>
      <c r="AD908" s="36">
        <v>0</v>
      </c>
      <c r="AE908" s="36"/>
      <c r="AF908" s="36"/>
      <c r="AG908" s="36"/>
      <c r="AH908" s="36"/>
      <c r="AI908" s="20">
        <f t="shared" si="43"/>
        <v>-373780</v>
      </c>
      <c r="AJ908" s="20">
        <f t="shared" si="44"/>
        <v>21646</v>
      </c>
    </row>
    <row r="909" spans="1:36" x14ac:dyDescent="0.2">
      <c r="A909" s="17" t="s">
        <v>5503</v>
      </c>
      <c r="B909" s="17">
        <v>42095</v>
      </c>
      <c r="C909" s="20">
        <v>0</v>
      </c>
      <c r="D909" s="20">
        <v>5180</v>
      </c>
      <c r="E909" s="20">
        <v>5180</v>
      </c>
      <c r="F909" s="20">
        <v>0</v>
      </c>
      <c r="I909" s="20">
        <v>10852</v>
      </c>
      <c r="K909" s="20">
        <v>375000</v>
      </c>
      <c r="L909" s="20">
        <v>4057</v>
      </c>
      <c r="M909" s="20">
        <v>370</v>
      </c>
      <c r="W909" s="20">
        <f t="shared" si="42"/>
        <v>395459</v>
      </c>
      <c r="X909" s="36">
        <v>-65030</v>
      </c>
      <c r="Y909" s="36">
        <v>-304265</v>
      </c>
      <c r="Z909" s="36">
        <v>0</v>
      </c>
      <c r="AA909" s="36">
        <v>-4068</v>
      </c>
      <c r="AB909" s="36"/>
      <c r="AC909" s="36"/>
      <c r="AD909" s="36">
        <v>0</v>
      </c>
      <c r="AE909" s="36"/>
      <c r="AF909" s="36"/>
      <c r="AG909" s="36"/>
      <c r="AH909" s="36"/>
      <c r="AI909" s="20">
        <f t="shared" si="43"/>
        <v>-373363</v>
      </c>
      <c r="AJ909" s="20">
        <f t="shared" si="44"/>
        <v>22096</v>
      </c>
    </row>
    <row r="910" spans="1:36" x14ac:dyDescent="0.2">
      <c r="A910" s="17" t="s">
        <v>5504</v>
      </c>
      <c r="B910" s="17">
        <v>42102</v>
      </c>
      <c r="C910" s="20">
        <v>0</v>
      </c>
      <c r="D910" s="20">
        <v>5180</v>
      </c>
      <c r="E910" s="20">
        <v>5180</v>
      </c>
      <c r="F910" s="20">
        <v>0</v>
      </c>
      <c r="I910" s="20">
        <v>10838</v>
      </c>
      <c r="K910" s="20">
        <v>375000</v>
      </c>
      <c r="L910" s="20">
        <v>4025</v>
      </c>
      <c r="M910" s="20">
        <v>370</v>
      </c>
      <c r="W910" s="20">
        <f t="shared" si="42"/>
        <v>395413</v>
      </c>
      <c r="X910" s="36">
        <v>-65256</v>
      </c>
      <c r="Y910" s="36">
        <v>-304285</v>
      </c>
      <c r="Z910" s="36">
        <v>0</v>
      </c>
      <c r="AA910" s="36">
        <v>-4042</v>
      </c>
      <c r="AB910" s="36"/>
      <c r="AC910" s="36"/>
      <c r="AD910" s="36">
        <v>0</v>
      </c>
      <c r="AE910" s="36"/>
      <c r="AF910" s="36"/>
      <c r="AG910" s="36"/>
      <c r="AH910" s="36"/>
      <c r="AI910" s="20">
        <f t="shared" si="43"/>
        <v>-373583</v>
      </c>
      <c r="AJ910" s="20">
        <f t="shared" si="44"/>
        <v>21830</v>
      </c>
    </row>
    <row r="911" spans="1:36" x14ac:dyDescent="0.2">
      <c r="A911" s="17" t="s">
        <v>5505</v>
      </c>
      <c r="B911" s="17">
        <v>42109</v>
      </c>
      <c r="C911" s="20">
        <v>0</v>
      </c>
      <c r="D911" s="20">
        <v>8412</v>
      </c>
      <c r="E911" s="20">
        <v>8412</v>
      </c>
      <c r="F911" s="20">
        <v>0</v>
      </c>
      <c r="I911" s="20">
        <v>10848</v>
      </c>
      <c r="K911" s="20">
        <v>375000</v>
      </c>
      <c r="L911" s="20">
        <v>4053</v>
      </c>
      <c r="M911" s="20">
        <v>370</v>
      </c>
      <c r="W911" s="20">
        <f t="shared" si="42"/>
        <v>398683</v>
      </c>
      <c r="X911" s="36">
        <v>-64494</v>
      </c>
      <c r="Y911" s="36">
        <v>-309000</v>
      </c>
      <c r="Z911" s="36">
        <v>0</v>
      </c>
      <c r="AA911" s="36">
        <v>-4069</v>
      </c>
      <c r="AB911" s="36"/>
      <c r="AC911" s="36"/>
      <c r="AD911" s="36">
        <v>0</v>
      </c>
      <c r="AE911" s="36"/>
      <c r="AF911" s="36"/>
      <c r="AG911" s="36"/>
      <c r="AH911" s="36"/>
      <c r="AI911" s="20">
        <f t="shared" si="43"/>
        <v>-377563</v>
      </c>
      <c r="AJ911" s="20">
        <f t="shared" si="44"/>
        <v>21120</v>
      </c>
    </row>
    <row r="912" spans="1:36" x14ac:dyDescent="0.2">
      <c r="A912" s="17" t="s">
        <v>5506</v>
      </c>
      <c r="B912" s="17">
        <v>42116</v>
      </c>
      <c r="C912" s="20">
        <v>0</v>
      </c>
      <c r="D912" s="20">
        <v>8412</v>
      </c>
      <c r="E912" s="20">
        <v>8412</v>
      </c>
      <c r="F912" s="20">
        <v>0</v>
      </c>
      <c r="I912" s="20">
        <v>10818</v>
      </c>
      <c r="K912" s="20">
        <v>375000</v>
      </c>
      <c r="L912" s="20">
        <v>3994</v>
      </c>
      <c r="M912" s="20">
        <v>370</v>
      </c>
      <c r="W912" s="20">
        <f t="shared" si="42"/>
        <v>398594</v>
      </c>
      <c r="X912" s="36">
        <v>-64364</v>
      </c>
      <c r="Y912" s="36">
        <v>-309803</v>
      </c>
      <c r="Z912" s="36">
        <v>0</v>
      </c>
      <c r="AA912" s="36">
        <v>-4009</v>
      </c>
      <c r="AB912" s="36"/>
      <c r="AC912" s="36"/>
      <c r="AD912" s="36">
        <v>0</v>
      </c>
      <c r="AE912" s="36"/>
      <c r="AF912" s="36"/>
      <c r="AG912" s="36"/>
      <c r="AH912" s="36"/>
      <c r="AI912" s="20">
        <f t="shared" si="43"/>
        <v>-378176</v>
      </c>
      <c r="AJ912" s="20">
        <f t="shared" si="44"/>
        <v>20418</v>
      </c>
    </row>
    <row r="913" spans="1:36" x14ac:dyDescent="0.2">
      <c r="A913" s="17" t="s">
        <v>5507</v>
      </c>
      <c r="B913" s="17">
        <v>42123</v>
      </c>
      <c r="C913" s="20">
        <v>0</v>
      </c>
      <c r="D913" s="20">
        <v>8412</v>
      </c>
      <c r="E913" s="20">
        <v>8412</v>
      </c>
      <c r="F913" s="20">
        <v>0</v>
      </c>
      <c r="I913" s="20">
        <v>10780</v>
      </c>
      <c r="K913" s="20">
        <v>375000</v>
      </c>
      <c r="L913" s="20">
        <v>3883</v>
      </c>
      <c r="M913" s="20">
        <v>370</v>
      </c>
      <c r="W913" s="20">
        <f t="shared" si="42"/>
        <v>398445</v>
      </c>
      <c r="X913" s="36">
        <v>-64809</v>
      </c>
      <c r="Y913" s="36">
        <v>-312707</v>
      </c>
      <c r="Z913" s="36">
        <v>0</v>
      </c>
      <c r="AA913" s="36">
        <v>-3897</v>
      </c>
      <c r="AB913" s="36"/>
      <c r="AC913" s="36"/>
      <c r="AD913" s="36">
        <v>0</v>
      </c>
      <c r="AE913" s="36"/>
      <c r="AF913" s="36"/>
      <c r="AG913" s="36"/>
      <c r="AH913" s="36"/>
      <c r="AI913" s="20">
        <f t="shared" si="43"/>
        <v>-381413</v>
      </c>
      <c r="AJ913" s="20">
        <f t="shared" si="44"/>
        <v>17032</v>
      </c>
    </row>
    <row r="914" spans="1:36" x14ac:dyDescent="0.2">
      <c r="A914" s="17" t="s">
        <v>5508</v>
      </c>
      <c r="B914" s="17">
        <v>42130</v>
      </c>
      <c r="C914" s="20">
        <v>0</v>
      </c>
      <c r="D914" s="20">
        <v>8412</v>
      </c>
      <c r="E914" s="20">
        <v>8412</v>
      </c>
      <c r="F914" s="20">
        <v>0</v>
      </c>
      <c r="I914" s="20">
        <v>10739</v>
      </c>
      <c r="K914" s="20">
        <v>375000</v>
      </c>
      <c r="L914" s="20">
        <v>3934</v>
      </c>
      <c r="M914" s="20">
        <v>370</v>
      </c>
      <c r="W914" s="20">
        <f t="shared" si="42"/>
        <v>398455</v>
      </c>
      <c r="X914" s="36">
        <v>-65415</v>
      </c>
      <c r="Y914" s="36">
        <v>-312342</v>
      </c>
      <c r="Z914" s="36">
        <v>0</v>
      </c>
      <c r="AA914" s="36">
        <v>-3948</v>
      </c>
      <c r="AB914" s="36"/>
      <c r="AC914" s="36"/>
      <c r="AD914" s="36">
        <v>0</v>
      </c>
      <c r="AE914" s="36"/>
      <c r="AF914" s="36"/>
      <c r="AG914" s="36"/>
      <c r="AH914" s="36"/>
      <c r="AI914" s="20">
        <f t="shared" si="43"/>
        <v>-381705</v>
      </c>
      <c r="AJ914" s="20">
        <f t="shared" si="44"/>
        <v>16750</v>
      </c>
    </row>
    <row r="915" spans="1:36" x14ac:dyDescent="0.2">
      <c r="A915" s="17" t="s">
        <v>5509</v>
      </c>
      <c r="B915" s="17">
        <v>42137</v>
      </c>
      <c r="C915" s="20">
        <v>0</v>
      </c>
      <c r="D915" s="20">
        <v>8412</v>
      </c>
      <c r="E915" s="20">
        <v>8412</v>
      </c>
      <c r="F915" s="20">
        <v>0</v>
      </c>
      <c r="I915" s="20">
        <v>10738</v>
      </c>
      <c r="K915" s="20">
        <v>375000</v>
      </c>
      <c r="L915" s="20">
        <v>3820</v>
      </c>
      <c r="M915" s="20">
        <v>370</v>
      </c>
      <c r="W915" s="20">
        <f t="shared" si="42"/>
        <v>398340</v>
      </c>
      <c r="X915" s="36">
        <v>-64529</v>
      </c>
      <c r="Y915" s="36">
        <v>-313855</v>
      </c>
      <c r="Z915" s="36">
        <v>0</v>
      </c>
      <c r="AA915" s="36">
        <v>-3831</v>
      </c>
      <c r="AB915" s="36"/>
      <c r="AC915" s="36"/>
      <c r="AD915" s="36">
        <v>0</v>
      </c>
      <c r="AE915" s="36"/>
      <c r="AF915" s="36"/>
      <c r="AG915" s="36"/>
      <c r="AH915" s="36"/>
      <c r="AI915" s="20">
        <f t="shared" si="43"/>
        <v>-382215</v>
      </c>
      <c r="AJ915" s="20">
        <f t="shared" si="44"/>
        <v>16125</v>
      </c>
    </row>
    <row r="916" spans="1:36" x14ac:dyDescent="0.2">
      <c r="A916" s="17" t="s">
        <v>5510</v>
      </c>
      <c r="B916" s="17">
        <v>42144</v>
      </c>
      <c r="C916" s="20">
        <v>0</v>
      </c>
      <c r="D916" s="20">
        <v>12565</v>
      </c>
      <c r="E916" s="20">
        <v>12565</v>
      </c>
      <c r="F916" s="20">
        <v>0</v>
      </c>
      <c r="I916" s="20">
        <v>10727</v>
      </c>
      <c r="K916" s="20">
        <v>375000</v>
      </c>
      <c r="L916" s="20">
        <v>3869</v>
      </c>
      <c r="M916" s="20">
        <v>370</v>
      </c>
      <c r="W916" s="20">
        <f t="shared" si="42"/>
        <v>402531</v>
      </c>
      <c r="X916" s="36">
        <v>-64675</v>
      </c>
      <c r="Y916" s="36">
        <v>-318172</v>
      </c>
      <c r="Z916" s="36">
        <v>0</v>
      </c>
      <c r="AA916" s="36">
        <v>-3878</v>
      </c>
      <c r="AB916" s="36"/>
      <c r="AC916" s="36"/>
      <c r="AD916" s="36">
        <v>0</v>
      </c>
      <c r="AE916" s="36"/>
      <c r="AF916" s="36"/>
      <c r="AG916" s="36"/>
      <c r="AH916" s="36"/>
      <c r="AI916" s="20">
        <f t="shared" si="43"/>
        <v>-386725</v>
      </c>
      <c r="AJ916" s="20">
        <f t="shared" si="44"/>
        <v>15806</v>
      </c>
    </row>
    <row r="917" spans="1:36" x14ac:dyDescent="0.2">
      <c r="A917" s="17" t="s">
        <v>5511</v>
      </c>
      <c r="B917" s="17">
        <v>42151</v>
      </c>
      <c r="C917" s="20">
        <v>0</v>
      </c>
      <c r="D917" s="20">
        <v>12565</v>
      </c>
      <c r="E917" s="20">
        <v>12565</v>
      </c>
      <c r="F917" s="20">
        <v>0</v>
      </c>
      <c r="I917" s="20">
        <v>10752</v>
      </c>
      <c r="K917" s="20">
        <v>375000</v>
      </c>
      <c r="L917" s="20">
        <v>3918</v>
      </c>
      <c r="M917" s="20">
        <v>370</v>
      </c>
      <c r="W917" s="20">
        <f t="shared" si="42"/>
        <v>402605</v>
      </c>
      <c r="X917" s="36">
        <v>-65316</v>
      </c>
      <c r="Y917" s="36">
        <v>-317155</v>
      </c>
      <c r="Z917" s="36">
        <v>0</v>
      </c>
      <c r="AA917" s="36">
        <v>-3926</v>
      </c>
      <c r="AB917" s="36"/>
      <c r="AC917" s="36"/>
      <c r="AD917" s="36">
        <v>0</v>
      </c>
      <c r="AE917" s="36"/>
      <c r="AF917" s="36"/>
      <c r="AG917" s="36"/>
      <c r="AH917" s="36"/>
      <c r="AI917" s="20">
        <f t="shared" si="43"/>
        <v>-386397</v>
      </c>
      <c r="AJ917" s="20">
        <f t="shared" si="44"/>
        <v>16208</v>
      </c>
    </row>
    <row r="918" spans="1:36" x14ac:dyDescent="0.2">
      <c r="A918" s="17" t="s">
        <v>5512</v>
      </c>
      <c r="B918" s="17">
        <v>42158</v>
      </c>
      <c r="C918" s="20">
        <v>0</v>
      </c>
      <c r="D918" s="20">
        <v>12565</v>
      </c>
      <c r="E918" s="20">
        <v>12565</v>
      </c>
      <c r="F918" s="20">
        <v>0</v>
      </c>
      <c r="I918" s="20">
        <v>10663</v>
      </c>
      <c r="K918" s="20">
        <v>375000</v>
      </c>
      <c r="L918" s="20">
        <v>3916</v>
      </c>
      <c r="M918" s="20">
        <v>370</v>
      </c>
      <c r="W918" s="20">
        <f t="shared" si="42"/>
        <v>402514</v>
      </c>
      <c r="X918" s="36">
        <v>-65197</v>
      </c>
      <c r="Y918" s="36">
        <v>-316634</v>
      </c>
      <c r="Z918" s="36">
        <v>0</v>
      </c>
      <c r="AA918" s="36">
        <v>-3925</v>
      </c>
      <c r="AB918" s="36"/>
      <c r="AC918" s="36"/>
      <c r="AD918" s="36">
        <v>0</v>
      </c>
      <c r="AE918" s="36"/>
      <c r="AF918" s="36"/>
      <c r="AG918" s="36"/>
      <c r="AH918" s="36"/>
      <c r="AI918" s="20">
        <f t="shared" si="43"/>
        <v>-385756</v>
      </c>
      <c r="AJ918" s="20">
        <f t="shared" si="44"/>
        <v>16758</v>
      </c>
    </row>
    <row r="919" spans="1:36" x14ac:dyDescent="0.2">
      <c r="A919" s="17" t="s">
        <v>5513</v>
      </c>
      <c r="B919" s="17">
        <v>42165</v>
      </c>
      <c r="C919" s="20">
        <v>0</v>
      </c>
      <c r="D919" s="20">
        <v>12565</v>
      </c>
      <c r="E919" s="20">
        <v>12565</v>
      </c>
      <c r="F919" s="20">
        <v>0</v>
      </c>
      <c r="I919" s="20">
        <v>10608</v>
      </c>
      <c r="K919" s="20">
        <v>375000</v>
      </c>
      <c r="L919" s="20">
        <v>3862</v>
      </c>
      <c r="M919" s="20">
        <v>370</v>
      </c>
      <c r="W919" s="20">
        <f t="shared" si="42"/>
        <v>402405</v>
      </c>
      <c r="X919" s="36">
        <v>-65167</v>
      </c>
      <c r="Y919" s="36">
        <v>-314440</v>
      </c>
      <c r="Z919" s="36">
        <v>0</v>
      </c>
      <c r="AA919" s="36">
        <v>-3868</v>
      </c>
      <c r="AB919" s="36"/>
      <c r="AC919" s="36"/>
      <c r="AD919" s="36">
        <v>0</v>
      </c>
      <c r="AE919" s="36"/>
      <c r="AF919" s="36"/>
      <c r="AG919" s="36"/>
      <c r="AH919" s="36"/>
      <c r="AI919" s="20">
        <f t="shared" si="43"/>
        <v>-383475</v>
      </c>
      <c r="AJ919" s="20">
        <f t="shared" si="44"/>
        <v>18930</v>
      </c>
    </row>
    <row r="920" spans="1:36" x14ac:dyDescent="0.2">
      <c r="A920" s="17" t="s">
        <v>5514</v>
      </c>
      <c r="B920" s="17">
        <v>42172</v>
      </c>
      <c r="C920" s="20">
        <v>0</v>
      </c>
      <c r="D920" s="20">
        <v>13372</v>
      </c>
      <c r="E920" s="20">
        <v>13372</v>
      </c>
      <c r="F920" s="20">
        <v>0</v>
      </c>
      <c r="I920" s="20">
        <v>10629</v>
      </c>
      <c r="K920" s="20">
        <v>375000</v>
      </c>
      <c r="L920" s="20">
        <v>3820</v>
      </c>
      <c r="M920" s="20">
        <v>370</v>
      </c>
      <c r="W920" s="20">
        <f t="shared" si="42"/>
        <v>403191</v>
      </c>
      <c r="X920" s="36">
        <v>-65054</v>
      </c>
      <c r="Y920" s="36">
        <v>-315355</v>
      </c>
      <c r="Z920" s="36">
        <v>0</v>
      </c>
      <c r="AA920" s="36">
        <v>-3827</v>
      </c>
      <c r="AB920" s="36"/>
      <c r="AC920" s="36"/>
      <c r="AD920" s="36">
        <v>0</v>
      </c>
      <c r="AE920" s="36"/>
      <c r="AF920" s="36"/>
      <c r="AG920" s="36"/>
      <c r="AH920" s="36"/>
      <c r="AI920" s="20">
        <f t="shared" si="43"/>
        <v>-384236</v>
      </c>
      <c r="AJ920" s="20">
        <f t="shared" si="44"/>
        <v>18955</v>
      </c>
    </row>
    <row r="921" spans="1:36" x14ac:dyDescent="0.2">
      <c r="A921" s="17" t="s">
        <v>5515</v>
      </c>
      <c r="B921" s="17">
        <v>42179</v>
      </c>
      <c r="C921" s="20">
        <v>0</v>
      </c>
      <c r="D921" s="20">
        <v>13372</v>
      </c>
      <c r="E921" s="20">
        <v>13372</v>
      </c>
      <c r="F921" s="20">
        <v>0</v>
      </c>
      <c r="I921" s="20">
        <v>10607</v>
      </c>
      <c r="K921" s="20">
        <v>375000</v>
      </c>
      <c r="L921" s="20">
        <v>3824</v>
      </c>
      <c r="M921" s="20">
        <v>370</v>
      </c>
      <c r="W921" s="20">
        <f t="shared" si="42"/>
        <v>403173</v>
      </c>
      <c r="X921" s="36">
        <v>-65184</v>
      </c>
      <c r="Y921" s="36">
        <v>-315669</v>
      </c>
      <c r="Z921" s="36">
        <v>0</v>
      </c>
      <c r="AA921" s="36">
        <v>-3828</v>
      </c>
      <c r="AB921" s="36"/>
      <c r="AC921" s="36"/>
      <c r="AD921" s="36">
        <v>0</v>
      </c>
      <c r="AE921" s="36"/>
      <c r="AF921" s="36"/>
      <c r="AG921" s="36"/>
      <c r="AH921" s="36"/>
      <c r="AI921" s="20">
        <f t="shared" si="43"/>
        <v>-384681</v>
      </c>
      <c r="AJ921" s="20">
        <f t="shared" si="44"/>
        <v>18492</v>
      </c>
    </row>
    <row r="922" spans="1:36" x14ac:dyDescent="0.2">
      <c r="A922" s="17" t="s">
        <v>5516</v>
      </c>
      <c r="B922" s="17">
        <v>42186</v>
      </c>
      <c r="C922" s="20">
        <v>0</v>
      </c>
      <c r="D922" s="20">
        <v>13372</v>
      </c>
      <c r="E922" s="20">
        <v>13372</v>
      </c>
      <c r="F922" s="20">
        <v>0</v>
      </c>
      <c r="I922" s="20">
        <v>10641</v>
      </c>
      <c r="K922" s="20">
        <v>375000</v>
      </c>
      <c r="L922" s="20">
        <v>3846</v>
      </c>
      <c r="M922" s="20">
        <v>370</v>
      </c>
      <c r="W922" s="20">
        <f t="shared" si="42"/>
        <v>403229</v>
      </c>
      <c r="X922" s="36">
        <v>-65567</v>
      </c>
      <c r="Y922" s="36">
        <v>-314944</v>
      </c>
      <c r="Z922" s="36">
        <v>0</v>
      </c>
      <c r="AA922" s="36">
        <v>-3849</v>
      </c>
      <c r="AB922" s="36"/>
      <c r="AC922" s="36"/>
      <c r="AD922" s="36">
        <v>0</v>
      </c>
      <c r="AE922" s="36"/>
      <c r="AF922" s="36"/>
      <c r="AG922" s="36"/>
      <c r="AH922" s="36"/>
      <c r="AI922" s="20">
        <f t="shared" si="43"/>
        <v>-384360</v>
      </c>
      <c r="AJ922" s="20">
        <f t="shared" si="44"/>
        <v>18869</v>
      </c>
    </row>
    <row r="923" spans="1:36" x14ac:dyDescent="0.2">
      <c r="A923" s="17" t="s">
        <v>5517</v>
      </c>
      <c r="B923" s="17">
        <v>42193</v>
      </c>
      <c r="C923" s="20">
        <v>0</v>
      </c>
      <c r="D923" s="20">
        <v>13372</v>
      </c>
      <c r="E923" s="20">
        <v>13372</v>
      </c>
      <c r="F923" s="20">
        <v>0</v>
      </c>
      <c r="I923" s="20">
        <v>10698</v>
      </c>
      <c r="K923" s="20">
        <v>375000</v>
      </c>
      <c r="L923" s="20">
        <v>3924</v>
      </c>
      <c r="M923" s="20">
        <v>370</v>
      </c>
      <c r="W923" s="20">
        <f t="shared" si="42"/>
        <v>403364</v>
      </c>
      <c r="X923" s="36">
        <v>-65578</v>
      </c>
      <c r="Y923" s="36">
        <v>-314924</v>
      </c>
      <c r="Z923" s="36">
        <v>0</v>
      </c>
      <c r="AA923" s="36">
        <v>-3926</v>
      </c>
      <c r="AB923" s="36"/>
      <c r="AC923" s="36"/>
      <c r="AD923" s="36">
        <v>0</v>
      </c>
      <c r="AE923" s="36"/>
      <c r="AF923" s="36"/>
      <c r="AG923" s="36"/>
      <c r="AH923" s="36"/>
      <c r="AI923" s="20">
        <f t="shared" si="43"/>
        <v>-384428</v>
      </c>
      <c r="AJ923" s="20">
        <f t="shared" si="44"/>
        <v>18936</v>
      </c>
    </row>
    <row r="924" spans="1:36" x14ac:dyDescent="0.2">
      <c r="A924" s="17" t="s">
        <v>5518</v>
      </c>
      <c r="B924" s="17">
        <v>42200</v>
      </c>
      <c r="C924" s="20">
        <v>0</v>
      </c>
      <c r="D924" s="20">
        <v>15427</v>
      </c>
      <c r="E924" s="20">
        <v>15427</v>
      </c>
      <c r="F924" s="20">
        <v>0</v>
      </c>
      <c r="I924" s="20">
        <v>10625</v>
      </c>
      <c r="K924" s="20">
        <v>375000</v>
      </c>
      <c r="L924" s="20">
        <v>3850</v>
      </c>
      <c r="M924" s="20">
        <v>370</v>
      </c>
      <c r="W924" s="20">
        <f t="shared" si="42"/>
        <v>405272</v>
      </c>
      <c r="X924" s="36">
        <v>-65680</v>
      </c>
      <c r="Y924" s="36">
        <v>-316813</v>
      </c>
      <c r="Z924" s="36">
        <v>0</v>
      </c>
      <c r="AA924" s="36">
        <v>-3850</v>
      </c>
      <c r="AB924" s="36"/>
      <c r="AC924" s="36"/>
      <c r="AD924" s="36">
        <v>0</v>
      </c>
      <c r="AE924" s="36"/>
      <c r="AF924" s="36"/>
      <c r="AG924" s="36"/>
      <c r="AH924" s="36"/>
      <c r="AI924" s="20">
        <f t="shared" si="43"/>
        <v>-386343</v>
      </c>
      <c r="AJ924" s="20">
        <f t="shared" si="44"/>
        <v>18929</v>
      </c>
    </row>
    <row r="925" spans="1:36" x14ac:dyDescent="0.2">
      <c r="A925" s="17" t="s">
        <v>5519</v>
      </c>
      <c r="B925" s="17">
        <v>42207</v>
      </c>
      <c r="C925" s="20">
        <v>0</v>
      </c>
      <c r="D925" s="20">
        <v>15427</v>
      </c>
      <c r="E925" s="20">
        <v>15427</v>
      </c>
      <c r="F925" s="20">
        <v>0</v>
      </c>
      <c r="I925" s="20">
        <v>10684</v>
      </c>
      <c r="K925" s="20">
        <v>375000</v>
      </c>
      <c r="L925" s="20">
        <v>3848</v>
      </c>
      <c r="M925" s="20">
        <v>370</v>
      </c>
      <c r="W925" s="20">
        <f t="shared" si="42"/>
        <v>405329</v>
      </c>
      <c r="X925" s="36">
        <v>-66030</v>
      </c>
      <c r="Y925" s="36">
        <v>-317300</v>
      </c>
      <c r="Z925" s="36">
        <v>0</v>
      </c>
      <c r="AA925" s="36">
        <v>-3849</v>
      </c>
      <c r="AB925" s="36"/>
      <c r="AC925" s="36"/>
      <c r="AD925" s="36">
        <v>0</v>
      </c>
      <c r="AE925" s="36"/>
      <c r="AF925" s="36"/>
      <c r="AG925" s="36"/>
      <c r="AH925" s="36"/>
      <c r="AI925" s="20">
        <f t="shared" si="43"/>
        <v>-387179</v>
      </c>
      <c r="AJ925" s="20">
        <f t="shared" si="44"/>
        <v>18150</v>
      </c>
    </row>
    <row r="926" spans="1:36" x14ac:dyDescent="0.2">
      <c r="A926" s="17" t="s">
        <v>5520</v>
      </c>
      <c r="B926" s="17">
        <v>42214</v>
      </c>
      <c r="C926" s="20">
        <v>0</v>
      </c>
      <c r="D926" s="20">
        <v>15427</v>
      </c>
      <c r="E926" s="20">
        <v>15427</v>
      </c>
      <c r="F926" s="20">
        <v>0</v>
      </c>
      <c r="I926" s="20">
        <v>10713</v>
      </c>
      <c r="K926" s="20">
        <v>375000</v>
      </c>
      <c r="L926" s="20">
        <v>3846</v>
      </c>
      <c r="M926" s="20">
        <v>370</v>
      </c>
      <c r="W926" s="20">
        <f t="shared" si="42"/>
        <v>405356</v>
      </c>
      <c r="X926" s="36">
        <v>-66233</v>
      </c>
      <c r="Y926" s="36">
        <v>-317794</v>
      </c>
      <c r="Z926" s="36">
        <v>0</v>
      </c>
      <c r="AA926" s="36">
        <v>-3845</v>
      </c>
      <c r="AB926" s="36"/>
      <c r="AC926" s="36"/>
      <c r="AD926" s="36">
        <v>0</v>
      </c>
      <c r="AE926" s="36"/>
      <c r="AF926" s="36"/>
      <c r="AG926" s="36"/>
      <c r="AH926" s="36"/>
      <c r="AI926" s="20">
        <f t="shared" si="43"/>
        <v>-387872</v>
      </c>
      <c r="AJ926" s="20">
        <f t="shared" si="44"/>
        <v>17484</v>
      </c>
    </row>
    <row r="927" spans="1:36" x14ac:dyDescent="0.2">
      <c r="A927" s="17" t="s">
        <v>5521</v>
      </c>
      <c r="B927" s="17">
        <v>42221</v>
      </c>
      <c r="C927" s="20">
        <v>0</v>
      </c>
      <c r="D927" s="20">
        <v>15427</v>
      </c>
      <c r="E927" s="20">
        <v>15427</v>
      </c>
      <c r="F927" s="20">
        <v>0</v>
      </c>
      <c r="I927" s="20">
        <v>10717</v>
      </c>
      <c r="K927" s="20">
        <v>375000</v>
      </c>
      <c r="L927" s="20">
        <v>3855</v>
      </c>
      <c r="M927" s="20">
        <v>370</v>
      </c>
      <c r="W927" s="20">
        <f t="shared" si="42"/>
        <v>405369</v>
      </c>
      <c r="X927" s="36">
        <v>-66220</v>
      </c>
      <c r="Y927" s="36">
        <v>-316892</v>
      </c>
      <c r="Z927" s="36">
        <v>0</v>
      </c>
      <c r="AA927" s="36">
        <v>-3853</v>
      </c>
      <c r="AB927" s="36"/>
      <c r="AC927" s="36"/>
      <c r="AD927" s="36">
        <v>0</v>
      </c>
      <c r="AE927" s="36"/>
      <c r="AF927" s="36"/>
      <c r="AG927" s="36"/>
      <c r="AH927" s="36"/>
      <c r="AI927" s="20">
        <f t="shared" si="43"/>
        <v>-386965</v>
      </c>
      <c r="AJ927" s="20">
        <f t="shared" si="44"/>
        <v>18404</v>
      </c>
    </row>
    <row r="928" spans="1:36" x14ac:dyDescent="0.2">
      <c r="A928" s="17" t="s">
        <v>5522</v>
      </c>
      <c r="B928" s="17">
        <v>42228</v>
      </c>
      <c r="C928" s="20">
        <v>0</v>
      </c>
      <c r="D928" s="20">
        <v>15427</v>
      </c>
      <c r="E928" s="20">
        <v>15427</v>
      </c>
      <c r="F928" s="20">
        <v>0</v>
      </c>
      <c r="I928" s="20">
        <v>10778</v>
      </c>
      <c r="K928" s="20">
        <v>375000</v>
      </c>
      <c r="L928" s="20">
        <v>3854</v>
      </c>
      <c r="M928" s="20">
        <v>370</v>
      </c>
      <c r="W928" s="20">
        <f t="shared" si="42"/>
        <v>405429</v>
      </c>
      <c r="X928" s="36">
        <v>-66215</v>
      </c>
      <c r="Y928" s="36">
        <v>-316861</v>
      </c>
      <c r="Z928" s="36">
        <v>0</v>
      </c>
      <c r="AA928" s="36">
        <v>-3852</v>
      </c>
      <c r="AB928" s="36"/>
      <c r="AC928" s="36"/>
      <c r="AD928" s="36">
        <v>0</v>
      </c>
      <c r="AE928" s="36"/>
      <c r="AF928" s="36"/>
      <c r="AG928" s="36"/>
      <c r="AH928" s="36"/>
      <c r="AI928" s="20">
        <f t="shared" si="43"/>
        <v>-386928</v>
      </c>
      <c r="AJ928" s="20">
        <f t="shared" si="44"/>
        <v>18501</v>
      </c>
    </row>
    <row r="929" spans="1:36" x14ac:dyDescent="0.2">
      <c r="A929" s="17" t="s">
        <v>5523</v>
      </c>
      <c r="B929" s="17">
        <v>42235</v>
      </c>
      <c r="C929" s="20">
        <v>0</v>
      </c>
      <c r="D929" s="20">
        <v>16562</v>
      </c>
      <c r="E929" s="20">
        <v>16562</v>
      </c>
      <c r="F929" s="20">
        <v>0</v>
      </c>
      <c r="I929" s="20">
        <v>10786</v>
      </c>
      <c r="K929" s="20">
        <v>375000</v>
      </c>
      <c r="L929" s="20">
        <v>3850</v>
      </c>
      <c r="M929" s="20">
        <v>370</v>
      </c>
      <c r="W929" s="20">
        <f t="shared" si="42"/>
        <v>406568</v>
      </c>
      <c r="X929" s="36">
        <v>-66189</v>
      </c>
      <c r="Y929" s="36">
        <v>-318345</v>
      </c>
      <c r="Z929" s="36">
        <v>0</v>
      </c>
      <c r="AA929" s="36">
        <v>-3847</v>
      </c>
      <c r="AB929" s="36"/>
      <c r="AC929" s="36"/>
      <c r="AD929" s="36">
        <v>0</v>
      </c>
      <c r="AE929" s="36"/>
      <c r="AF929" s="36"/>
      <c r="AG929" s="36"/>
      <c r="AH929" s="36"/>
      <c r="AI929" s="20">
        <f t="shared" si="43"/>
        <v>-388381</v>
      </c>
      <c r="AJ929" s="20">
        <f t="shared" si="44"/>
        <v>18187</v>
      </c>
    </row>
    <row r="930" spans="1:36" x14ac:dyDescent="0.2">
      <c r="A930" s="17" t="s">
        <v>5524</v>
      </c>
      <c r="B930" s="17">
        <v>42242</v>
      </c>
      <c r="C930" s="20">
        <v>0</v>
      </c>
      <c r="D930" s="20">
        <v>16562</v>
      </c>
      <c r="E930" s="20">
        <v>16562</v>
      </c>
      <c r="F930" s="20">
        <v>0</v>
      </c>
      <c r="I930" s="20">
        <v>10768</v>
      </c>
      <c r="K930" s="20">
        <v>375000</v>
      </c>
      <c r="L930" s="20">
        <v>3881</v>
      </c>
      <c r="M930" s="20">
        <v>370</v>
      </c>
      <c r="W930" s="20">
        <f t="shared" si="42"/>
        <v>406581</v>
      </c>
      <c r="X930" s="36">
        <v>-66304</v>
      </c>
      <c r="Y930" s="36">
        <v>-317865</v>
      </c>
      <c r="Z930" s="36">
        <v>0</v>
      </c>
      <c r="AA930" s="36">
        <v>-3877</v>
      </c>
      <c r="AB930" s="36"/>
      <c r="AC930" s="36"/>
      <c r="AD930" s="36">
        <v>0</v>
      </c>
      <c r="AE930" s="36"/>
      <c r="AF930" s="36"/>
      <c r="AG930" s="36"/>
      <c r="AH930" s="36"/>
      <c r="AI930" s="20">
        <f t="shared" si="43"/>
        <v>-388046</v>
      </c>
      <c r="AJ930" s="20">
        <f t="shared" si="44"/>
        <v>18535</v>
      </c>
    </row>
    <row r="931" spans="1:36" x14ac:dyDescent="0.2">
      <c r="A931" s="17" t="s">
        <v>5525</v>
      </c>
      <c r="B931" s="17">
        <v>42249</v>
      </c>
      <c r="C931" s="20">
        <v>0</v>
      </c>
      <c r="D931" s="20">
        <v>16562</v>
      </c>
      <c r="E931" s="20">
        <v>16562</v>
      </c>
      <c r="F931" s="20">
        <v>0</v>
      </c>
      <c r="I931" s="20">
        <v>10732</v>
      </c>
      <c r="K931" s="20">
        <v>375000</v>
      </c>
      <c r="L931" s="20">
        <v>3940</v>
      </c>
      <c r="M931" s="20">
        <v>370</v>
      </c>
      <c r="W931" s="20">
        <f t="shared" si="42"/>
        <v>406604</v>
      </c>
      <c r="X931" s="36">
        <v>-66749</v>
      </c>
      <c r="Y931" s="36">
        <v>-317245</v>
      </c>
      <c r="Z931" s="36">
        <v>0</v>
      </c>
      <c r="AA931" s="36">
        <v>-3937</v>
      </c>
      <c r="AB931" s="36"/>
      <c r="AC931" s="36"/>
      <c r="AD931" s="36">
        <v>0</v>
      </c>
      <c r="AE931" s="36"/>
      <c r="AF931" s="36"/>
      <c r="AG931" s="36"/>
      <c r="AH931" s="36"/>
      <c r="AI931" s="20">
        <f t="shared" si="43"/>
        <v>-387931</v>
      </c>
      <c r="AJ931" s="20">
        <f t="shared" si="44"/>
        <v>18673</v>
      </c>
    </row>
    <row r="932" spans="1:36" x14ac:dyDescent="0.2">
      <c r="A932" s="17" t="s">
        <v>5526</v>
      </c>
      <c r="B932" s="17">
        <v>42256</v>
      </c>
      <c r="C932" s="20">
        <v>0</v>
      </c>
      <c r="D932" s="20">
        <v>16562</v>
      </c>
      <c r="E932" s="20">
        <v>16562</v>
      </c>
      <c r="F932" s="20">
        <v>0</v>
      </c>
      <c r="I932" s="20">
        <v>10077</v>
      </c>
      <c r="K932" s="20">
        <v>375000</v>
      </c>
      <c r="L932" s="20">
        <v>3921</v>
      </c>
      <c r="M932" s="20">
        <v>370</v>
      </c>
      <c r="W932" s="20">
        <f t="shared" si="42"/>
        <v>405930</v>
      </c>
      <c r="X932" s="36">
        <v>-66089</v>
      </c>
      <c r="Y932" s="36">
        <v>-301128</v>
      </c>
      <c r="Z932" s="36">
        <v>0</v>
      </c>
      <c r="AA932" s="36">
        <v>-3915</v>
      </c>
      <c r="AB932" s="36"/>
      <c r="AC932" s="36"/>
      <c r="AD932" s="36">
        <v>0</v>
      </c>
      <c r="AE932" s="36"/>
      <c r="AF932" s="36"/>
      <c r="AG932" s="36"/>
      <c r="AH932" s="36"/>
      <c r="AI932" s="20">
        <f t="shared" si="43"/>
        <v>-371132</v>
      </c>
      <c r="AJ932" s="20">
        <f t="shared" si="44"/>
        <v>34798</v>
      </c>
    </row>
    <row r="933" spans="1:36" x14ac:dyDescent="0.2">
      <c r="A933" s="17" t="s">
        <v>5527</v>
      </c>
      <c r="B933" s="17">
        <v>42263</v>
      </c>
      <c r="C933" s="20">
        <v>0</v>
      </c>
      <c r="D933" s="20">
        <v>15272</v>
      </c>
      <c r="E933" s="20">
        <v>15272</v>
      </c>
      <c r="F933" s="20">
        <v>0</v>
      </c>
      <c r="I933" s="20">
        <v>10055</v>
      </c>
      <c r="K933" s="20">
        <v>375000</v>
      </c>
      <c r="L933" s="20">
        <v>3873</v>
      </c>
      <c r="M933" s="20">
        <v>370</v>
      </c>
      <c r="W933" s="20">
        <f t="shared" si="42"/>
        <v>404570</v>
      </c>
      <c r="X933" s="36">
        <v>-66071</v>
      </c>
      <c r="Y933" s="36">
        <v>-304930</v>
      </c>
      <c r="Z933" s="36">
        <v>0</v>
      </c>
      <c r="AA933" s="36">
        <v>-3877</v>
      </c>
      <c r="AB933" s="36"/>
      <c r="AC933" s="36"/>
      <c r="AD933" s="36">
        <v>0</v>
      </c>
      <c r="AE933" s="36"/>
      <c r="AF933" s="36"/>
      <c r="AG933" s="36"/>
      <c r="AH933" s="36"/>
      <c r="AI933" s="20">
        <f t="shared" si="43"/>
        <v>-374878</v>
      </c>
      <c r="AJ933" s="20">
        <f t="shared" si="44"/>
        <v>29692</v>
      </c>
    </row>
    <row r="934" spans="1:36" x14ac:dyDescent="0.2">
      <c r="A934" s="17" t="s">
        <v>5528</v>
      </c>
      <c r="B934" s="17">
        <v>42270</v>
      </c>
      <c r="C934" s="20">
        <v>0</v>
      </c>
      <c r="D934" s="20">
        <v>15272</v>
      </c>
      <c r="E934" s="20">
        <v>15272</v>
      </c>
      <c r="F934" s="20">
        <v>0</v>
      </c>
      <c r="I934" s="20">
        <v>10131</v>
      </c>
      <c r="K934" s="20">
        <v>375000</v>
      </c>
      <c r="L934" s="20">
        <v>3944</v>
      </c>
      <c r="M934" s="20">
        <v>370</v>
      </c>
      <c r="W934" s="20">
        <f t="shared" si="42"/>
        <v>404717</v>
      </c>
      <c r="X934" s="36">
        <v>-66131</v>
      </c>
      <c r="Y934" s="36">
        <v>-308068</v>
      </c>
      <c r="Z934" s="36">
        <v>0</v>
      </c>
      <c r="AA934" s="36">
        <v>-3956</v>
      </c>
      <c r="AB934" s="36"/>
      <c r="AC934" s="36"/>
      <c r="AD934" s="36">
        <v>0</v>
      </c>
      <c r="AE934" s="36"/>
      <c r="AF934" s="36"/>
      <c r="AG934" s="36"/>
      <c r="AH934" s="36"/>
      <c r="AI934" s="20">
        <f t="shared" si="43"/>
        <v>-378155</v>
      </c>
      <c r="AJ934" s="20">
        <f t="shared" si="44"/>
        <v>26562</v>
      </c>
    </row>
    <row r="935" spans="1:36" x14ac:dyDescent="0.2">
      <c r="A935" s="17" t="s">
        <v>5529</v>
      </c>
      <c r="B935" s="17">
        <v>42277</v>
      </c>
      <c r="C935" s="20">
        <v>0</v>
      </c>
      <c r="D935" s="20">
        <v>15272</v>
      </c>
      <c r="E935" s="20">
        <v>15272</v>
      </c>
      <c r="F935" s="20">
        <v>0</v>
      </c>
      <c r="I935" s="20">
        <v>10144</v>
      </c>
      <c r="K935" s="20">
        <v>375000</v>
      </c>
      <c r="L935" s="20">
        <v>3969</v>
      </c>
      <c r="M935" s="20">
        <v>370</v>
      </c>
      <c r="W935" s="20">
        <f t="shared" si="42"/>
        <v>404755</v>
      </c>
      <c r="X935" s="36">
        <v>-66428</v>
      </c>
      <c r="Y935" s="36">
        <v>-311762</v>
      </c>
      <c r="Z935" s="36">
        <v>0</v>
      </c>
      <c r="AA935" s="36">
        <v>-3980</v>
      </c>
      <c r="AB935" s="36"/>
      <c r="AC935" s="36"/>
      <c r="AD935" s="36">
        <v>0</v>
      </c>
      <c r="AE935" s="36"/>
      <c r="AF935" s="36"/>
      <c r="AG935" s="36"/>
      <c r="AH935" s="36"/>
      <c r="AI935" s="20">
        <f t="shared" si="43"/>
        <v>-382170</v>
      </c>
      <c r="AJ935" s="20">
        <f t="shared" si="44"/>
        <v>22585</v>
      </c>
    </row>
    <row r="936" spans="1:36" x14ac:dyDescent="0.2">
      <c r="A936" s="17" t="s">
        <v>5530</v>
      </c>
      <c r="B936" s="17">
        <v>42284</v>
      </c>
      <c r="C936" s="20">
        <v>0</v>
      </c>
      <c r="D936" s="20">
        <v>15272</v>
      </c>
      <c r="E936" s="20">
        <v>15272</v>
      </c>
      <c r="F936" s="20">
        <v>0</v>
      </c>
      <c r="I936" s="20">
        <v>10130</v>
      </c>
      <c r="K936" s="20">
        <v>375000</v>
      </c>
      <c r="L936" s="20">
        <v>3927</v>
      </c>
      <c r="M936" s="20">
        <v>370</v>
      </c>
      <c r="W936" s="20">
        <f t="shared" si="42"/>
        <v>404699</v>
      </c>
      <c r="X936" s="36">
        <v>-66511</v>
      </c>
      <c r="Y936" s="36">
        <v>-314821</v>
      </c>
      <c r="Z936" s="36">
        <v>0</v>
      </c>
      <c r="AA936" s="36">
        <v>-3937</v>
      </c>
      <c r="AB936" s="36"/>
      <c r="AC936" s="36"/>
      <c r="AD936" s="36">
        <v>0</v>
      </c>
      <c r="AE936" s="36"/>
      <c r="AF936" s="36"/>
      <c r="AG936" s="36"/>
      <c r="AH936" s="36"/>
      <c r="AI936" s="20">
        <f t="shared" si="43"/>
        <v>-385269</v>
      </c>
      <c r="AJ936" s="20">
        <f t="shared" si="44"/>
        <v>19430</v>
      </c>
    </row>
    <row r="937" spans="1:36" x14ac:dyDescent="0.2">
      <c r="A937" s="17" t="s">
        <v>5531</v>
      </c>
      <c r="B937" s="17">
        <v>42291</v>
      </c>
      <c r="C937" s="20">
        <v>0</v>
      </c>
      <c r="D937" s="20">
        <v>14042</v>
      </c>
      <c r="E937" s="20">
        <v>14042</v>
      </c>
      <c r="F937" s="20">
        <v>0</v>
      </c>
      <c r="I937" s="20">
        <v>10156</v>
      </c>
      <c r="K937" s="20">
        <v>375000</v>
      </c>
      <c r="L937" s="20">
        <v>3901</v>
      </c>
      <c r="M937" s="20">
        <v>370</v>
      </c>
      <c r="W937" s="20">
        <f t="shared" si="42"/>
        <v>403469</v>
      </c>
      <c r="X937" s="36">
        <v>-66351</v>
      </c>
      <c r="Y937" s="36">
        <v>-313758</v>
      </c>
      <c r="Z937" s="36">
        <v>0</v>
      </c>
      <c r="AA937" s="36">
        <v>-3909</v>
      </c>
      <c r="AB937" s="36"/>
      <c r="AC937" s="36"/>
      <c r="AD937" s="36">
        <v>0</v>
      </c>
      <c r="AE937" s="36"/>
      <c r="AF937" s="36"/>
      <c r="AG937" s="36"/>
      <c r="AH937" s="36"/>
      <c r="AI937" s="20">
        <f t="shared" si="43"/>
        <v>-384018</v>
      </c>
      <c r="AJ937" s="20">
        <f t="shared" si="44"/>
        <v>19451</v>
      </c>
    </row>
    <row r="938" spans="1:36" x14ac:dyDescent="0.2">
      <c r="A938" s="17" t="s">
        <v>5532</v>
      </c>
      <c r="B938" s="17">
        <v>42298</v>
      </c>
      <c r="C938" s="20">
        <v>0</v>
      </c>
      <c r="D938" s="20">
        <v>14042</v>
      </c>
      <c r="E938" s="20">
        <v>14042</v>
      </c>
      <c r="F938" s="20">
        <v>0</v>
      </c>
      <c r="I938" s="20">
        <v>10188</v>
      </c>
      <c r="K938" s="20">
        <v>375000</v>
      </c>
      <c r="L938" s="20">
        <v>3892</v>
      </c>
      <c r="M938" s="20">
        <v>370</v>
      </c>
      <c r="W938" s="20">
        <f t="shared" si="42"/>
        <v>403492</v>
      </c>
      <c r="X938" s="36">
        <v>-66343</v>
      </c>
      <c r="Y938" s="36">
        <v>-316345</v>
      </c>
      <c r="Z938" s="36">
        <v>0</v>
      </c>
      <c r="AA938" s="36">
        <v>-3901</v>
      </c>
      <c r="AB938" s="36"/>
      <c r="AC938" s="36"/>
      <c r="AD938" s="36">
        <v>0</v>
      </c>
      <c r="AE938" s="36"/>
      <c r="AF938" s="36"/>
      <c r="AG938" s="36"/>
      <c r="AH938" s="36"/>
      <c r="AI938" s="20">
        <f t="shared" si="43"/>
        <v>-386589</v>
      </c>
      <c r="AJ938" s="20">
        <f t="shared" si="44"/>
        <v>16903</v>
      </c>
    </row>
    <row r="939" spans="1:36" x14ac:dyDescent="0.2">
      <c r="A939" s="17" t="s">
        <v>5533</v>
      </c>
      <c r="B939" s="17">
        <v>42305</v>
      </c>
      <c r="C939" s="20">
        <v>0</v>
      </c>
      <c r="D939" s="20">
        <v>14042</v>
      </c>
      <c r="E939" s="20">
        <v>14042</v>
      </c>
      <c r="F939" s="20">
        <v>0</v>
      </c>
      <c r="I939" s="20">
        <v>10228</v>
      </c>
      <c r="K939" s="20">
        <v>375000</v>
      </c>
      <c r="L939" s="20">
        <v>3940</v>
      </c>
      <c r="M939" s="20">
        <v>370</v>
      </c>
      <c r="W939" s="20">
        <f t="shared" si="42"/>
        <v>403580</v>
      </c>
      <c r="X939" s="36">
        <v>-66677</v>
      </c>
      <c r="Y939" s="36">
        <v>-316052</v>
      </c>
      <c r="Z939" s="36">
        <v>0</v>
      </c>
      <c r="AA939" s="36">
        <v>-3947</v>
      </c>
      <c r="AB939" s="36"/>
      <c r="AC939" s="36"/>
      <c r="AD939" s="36">
        <v>0</v>
      </c>
      <c r="AE939" s="36"/>
      <c r="AF939" s="36"/>
      <c r="AG939" s="36"/>
      <c r="AH939" s="36"/>
      <c r="AI939" s="20">
        <f t="shared" si="43"/>
        <v>-386676</v>
      </c>
      <c r="AJ939" s="20">
        <f t="shared" si="44"/>
        <v>16904</v>
      </c>
    </row>
    <row r="940" spans="1:36" x14ac:dyDescent="0.2">
      <c r="A940" s="17" t="s">
        <v>5534</v>
      </c>
      <c r="B940" s="17">
        <v>42312</v>
      </c>
      <c r="C940" s="20">
        <v>0</v>
      </c>
      <c r="D940" s="20">
        <v>14042</v>
      </c>
      <c r="E940" s="20">
        <v>14042</v>
      </c>
      <c r="F940" s="20">
        <v>0</v>
      </c>
      <c r="I940" s="20">
        <v>10200</v>
      </c>
      <c r="K940" s="20">
        <v>375000</v>
      </c>
      <c r="L940" s="20">
        <v>3903</v>
      </c>
      <c r="M940" s="20">
        <v>370</v>
      </c>
      <c r="W940" s="20">
        <f t="shared" si="42"/>
        <v>403515</v>
      </c>
      <c r="X940" s="36">
        <v>-66872</v>
      </c>
      <c r="Y940" s="36">
        <v>-315984</v>
      </c>
      <c r="Z940" s="36">
        <v>0</v>
      </c>
      <c r="AA940" s="36">
        <v>-3909</v>
      </c>
      <c r="AB940" s="36"/>
      <c r="AC940" s="36"/>
      <c r="AD940" s="36">
        <v>0</v>
      </c>
      <c r="AE940" s="36"/>
      <c r="AF940" s="36"/>
      <c r="AG940" s="36"/>
      <c r="AH940" s="36"/>
      <c r="AI940" s="20">
        <f t="shared" si="43"/>
        <v>-386765</v>
      </c>
      <c r="AJ940" s="20">
        <f t="shared" si="44"/>
        <v>16750</v>
      </c>
    </row>
    <row r="941" spans="1:36" x14ac:dyDescent="0.2">
      <c r="A941" s="17" t="s">
        <v>5535</v>
      </c>
      <c r="B941" s="17">
        <v>42319</v>
      </c>
      <c r="C941" s="20">
        <v>0</v>
      </c>
      <c r="D941" s="20">
        <v>14042</v>
      </c>
      <c r="E941" s="20">
        <v>14042</v>
      </c>
      <c r="F941" s="20">
        <v>0</v>
      </c>
      <c r="I941" s="20">
        <v>10188</v>
      </c>
      <c r="K941" s="20">
        <v>375000</v>
      </c>
      <c r="L941" s="20">
        <v>3946</v>
      </c>
      <c r="M941" s="20">
        <v>370</v>
      </c>
      <c r="W941" s="20">
        <f t="shared" si="42"/>
        <v>403546</v>
      </c>
      <c r="X941" s="36">
        <v>-66829</v>
      </c>
      <c r="Y941" s="36">
        <v>-315331</v>
      </c>
      <c r="Z941" s="36">
        <v>0</v>
      </c>
      <c r="AA941" s="36">
        <v>-3953</v>
      </c>
      <c r="AB941" s="36"/>
      <c r="AC941" s="36"/>
      <c r="AD941" s="36">
        <v>0</v>
      </c>
      <c r="AE941" s="36"/>
      <c r="AF941" s="36"/>
      <c r="AG941" s="36"/>
      <c r="AH941" s="36"/>
      <c r="AI941" s="20">
        <f t="shared" si="43"/>
        <v>-386113</v>
      </c>
      <c r="AJ941" s="20">
        <f t="shared" si="44"/>
        <v>17433</v>
      </c>
    </row>
    <row r="942" spans="1:36" x14ac:dyDescent="0.2">
      <c r="A942" s="17" t="s">
        <v>5536</v>
      </c>
      <c r="B942" s="17">
        <v>42326</v>
      </c>
      <c r="C942" s="20">
        <v>0</v>
      </c>
      <c r="D942" s="20">
        <v>13492</v>
      </c>
      <c r="E942" s="20">
        <v>13492</v>
      </c>
      <c r="F942" s="20">
        <v>0</v>
      </c>
      <c r="I942" s="20">
        <v>10265</v>
      </c>
      <c r="K942" s="20">
        <v>375000</v>
      </c>
      <c r="L942" s="20">
        <v>3943</v>
      </c>
      <c r="M942" s="20">
        <v>370</v>
      </c>
      <c r="W942" s="20">
        <f t="shared" si="42"/>
        <v>403070</v>
      </c>
      <c r="X942" s="36">
        <v>-66831</v>
      </c>
      <c r="Y942" s="36">
        <v>-315467</v>
      </c>
      <c r="Z942" s="36">
        <v>0</v>
      </c>
      <c r="AA942" s="36">
        <v>-3951</v>
      </c>
      <c r="AB942" s="36"/>
      <c r="AC942" s="36"/>
      <c r="AD942" s="36">
        <v>0</v>
      </c>
      <c r="AE942" s="36"/>
      <c r="AF942" s="36"/>
      <c r="AG942" s="36"/>
      <c r="AH942" s="36"/>
      <c r="AI942" s="20">
        <f t="shared" si="43"/>
        <v>-386249</v>
      </c>
      <c r="AJ942" s="20">
        <f t="shared" si="44"/>
        <v>16821</v>
      </c>
    </row>
    <row r="943" spans="1:36" x14ac:dyDescent="0.2">
      <c r="A943" s="17" t="s">
        <v>5537</v>
      </c>
      <c r="B943" s="17">
        <v>42333</v>
      </c>
      <c r="C943" s="20">
        <v>0</v>
      </c>
      <c r="D943" s="20">
        <v>13492</v>
      </c>
      <c r="E943" s="20">
        <v>13492</v>
      </c>
      <c r="F943" s="20">
        <v>0</v>
      </c>
      <c r="I943" s="20">
        <v>10324</v>
      </c>
      <c r="K943" s="20">
        <v>375000</v>
      </c>
      <c r="L943" s="20">
        <v>3966</v>
      </c>
      <c r="M943" s="20">
        <v>370</v>
      </c>
      <c r="W943" s="20">
        <f t="shared" si="42"/>
        <v>403152</v>
      </c>
      <c r="X943" s="36">
        <v>-67178</v>
      </c>
      <c r="Y943" s="36">
        <v>-314545</v>
      </c>
      <c r="Z943" s="36">
        <v>0</v>
      </c>
      <c r="AA943" s="36">
        <v>-3971</v>
      </c>
      <c r="AB943" s="36"/>
      <c r="AC943" s="36"/>
      <c r="AD943" s="36">
        <v>0</v>
      </c>
      <c r="AE943" s="36"/>
      <c r="AF943" s="36"/>
      <c r="AG943" s="36"/>
      <c r="AH943" s="36"/>
      <c r="AI943" s="20">
        <f t="shared" si="43"/>
        <v>-385694</v>
      </c>
      <c r="AJ943" s="20">
        <f t="shared" si="44"/>
        <v>17458</v>
      </c>
    </row>
    <row r="944" spans="1:36" x14ac:dyDescent="0.2">
      <c r="A944" s="17" t="s">
        <v>5538</v>
      </c>
      <c r="B944" s="17">
        <v>42340</v>
      </c>
      <c r="C944" s="20">
        <v>0</v>
      </c>
      <c r="D944" s="20">
        <v>13492</v>
      </c>
      <c r="E944" s="20">
        <v>13492</v>
      </c>
      <c r="F944" s="20">
        <v>0</v>
      </c>
      <c r="I944" s="20">
        <v>10401</v>
      </c>
      <c r="K944" s="20">
        <v>375000</v>
      </c>
      <c r="L944" s="20">
        <v>4012</v>
      </c>
      <c r="M944" s="20">
        <v>370</v>
      </c>
      <c r="W944" s="20">
        <f t="shared" si="42"/>
        <v>403275</v>
      </c>
      <c r="X944" s="36">
        <v>-67681</v>
      </c>
      <c r="Y944" s="36">
        <v>-311934</v>
      </c>
      <c r="Z944" s="36">
        <v>0</v>
      </c>
      <c r="AA944" s="36">
        <v>-4019</v>
      </c>
      <c r="AB944" s="36"/>
      <c r="AC944" s="36"/>
      <c r="AD944" s="36">
        <v>0</v>
      </c>
      <c r="AE944" s="36"/>
      <c r="AF944" s="36"/>
      <c r="AG944" s="36"/>
      <c r="AH944" s="36"/>
      <c r="AI944" s="20">
        <f t="shared" si="43"/>
        <v>-383634</v>
      </c>
      <c r="AJ944" s="20">
        <f t="shared" si="44"/>
        <v>19641</v>
      </c>
    </row>
    <row r="945" spans="1:36" x14ac:dyDescent="0.2">
      <c r="A945" s="17" t="s">
        <v>5539</v>
      </c>
      <c r="B945" s="17">
        <v>42347</v>
      </c>
      <c r="C945" s="20">
        <v>0</v>
      </c>
      <c r="D945" s="20">
        <v>13492</v>
      </c>
      <c r="E945" s="20">
        <v>13492</v>
      </c>
      <c r="F945" s="20">
        <v>0</v>
      </c>
      <c r="I945" s="20">
        <v>9732</v>
      </c>
      <c r="K945" s="20">
        <v>375000</v>
      </c>
      <c r="L945" s="20">
        <v>3952</v>
      </c>
      <c r="M945" s="20">
        <v>370</v>
      </c>
      <c r="W945" s="20">
        <f t="shared" si="42"/>
        <v>402546</v>
      </c>
      <c r="X945" s="36">
        <v>-67899</v>
      </c>
      <c r="Y945" s="36">
        <v>-296547</v>
      </c>
      <c r="Z945" s="36">
        <v>0</v>
      </c>
      <c r="AA945" s="36">
        <v>-3957</v>
      </c>
      <c r="AB945" s="36"/>
      <c r="AC945" s="36"/>
      <c r="AD945" s="36">
        <v>0</v>
      </c>
      <c r="AE945" s="36"/>
      <c r="AF945" s="36"/>
      <c r="AG945" s="36"/>
      <c r="AH945" s="36"/>
      <c r="AI945" s="20">
        <f t="shared" si="43"/>
        <v>-368403</v>
      </c>
      <c r="AJ945" s="20">
        <f t="shared" si="44"/>
        <v>34143</v>
      </c>
    </row>
    <row r="946" spans="1:36" x14ac:dyDescent="0.2">
      <c r="A946" s="17" t="s">
        <v>5540</v>
      </c>
      <c r="B946" s="17">
        <v>42354</v>
      </c>
      <c r="C946" s="20">
        <v>0</v>
      </c>
      <c r="D946" s="20">
        <v>15455</v>
      </c>
      <c r="E946" s="20">
        <v>15455</v>
      </c>
      <c r="F946" s="20">
        <v>0</v>
      </c>
      <c r="I946" s="20">
        <v>9712</v>
      </c>
      <c r="K946" s="20">
        <v>375000</v>
      </c>
      <c r="L946" s="20">
        <v>3996</v>
      </c>
      <c r="M946" s="20">
        <v>370</v>
      </c>
      <c r="W946" s="20">
        <f t="shared" si="42"/>
        <v>404533</v>
      </c>
      <c r="X946" s="36">
        <v>-68333</v>
      </c>
      <c r="Y946" s="36">
        <v>-300926</v>
      </c>
      <c r="Z946" s="36">
        <v>0</v>
      </c>
      <c r="AA946" s="36">
        <v>-4000</v>
      </c>
      <c r="AB946" s="36"/>
      <c r="AC946" s="36"/>
      <c r="AD946" s="36">
        <v>0</v>
      </c>
      <c r="AE946" s="36"/>
      <c r="AF946" s="36"/>
      <c r="AG946" s="36"/>
      <c r="AH946" s="36"/>
      <c r="AI946" s="20">
        <f t="shared" si="43"/>
        <v>-373259</v>
      </c>
      <c r="AJ946" s="20">
        <f t="shared" si="44"/>
        <v>31274</v>
      </c>
    </row>
    <row r="947" spans="1:36" x14ac:dyDescent="0.2">
      <c r="A947" s="17" t="s">
        <v>5541</v>
      </c>
      <c r="B947" s="17">
        <v>42361</v>
      </c>
      <c r="C947" s="20">
        <v>0</v>
      </c>
      <c r="D947" s="20">
        <v>15455</v>
      </c>
      <c r="E947" s="20">
        <v>15455</v>
      </c>
      <c r="F947" s="20">
        <v>0</v>
      </c>
      <c r="I947" s="20">
        <v>9713</v>
      </c>
      <c r="K947" s="20">
        <v>375000</v>
      </c>
      <c r="L947" s="20">
        <v>4035</v>
      </c>
      <c r="M947" s="20">
        <v>370</v>
      </c>
      <c r="W947" s="20">
        <f t="shared" si="42"/>
        <v>404573</v>
      </c>
      <c r="X947" s="36">
        <v>-69779</v>
      </c>
      <c r="Y947" s="36">
        <v>-309769</v>
      </c>
      <c r="Z947" s="36">
        <v>0</v>
      </c>
      <c r="AA947" s="36">
        <v>-4036</v>
      </c>
      <c r="AB947" s="36"/>
      <c r="AC947" s="36"/>
      <c r="AD947" s="36">
        <v>0</v>
      </c>
      <c r="AE947" s="36"/>
      <c r="AF947" s="36"/>
      <c r="AG947" s="36"/>
      <c r="AH947" s="36"/>
      <c r="AI947" s="20">
        <f t="shared" si="43"/>
        <v>-383584</v>
      </c>
      <c r="AJ947" s="20">
        <f t="shared" si="44"/>
        <v>20989</v>
      </c>
    </row>
    <row r="948" spans="1:36" x14ac:dyDescent="0.2">
      <c r="A948" s="17" t="s">
        <v>5542</v>
      </c>
      <c r="B948" s="17">
        <v>42368</v>
      </c>
      <c r="C948" s="20">
        <v>0</v>
      </c>
      <c r="D948" s="20">
        <v>15455</v>
      </c>
      <c r="E948" s="20">
        <v>15455</v>
      </c>
      <c r="F948" s="20">
        <v>0</v>
      </c>
      <c r="I948" s="20">
        <v>9697</v>
      </c>
      <c r="K948" s="20">
        <v>375000</v>
      </c>
      <c r="L948" s="20">
        <v>4043</v>
      </c>
      <c r="M948" s="20">
        <v>370</v>
      </c>
      <c r="W948" s="20">
        <f t="shared" ref="W948:W1011" si="45">SUM(C948:D948,G948:M948)</f>
        <v>404565</v>
      </c>
      <c r="X948" s="36">
        <v>-69754</v>
      </c>
      <c r="Y948" s="36">
        <v>-310112</v>
      </c>
      <c r="Z948" s="36">
        <v>0</v>
      </c>
      <c r="AA948" s="36">
        <v>-4043</v>
      </c>
      <c r="AB948" s="36"/>
      <c r="AC948" s="36"/>
      <c r="AD948" s="36">
        <v>0</v>
      </c>
      <c r="AE948" s="36"/>
      <c r="AF948" s="36"/>
      <c r="AG948" s="36"/>
      <c r="AH948" s="36"/>
      <c r="AI948" s="20">
        <f t="shared" si="43"/>
        <v>-383909</v>
      </c>
      <c r="AJ948" s="20">
        <f t="shared" si="44"/>
        <v>20656</v>
      </c>
    </row>
    <row r="949" spans="1:36" x14ac:dyDescent="0.2">
      <c r="A949" s="17" t="s">
        <v>5543</v>
      </c>
      <c r="B949" s="17">
        <v>42375</v>
      </c>
      <c r="C949" s="20">
        <v>0</v>
      </c>
      <c r="D949" s="20">
        <v>15455</v>
      </c>
      <c r="E949" s="20">
        <v>15455</v>
      </c>
      <c r="F949" s="20">
        <v>0</v>
      </c>
      <c r="I949" s="20">
        <v>9767</v>
      </c>
      <c r="K949" s="20">
        <v>375000</v>
      </c>
      <c r="L949" s="20">
        <v>4108</v>
      </c>
      <c r="M949" s="20">
        <v>370</v>
      </c>
      <c r="W949" s="20">
        <f t="shared" si="45"/>
        <v>404700</v>
      </c>
      <c r="X949" s="36">
        <v>-68222</v>
      </c>
      <c r="Y949" s="36">
        <v>-311981</v>
      </c>
      <c r="Z949" s="36">
        <v>0</v>
      </c>
      <c r="AA949" s="36">
        <v>-4110</v>
      </c>
      <c r="AB949" s="36"/>
      <c r="AC949" s="36"/>
      <c r="AD949" s="36">
        <v>0</v>
      </c>
      <c r="AE949" s="36"/>
      <c r="AF949" s="36"/>
      <c r="AG949" s="36"/>
      <c r="AH949" s="36"/>
      <c r="AI949" s="20">
        <f t="shared" si="43"/>
        <v>-384313</v>
      </c>
      <c r="AJ949" s="20">
        <f t="shared" si="44"/>
        <v>20387</v>
      </c>
    </row>
    <row r="950" spans="1:36" x14ac:dyDescent="0.2">
      <c r="A950" s="17" t="s">
        <v>5544</v>
      </c>
      <c r="B950" s="17">
        <v>42382</v>
      </c>
      <c r="C950" s="20">
        <v>0</v>
      </c>
      <c r="D950" s="20">
        <v>16261</v>
      </c>
      <c r="E950" s="20">
        <v>16261</v>
      </c>
      <c r="F950" s="20">
        <v>0</v>
      </c>
      <c r="I950" s="20">
        <v>9812</v>
      </c>
      <c r="K950" s="20">
        <v>375000</v>
      </c>
      <c r="L950" s="20">
        <v>4160</v>
      </c>
      <c r="M950" s="20">
        <v>370</v>
      </c>
      <c r="W950" s="20">
        <f t="shared" si="45"/>
        <v>405603</v>
      </c>
      <c r="X950" s="36">
        <v>-66948</v>
      </c>
      <c r="Y950" s="36">
        <v>-314629</v>
      </c>
      <c r="Z950" s="36">
        <v>0</v>
      </c>
      <c r="AA950" s="36">
        <v>-4161</v>
      </c>
      <c r="AB950" s="36"/>
      <c r="AC950" s="36"/>
      <c r="AD950" s="36">
        <v>0</v>
      </c>
      <c r="AE950" s="36"/>
      <c r="AF950" s="36"/>
      <c r="AG950" s="36"/>
      <c r="AH950" s="36"/>
      <c r="AI950" s="20">
        <f t="shared" si="43"/>
        <v>-385738</v>
      </c>
      <c r="AJ950" s="20">
        <f t="shared" si="44"/>
        <v>19865</v>
      </c>
    </row>
    <row r="951" spans="1:36" x14ac:dyDescent="0.2">
      <c r="A951" s="17" t="s">
        <v>5545</v>
      </c>
      <c r="B951" s="17">
        <v>42389</v>
      </c>
      <c r="C951" s="20">
        <v>0</v>
      </c>
      <c r="D951" s="20">
        <v>16261</v>
      </c>
      <c r="E951" s="20">
        <v>16261</v>
      </c>
      <c r="F951" s="20">
        <v>0</v>
      </c>
      <c r="I951" s="20">
        <v>9851</v>
      </c>
      <c r="K951" s="20">
        <v>375000</v>
      </c>
      <c r="L951" s="20">
        <v>4238</v>
      </c>
      <c r="M951" s="20">
        <v>370</v>
      </c>
      <c r="W951" s="20">
        <f t="shared" si="45"/>
        <v>405720</v>
      </c>
      <c r="X951" s="36">
        <v>-66573</v>
      </c>
      <c r="Y951" s="36">
        <v>-315863</v>
      </c>
      <c r="Z951" s="36">
        <v>0</v>
      </c>
      <c r="AA951" s="36">
        <v>-4239</v>
      </c>
      <c r="AB951" s="36"/>
      <c r="AC951" s="36"/>
      <c r="AD951" s="36">
        <v>0</v>
      </c>
      <c r="AE951" s="36"/>
      <c r="AF951" s="36"/>
      <c r="AG951" s="36"/>
      <c r="AH951" s="36"/>
      <c r="AI951" s="20">
        <f t="shared" si="43"/>
        <v>-386675</v>
      </c>
      <c r="AJ951" s="20">
        <f t="shared" si="44"/>
        <v>19045</v>
      </c>
    </row>
    <row r="952" spans="1:36" x14ac:dyDescent="0.2">
      <c r="A952" s="17" t="s">
        <v>5546</v>
      </c>
      <c r="B952" s="17">
        <v>42396</v>
      </c>
      <c r="C952" s="20">
        <v>0</v>
      </c>
      <c r="D952" s="20">
        <v>16261</v>
      </c>
      <c r="E952" s="20">
        <v>16261</v>
      </c>
      <c r="F952" s="20">
        <v>0</v>
      </c>
      <c r="I952" s="20">
        <v>9833</v>
      </c>
      <c r="K952" s="20">
        <v>375000</v>
      </c>
      <c r="L952" s="20">
        <v>4218</v>
      </c>
      <c r="M952" s="20">
        <v>370</v>
      </c>
      <c r="W952" s="20">
        <f t="shared" si="45"/>
        <v>405682</v>
      </c>
      <c r="X952" s="36">
        <v>-66841</v>
      </c>
      <c r="Y952" s="36">
        <v>-311501</v>
      </c>
      <c r="Z952" s="36">
        <v>0</v>
      </c>
      <c r="AA952" s="36">
        <v>-4218</v>
      </c>
      <c r="AB952" s="36"/>
      <c r="AC952" s="36"/>
      <c r="AD952" s="36">
        <v>0</v>
      </c>
      <c r="AE952" s="36"/>
      <c r="AF952" s="36"/>
      <c r="AG952" s="36"/>
      <c r="AH952" s="36"/>
      <c r="AI952" s="20">
        <f t="shared" si="43"/>
        <v>-382560</v>
      </c>
      <c r="AJ952" s="20">
        <f t="shared" si="44"/>
        <v>23122</v>
      </c>
    </row>
    <row r="953" spans="1:36" x14ac:dyDescent="0.2">
      <c r="A953" s="17" t="s">
        <v>5547</v>
      </c>
      <c r="B953" s="17">
        <v>42403</v>
      </c>
      <c r="C953" s="20">
        <v>0</v>
      </c>
      <c r="D953" s="20">
        <v>16261</v>
      </c>
      <c r="E953" s="20">
        <v>16261</v>
      </c>
      <c r="F953" s="20">
        <v>0</v>
      </c>
      <c r="I953" s="20">
        <v>9923</v>
      </c>
      <c r="K953" s="20">
        <v>375000</v>
      </c>
      <c r="L953" s="20">
        <v>4131</v>
      </c>
      <c r="M953" s="20">
        <v>370</v>
      </c>
      <c r="W953" s="20">
        <f t="shared" si="45"/>
        <v>405685</v>
      </c>
      <c r="X953" s="36">
        <v>-67101</v>
      </c>
      <c r="Y953" s="36">
        <v>-315378</v>
      </c>
      <c r="Z953" s="36">
        <v>0</v>
      </c>
      <c r="AA953" s="36">
        <v>-4130</v>
      </c>
      <c r="AB953" s="36"/>
      <c r="AC953" s="36"/>
      <c r="AD953" s="36">
        <v>0</v>
      </c>
      <c r="AE953" s="36"/>
      <c r="AF953" s="36"/>
      <c r="AG953" s="36"/>
      <c r="AH953" s="36"/>
      <c r="AI953" s="20">
        <f t="shared" si="43"/>
        <v>-386609</v>
      </c>
      <c r="AJ953" s="20">
        <f t="shared" si="44"/>
        <v>19076</v>
      </c>
    </row>
    <row r="954" spans="1:36" x14ac:dyDescent="0.2">
      <c r="A954" s="17" t="s">
        <v>5548</v>
      </c>
      <c r="B954" s="17">
        <v>42410</v>
      </c>
      <c r="C954" s="20">
        <v>0</v>
      </c>
      <c r="D954" s="20">
        <v>16261</v>
      </c>
      <c r="E954" s="20">
        <v>16261</v>
      </c>
      <c r="F954" s="20">
        <v>0</v>
      </c>
      <c r="I954" s="20">
        <v>9953</v>
      </c>
      <c r="K954" s="20">
        <v>375000</v>
      </c>
      <c r="L954" s="20">
        <v>4164</v>
      </c>
      <c r="M954" s="20">
        <v>370</v>
      </c>
      <c r="W954" s="20">
        <f t="shared" si="45"/>
        <v>405748</v>
      </c>
      <c r="X954" s="36">
        <v>-67006</v>
      </c>
      <c r="Y954" s="36">
        <v>-317318</v>
      </c>
      <c r="Z954" s="36">
        <v>0</v>
      </c>
      <c r="AA954" s="36">
        <v>-4161</v>
      </c>
      <c r="AB954" s="36"/>
      <c r="AC954" s="36"/>
      <c r="AD954" s="36">
        <v>0</v>
      </c>
      <c r="AE954" s="36"/>
      <c r="AF954" s="36"/>
      <c r="AG954" s="36"/>
      <c r="AH954" s="36"/>
      <c r="AI954" s="20">
        <f t="shared" si="43"/>
        <v>-388485</v>
      </c>
      <c r="AJ954" s="20">
        <f t="shared" si="44"/>
        <v>17263</v>
      </c>
    </row>
    <row r="955" spans="1:36" x14ac:dyDescent="0.2">
      <c r="A955" s="17" t="s">
        <v>5549</v>
      </c>
      <c r="B955" s="17">
        <v>42417</v>
      </c>
      <c r="C955" s="20">
        <v>0</v>
      </c>
      <c r="D955" s="20">
        <v>15522</v>
      </c>
      <c r="E955" s="20">
        <v>15522</v>
      </c>
      <c r="F955" s="20">
        <v>0</v>
      </c>
      <c r="I955" s="20">
        <v>9960</v>
      </c>
      <c r="K955" s="20">
        <v>375000</v>
      </c>
      <c r="L955" s="20">
        <v>4208</v>
      </c>
      <c r="M955" s="20">
        <v>370</v>
      </c>
      <c r="W955" s="20">
        <f t="shared" si="45"/>
        <v>405060</v>
      </c>
      <c r="X955" s="36">
        <v>-66978</v>
      </c>
      <c r="Y955" s="36">
        <v>-316165</v>
      </c>
      <c r="Z955" s="36">
        <v>0</v>
      </c>
      <c r="AA955" s="36">
        <v>-4205</v>
      </c>
      <c r="AB955" s="36"/>
      <c r="AC955" s="36"/>
      <c r="AD955" s="36">
        <v>0</v>
      </c>
      <c r="AE955" s="36"/>
      <c r="AF955" s="36"/>
      <c r="AG955" s="36"/>
      <c r="AH955" s="36"/>
      <c r="AI955" s="20">
        <f t="shared" si="43"/>
        <v>-387348</v>
      </c>
      <c r="AJ955" s="20">
        <f t="shared" si="44"/>
        <v>17712</v>
      </c>
    </row>
    <row r="956" spans="1:36" x14ac:dyDescent="0.2">
      <c r="A956" s="17" t="s">
        <v>5550</v>
      </c>
      <c r="B956" s="17">
        <v>42424</v>
      </c>
      <c r="C956" s="20">
        <v>0</v>
      </c>
      <c r="D956" s="20">
        <v>15522</v>
      </c>
      <c r="E956" s="20">
        <v>15522</v>
      </c>
      <c r="F956" s="20">
        <v>0</v>
      </c>
      <c r="I956" s="20">
        <v>10007</v>
      </c>
      <c r="K956" s="20">
        <v>375000</v>
      </c>
      <c r="L956" s="20">
        <v>4328</v>
      </c>
      <c r="M956" s="20">
        <v>370</v>
      </c>
      <c r="W956" s="20">
        <f t="shared" si="45"/>
        <v>405227</v>
      </c>
      <c r="X956" s="36">
        <v>-67235</v>
      </c>
      <c r="Y956" s="36">
        <v>-314415</v>
      </c>
      <c r="Z956" s="36">
        <v>0</v>
      </c>
      <c r="AA956" s="36">
        <v>-4325</v>
      </c>
      <c r="AB956" s="36"/>
      <c r="AC956" s="36"/>
      <c r="AD956" s="36">
        <v>0</v>
      </c>
      <c r="AE956" s="36"/>
      <c r="AF956" s="36"/>
      <c r="AG956" s="36"/>
      <c r="AH956" s="36"/>
      <c r="AI956" s="20">
        <f t="shared" si="43"/>
        <v>-385975</v>
      </c>
      <c r="AJ956" s="20">
        <f t="shared" si="44"/>
        <v>19252</v>
      </c>
    </row>
    <row r="957" spans="1:36" x14ac:dyDescent="0.2">
      <c r="A957" s="17" t="s">
        <v>5551</v>
      </c>
      <c r="B957" s="17">
        <v>42431</v>
      </c>
      <c r="C957" s="20">
        <v>0</v>
      </c>
      <c r="D957" s="20">
        <v>15522</v>
      </c>
      <c r="E957" s="20">
        <v>15522</v>
      </c>
      <c r="F957" s="20">
        <v>0</v>
      </c>
      <c r="I957" s="20">
        <v>10024</v>
      </c>
      <c r="K957" s="20">
        <v>375000</v>
      </c>
      <c r="L957" s="20">
        <v>4122</v>
      </c>
      <c r="M957" s="20">
        <v>370</v>
      </c>
      <c r="W957" s="20">
        <f t="shared" si="45"/>
        <v>405038</v>
      </c>
      <c r="X957" s="36">
        <v>-67629</v>
      </c>
      <c r="Y957" s="36">
        <v>-314843</v>
      </c>
      <c r="Z957" s="36">
        <v>0</v>
      </c>
      <c r="AA957" s="36">
        <v>-4275</v>
      </c>
      <c r="AB957" s="36"/>
      <c r="AC957" s="36"/>
      <c r="AD957" s="36">
        <v>0</v>
      </c>
      <c r="AE957" s="36"/>
      <c r="AF957" s="36"/>
      <c r="AG957" s="36"/>
      <c r="AH957" s="36"/>
      <c r="AI957" s="20">
        <f t="shared" si="43"/>
        <v>-386747</v>
      </c>
      <c r="AJ957" s="20">
        <f t="shared" si="44"/>
        <v>18291</v>
      </c>
    </row>
    <row r="958" spans="1:36" x14ac:dyDescent="0.2">
      <c r="A958" s="17" t="s">
        <v>5552</v>
      </c>
      <c r="B958" s="17">
        <v>42438</v>
      </c>
      <c r="C958" s="20">
        <v>0</v>
      </c>
      <c r="D958" s="20">
        <v>15522</v>
      </c>
      <c r="E958" s="20">
        <v>15522</v>
      </c>
      <c r="F958" s="20">
        <v>0</v>
      </c>
      <c r="I958" s="20">
        <v>9952</v>
      </c>
      <c r="K958" s="20">
        <v>375000</v>
      </c>
      <c r="L958" s="20">
        <v>5645</v>
      </c>
      <c r="M958" s="20">
        <v>370</v>
      </c>
      <c r="W958" s="20">
        <f t="shared" si="45"/>
        <v>406489</v>
      </c>
      <c r="X958" s="36">
        <v>-67823</v>
      </c>
      <c r="Y958" s="36">
        <v>-312137</v>
      </c>
      <c r="Z958" s="36">
        <v>0</v>
      </c>
      <c r="AA958" s="36">
        <v>-5630</v>
      </c>
      <c r="AB958" s="36"/>
      <c r="AC958" s="36"/>
      <c r="AD958" s="36">
        <v>0</v>
      </c>
      <c r="AE958" s="36"/>
      <c r="AF958" s="36"/>
      <c r="AG958" s="36"/>
      <c r="AH958" s="36"/>
      <c r="AI958" s="20">
        <f t="shared" si="43"/>
        <v>-385590</v>
      </c>
      <c r="AJ958" s="20">
        <f t="shared" si="44"/>
        <v>20899</v>
      </c>
    </row>
    <row r="959" spans="1:36" x14ac:dyDescent="0.2">
      <c r="A959" s="17" t="s">
        <v>5553</v>
      </c>
      <c r="B959" s="17">
        <v>42445</v>
      </c>
      <c r="C959" s="20">
        <v>0</v>
      </c>
      <c r="D959" s="20">
        <v>18657</v>
      </c>
      <c r="E959" s="20">
        <v>18657</v>
      </c>
      <c r="F959" s="20">
        <v>0</v>
      </c>
      <c r="I959" s="20">
        <v>9962</v>
      </c>
      <c r="K959" s="20">
        <v>375000</v>
      </c>
      <c r="L959" s="20">
        <v>5595</v>
      </c>
      <c r="M959" s="20">
        <v>370</v>
      </c>
      <c r="W959" s="20">
        <f t="shared" si="45"/>
        <v>409584</v>
      </c>
      <c r="X959" s="36">
        <v>-67874</v>
      </c>
      <c r="Y959" s="36">
        <v>-315435</v>
      </c>
      <c r="Z959" s="36">
        <v>0</v>
      </c>
      <c r="AA959" s="36">
        <v>-5673</v>
      </c>
      <c r="AB959" s="36"/>
      <c r="AC959" s="36"/>
      <c r="AD959" s="36">
        <v>0</v>
      </c>
      <c r="AE959" s="36"/>
      <c r="AF959" s="36"/>
      <c r="AG959" s="36"/>
      <c r="AH959" s="36"/>
      <c r="AI959" s="20">
        <f t="shared" ref="AI959:AI1022" si="46">SUM(X959:AA959)</f>
        <v>-388982</v>
      </c>
      <c r="AJ959" s="20">
        <f t="shared" ref="AJ959:AJ1022" si="47">W959+AI959</f>
        <v>20602</v>
      </c>
    </row>
    <row r="960" spans="1:36" x14ac:dyDescent="0.2">
      <c r="A960" s="17" t="s">
        <v>5554</v>
      </c>
      <c r="B960" s="17">
        <v>42452</v>
      </c>
      <c r="C960" s="20">
        <v>0</v>
      </c>
      <c r="D960" s="20">
        <v>18657</v>
      </c>
      <c r="E960" s="20">
        <v>18657</v>
      </c>
      <c r="F960" s="20">
        <v>0</v>
      </c>
      <c r="I960" s="20">
        <v>9987</v>
      </c>
      <c r="K960" s="20">
        <v>375000</v>
      </c>
      <c r="L960" s="20">
        <v>4427</v>
      </c>
      <c r="M960" s="20">
        <v>370</v>
      </c>
      <c r="W960" s="20">
        <f t="shared" si="45"/>
        <v>408441</v>
      </c>
      <c r="X960" s="36">
        <v>-68755</v>
      </c>
      <c r="Y960" s="36">
        <v>-314226</v>
      </c>
      <c r="Z960" s="36">
        <v>0</v>
      </c>
      <c r="AA960" s="36">
        <v>-4260</v>
      </c>
      <c r="AB960" s="36"/>
      <c r="AC960" s="36"/>
      <c r="AD960" s="36">
        <v>0</v>
      </c>
      <c r="AE960" s="36"/>
      <c r="AF960" s="36"/>
      <c r="AG960" s="36"/>
      <c r="AH960" s="36"/>
      <c r="AI960" s="20">
        <f t="shared" si="46"/>
        <v>-387241</v>
      </c>
      <c r="AJ960" s="20">
        <f t="shared" si="47"/>
        <v>21200</v>
      </c>
    </row>
    <row r="961" spans="1:36" x14ac:dyDescent="0.2">
      <c r="A961" s="17" t="s">
        <v>5555</v>
      </c>
      <c r="B961" s="17">
        <v>42459</v>
      </c>
      <c r="C961" s="20">
        <v>0</v>
      </c>
      <c r="D961" s="20">
        <v>18657</v>
      </c>
      <c r="E961" s="20">
        <v>18657</v>
      </c>
      <c r="F961" s="20">
        <v>0</v>
      </c>
      <c r="I961" s="20">
        <v>10009</v>
      </c>
      <c r="K961" s="20">
        <v>375000</v>
      </c>
      <c r="L961" s="20">
        <v>4333</v>
      </c>
      <c r="M961" s="20">
        <v>370</v>
      </c>
      <c r="W961" s="20">
        <f t="shared" si="45"/>
        <v>408369</v>
      </c>
      <c r="X961" s="36">
        <v>-69591</v>
      </c>
      <c r="Y961" s="36">
        <v>-313863</v>
      </c>
      <c r="Z961" s="36">
        <v>0</v>
      </c>
      <c r="AA961" s="36">
        <v>-4170</v>
      </c>
      <c r="AB961" s="36"/>
      <c r="AC961" s="36"/>
      <c r="AD961" s="36">
        <v>0</v>
      </c>
      <c r="AE961" s="36"/>
      <c r="AF961" s="36"/>
      <c r="AG961" s="36"/>
      <c r="AH961" s="36"/>
      <c r="AI961" s="20">
        <f t="shared" si="46"/>
        <v>-387624</v>
      </c>
      <c r="AJ961" s="20">
        <f t="shared" si="47"/>
        <v>20745</v>
      </c>
    </row>
    <row r="962" spans="1:36" x14ac:dyDescent="0.2">
      <c r="A962" s="17" t="s">
        <v>5556</v>
      </c>
      <c r="B962" s="17">
        <v>42466</v>
      </c>
      <c r="C962" s="20">
        <v>0</v>
      </c>
      <c r="D962" s="20">
        <v>18657</v>
      </c>
      <c r="E962" s="20">
        <v>18657</v>
      </c>
      <c r="F962" s="20">
        <v>0</v>
      </c>
      <c r="I962" s="20">
        <v>10039</v>
      </c>
      <c r="K962" s="20">
        <v>375000</v>
      </c>
      <c r="L962" s="20">
        <v>4593</v>
      </c>
      <c r="M962" s="20">
        <v>370</v>
      </c>
      <c r="W962" s="20">
        <f t="shared" si="45"/>
        <v>408659</v>
      </c>
      <c r="X962" s="36">
        <v>-68955</v>
      </c>
      <c r="Y962" s="36">
        <v>-318419</v>
      </c>
      <c r="Z962" s="36">
        <v>0</v>
      </c>
      <c r="AA962" s="36">
        <v>-4279</v>
      </c>
      <c r="AB962" s="36"/>
      <c r="AC962" s="36"/>
      <c r="AD962" s="36">
        <v>0</v>
      </c>
      <c r="AE962" s="36"/>
      <c r="AF962" s="36"/>
      <c r="AG962" s="36"/>
      <c r="AH962" s="36"/>
      <c r="AI962" s="20">
        <f t="shared" si="46"/>
        <v>-391653</v>
      </c>
      <c r="AJ962" s="20">
        <f t="shared" si="47"/>
        <v>17006</v>
      </c>
    </row>
    <row r="963" spans="1:36" x14ac:dyDescent="0.2">
      <c r="A963" s="17" t="s">
        <v>5557</v>
      </c>
      <c r="B963" s="17">
        <v>42473</v>
      </c>
      <c r="C963" s="20">
        <v>0</v>
      </c>
      <c r="D963" s="20">
        <v>18869</v>
      </c>
      <c r="E963" s="20">
        <v>18869</v>
      </c>
      <c r="F963" s="20">
        <v>0</v>
      </c>
      <c r="I963" s="20">
        <v>10033</v>
      </c>
      <c r="K963" s="20">
        <v>375000</v>
      </c>
      <c r="L963" s="20">
        <v>4551</v>
      </c>
      <c r="M963" s="20">
        <v>370</v>
      </c>
      <c r="W963" s="20">
        <f t="shared" si="45"/>
        <v>408823</v>
      </c>
      <c r="X963" s="36">
        <v>-68654</v>
      </c>
      <c r="Y963" s="36">
        <v>-319051</v>
      </c>
      <c r="Z963" s="36">
        <v>0</v>
      </c>
      <c r="AA963" s="36">
        <v>-4243</v>
      </c>
      <c r="AB963" s="36"/>
      <c r="AC963" s="36"/>
      <c r="AD963" s="36">
        <v>0</v>
      </c>
      <c r="AE963" s="36"/>
      <c r="AF963" s="36"/>
      <c r="AG963" s="36"/>
      <c r="AH963" s="36"/>
      <c r="AI963" s="20">
        <f t="shared" si="46"/>
        <v>-391948</v>
      </c>
      <c r="AJ963" s="20">
        <f t="shared" si="47"/>
        <v>16875</v>
      </c>
    </row>
    <row r="964" spans="1:36" x14ac:dyDescent="0.2">
      <c r="A964" s="17" t="s">
        <v>5558</v>
      </c>
      <c r="B964" s="17">
        <v>42480</v>
      </c>
      <c r="C964" s="20">
        <v>0</v>
      </c>
      <c r="D964" s="20">
        <v>18869</v>
      </c>
      <c r="E964" s="20">
        <v>18869</v>
      </c>
      <c r="F964" s="20">
        <v>0</v>
      </c>
      <c r="I964" s="20">
        <v>10024</v>
      </c>
      <c r="K964" s="20">
        <v>375000</v>
      </c>
      <c r="L964" s="20">
        <v>4172</v>
      </c>
      <c r="M964" s="20">
        <v>370</v>
      </c>
      <c r="W964" s="20">
        <f t="shared" si="45"/>
        <v>408435</v>
      </c>
      <c r="X964" s="36">
        <v>-68764</v>
      </c>
      <c r="Y964" s="36">
        <v>-319093</v>
      </c>
      <c r="Z964" s="36">
        <v>0</v>
      </c>
      <c r="AA964" s="36">
        <v>-4185</v>
      </c>
      <c r="AB964" s="36"/>
      <c r="AC964" s="36"/>
      <c r="AD964" s="36">
        <v>0</v>
      </c>
      <c r="AE964" s="36"/>
      <c r="AF964" s="36"/>
      <c r="AG964" s="36"/>
      <c r="AH964" s="36"/>
      <c r="AI964" s="20">
        <f t="shared" si="46"/>
        <v>-392042</v>
      </c>
      <c r="AJ964" s="20">
        <f t="shared" si="47"/>
        <v>16393</v>
      </c>
    </row>
    <row r="965" spans="1:36" x14ac:dyDescent="0.2">
      <c r="A965" s="17" t="s">
        <v>5559</v>
      </c>
      <c r="B965" s="17">
        <v>42487</v>
      </c>
      <c r="C965" s="20">
        <v>0</v>
      </c>
      <c r="D965" s="20">
        <v>18869</v>
      </c>
      <c r="E965" s="20">
        <v>18869</v>
      </c>
      <c r="F965" s="20">
        <v>0</v>
      </c>
      <c r="I965" s="20">
        <v>9974</v>
      </c>
      <c r="K965" s="20">
        <v>375000</v>
      </c>
      <c r="L965" s="20">
        <v>4127</v>
      </c>
      <c r="M965" s="20">
        <v>370</v>
      </c>
      <c r="W965" s="20">
        <f t="shared" si="45"/>
        <v>408340</v>
      </c>
      <c r="X965" s="36">
        <v>-69301</v>
      </c>
      <c r="Y965" s="36">
        <v>-317165</v>
      </c>
      <c r="Z965" s="36">
        <v>0</v>
      </c>
      <c r="AA965" s="36">
        <v>-4139</v>
      </c>
      <c r="AB965" s="36"/>
      <c r="AC965" s="36"/>
      <c r="AD965" s="36">
        <v>0</v>
      </c>
      <c r="AE965" s="36"/>
      <c r="AF965" s="36"/>
      <c r="AG965" s="36"/>
      <c r="AH965" s="36"/>
      <c r="AI965" s="20">
        <f t="shared" si="46"/>
        <v>-390605</v>
      </c>
      <c r="AJ965" s="20">
        <f t="shared" si="47"/>
        <v>17735</v>
      </c>
    </row>
    <row r="966" spans="1:36" x14ac:dyDescent="0.2">
      <c r="A966" s="17" t="s">
        <v>5560</v>
      </c>
      <c r="B966" s="17">
        <v>42494</v>
      </c>
      <c r="C966" s="20">
        <v>0</v>
      </c>
      <c r="D966" s="20">
        <v>18869</v>
      </c>
      <c r="E966" s="20">
        <v>18869</v>
      </c>
      <c r="F966" s="20">
        <v>0</v>
      </c>
      <c r="I966" s="20">
        <v>10008</v>
      </c>
      <c r="K966" s="20">
        <v>375000</v>
      </c>
      <c r="L966" s="20">
        <v>4152</v>
      </c>
      <c r="M966" s="20">
        <v>370</v>
      </c>
      <c r="W966" s="20">
        <f t="shared" si="45"/>
        <v>408399</v>
      </c>
      <c r="X966" s="36">
        <v>-69871</v>
      </c>
      <c r="Y966" s="36">
        <v>-318068</v>
      </c>
      <c r="Z966" s="36">
        <v>0</v>
      </c>
      <c r="AA966" s="36">
        <v>-4165</v>
      </c>
      <c r="AB966" s="36"/>
      <c r="AC966" s="36"/>
      <c r="AD966" s="36">
        <v>0</v>
      </c>
      <c r="AE966" s="36"/>
      <c r="AF966" s="36"/>
      <c r="AG966" s="36"/>
      <c r="AH966" s="36"/>
      <c r="AI966" s="20">
        <f t="shared" si="46"/>
        <v>-392104</v>
      </c>
      <c r="AJ966" s="20">
        <f t="shared" si="47"/>
        <v>16295</v>
      </c>
    </row>
    <row r="967" spans="1:36" x14ac:dyDescent="0.2">
      <c r="A967" s="17" t="s">
        <v>5561</v>
      </c>
      <c r="B967" s="17">
        <v>42501</v>
      </c>
      <c r="C967" s="20">
        <v>0</v>
      </c>
      <c r="D967" s="20">
        <v>18869</v>
      </c>
      <c r="E967" s="20">
        <v>18869</v>
      </c>
      <c r="F967" s="20">
        <v>0</v>
      </c>
      <c r="I967" s="20">
        <v>10063</v>
      </c>
      <c r="K967" s="20">
        <v>375000</v>
      </c>
      <c r="L967" s="20">
        <v>4173</v>
      </c>
      <c r="M967" s="20">
        <v>370</v>
      </c>
      <c r="W967" s="20">
        <f t="shared" si="45"/>
        <v>408475</v>
      </c>
      <c r="X967" s="36">
        <v>-69655</v>
      </c>
      <c r="Y967" s="36">
        <v>-317932</v>
      </c>
      <c r="Z967" s="36">
        <v>0</v>
      </c>
      <c r="AA967" s="36">
        <v>-4170</v>
      </c>
      <c r="AB967" s="36"/>
      <c r="AC967" s="36"/>
      <c r="AD967" s="36">
        <v>0</v>
      </c>
      <c r="AE967" s="36"/>
      <c r="AF967" s="36"/>
      <c r="AG967" s="36"/>
      <c r="AH967" s="36"/>
      <c r="AI967" s="20">
        <f t="shared" si="46"/>
        <v>-391757</v>
      </c>
      <c r="AJ967" s="20">
        <f t="shared" si="47"/>
        <v>16718</v>
      </c>
    </row>
    <row r="968" spans="1:36" x14ac:dyDescent="0.2">
      <c r="A968" s="17" t="s">
        <v>5562</v>
      </c>
      <c r="B968" s="17">
        <v>42508</v>
      </c>
      <c r="C968" s="20">
        <v>0</v>
      </c>
      <c r="D968" s="20">
        <v>18015</v>
      </c>
      <c r="E968" s="20">
        <v>18015</v>
      </c>
      <c r="F968" s="20">
        <v>0</v>
      </c>
      <c r="I968" s="20">
        <v>10045</v>
      </c>
      <c r="K968" s="20">
        <v>375000</v>
      </c>
      <c r="L968" s="20">
        <v>4122</v>
      </c>
      <c r="M968" s="20">
        <v>370</v>
      </c>
      <c r="W968" s="20">
        <f t="shared" si="45"/>
        <v>407552</v>
      </c>
      <c r="X968" s="36">
        <v>-69523</v>
      </c>
      <c r="Y968" s="36">
        <v>-317528</v>
      </c>
      <c r="Z968" s="36">
        <v>0</v>
      </c>
      <c r="AA968" s="36">
        <v>-4117</v>
      </c>
      <c r="AB968" s="36"/>
      <c r="AC968" s="36"/>
      <c r="AD968" s="36">
        <v>0</v>
      </c>
      <c r="AE968" s="36"/>
      <c r="AF968" s="36"/>
      <c r="AG968" s="36"/>
      <c r="AH968" s="36"/>
      <c r="AI968" s="20">
        <f t="shared" si="46"/>
        <v>-391168</v>
      </c>
      <c r="AJ968" s="20">
        <f t="shared" si="47"/>
        <v>16384</v>
      </c>
    </row>
    <row r="969" spans="1:36" x14ac:dyDescent="0.2">
      <c r="A969" s="17" t="s">
        <v>5563</v>
      </c>
      <c r="B969" s="17">
        <v>42515</v>
      </c>
      <c r="C969" s="20">
        <v>0</v>
      </c>
      <c r="D969" s="20">
        <v>18015</v>
      </c>
      <c r="E969" s="20">
        <v>18015</v>
      </c>
      <c r="F969" s="20">
        <v>0</v>
      </c>
      <c r="I969" s="20">
        <v>10038</v>
      </c>
      <c r="K969" s="20">
        <v>375000</v>
      </c>
      <c r="L969" s="20">
        <v>4091</v>
      </c>
      <c r="M969" s="20">
        <v>370</v>
      </c>
      <c r="W969" s="20">
        <f t="shared" si="45"/>
        <v>407514</v>
      </c>
      <c r="X969" s="36">
        <v>-69687</v>
      </c>
      <c r="Y969" s="36">
        <v>-317800</v>
      </c>
      <c r="Z969" s="36">
        <v>0</v>
      </c>
      <c r="AA969" s="36">
        <v>-4085</v>
      </c>
      <c r="AB969" s="36"/>
      <c r="AC969" s="36"/>
      <c r="AD969" s="36">
        <v>0</v>
      </c>
      <c r="AE969" s="36"/>
      <c r="AF969" s="36"/>
      <c r="AG969" s="36"/>
      <c r="AH969" s="36"/>
      <c r="AI969" s="20">
        <f t="shared" si="46"/>
        <v>-391572</v>
      </c>
      <c r="AJ969" s="20">
        <f t="shared" si="47"/>
        <v>15942</v>
      </c>
    </row>
    <row r="970" spans="1:36" x14ac:dyDescent="0.2">
      <c r="A970" s="17" t="s">
        <v>5564</v>
      </c>
      <c r="B970" s="17">
        <v>42522</v>
      </c>
      <c r="C970" s="20">
        <v>0</v>
      </c>
      <c r="D970" s="20">
        <v>18015</v>
      </c>
      <c r="E970" s="20">
        <v>18015</v>
      </c>
      <c r="F970" s="20">
        <v>0</v>
      </c>
      <c r="I970" s="20">
        <v>10031</v>
      </c>
      <c r="K970" s="20">
        <v>375000</v>
      </c>
      <c r="L970" s="20">
        <v>4178</v>
      </c>
      <c r="M970" s="20">
        <v>370</v>
      </c>
      <c r="W970" s="20">
        <f t="shared" si="45"/>
        <v>407594</v>
      </c>
      <c r="X970" s="36">
        <v>-70391</v>
      </c>
      <c r="Y970" s="36">
        <v>-317689</v>
      </c>
      <c r="Z970" s="36">
        <v>0</v>
      </c>
      <c r="AA970" s="36">
        <v>-4172</v>
      </c>
      <c r="AB970" s="36"/>
      <c r="AC970" s="36"/>
      <c r="AD970" s="36">
        <v>0</v>
      </c>
      <c r="AE970" s="36"/>
      <c r="AF970" s="36"/>
      <c r="AG970" s="36"/>
      <c r="AH970" s="36"/>
      <c r="AI970" s="20">
        <f t="shared" si="46"/>
        <v>-392252</v>
      </c>
      <c r="AJ970" s="20">
        <f t="shared" si="47"/>
        <v>15342</v>
      </c>
    </row>
    <row r="971" spans="1:36" x14ac:dyDescent="0.2">
      <c r="A971" s="17" t="s">
        <v>5565</v>
      </c>
      <c r="B971" s="17">
        <v>42529</v>
      </c>
      <c r="C971" s="20">
        <v>0</v>
      </c>
      <c r="D971" s="20">
        <v>18015</v>
      </c>
      <c r="E971" s="20">
        <v>18015</v>
      </c>
      <c r="F971" s="20">
        <v>0</v>
      </c>
      <c r="I971" s="20">
        <v>10044</v>
      </c>
      <c r="K971" s="20">
        <v>375000</v>
      </c>
      <c r="L971" s="20">
        <v>4147</v>
      </c>
      <c r="M971" s="20">
        <v>370</v>
      </c>
      <c r="W971" s="20">
        <f t="shared" si="45"/>
        <v>407576</v>
      </c>
      <c r="X971" s="36">
        <v>-69949</v>
      </c>
      <c r="Y971" s="36">
        <v>-315276</v>
      </c>
      <c r="Z971" s="36">
        <v>0</v>
      </c>
      <c r="AA971" s="36">
        <v>-4141</v>
      </c>
      <c r="AB971" s="36"/>
      <c r="AC971" s="36"/>
      <c r="AD971" s="36">
        <v>0</v>
      </c>
      <c r="AE971" s="36"/>
      <c r="AF971" s="36"/>
      <c r="AG971" s="36"/>
      <c r="AH971" s="36"/>
      <c r="AI971" s="20">
        <f t="shared" si="46"/>
        <v>-389366</v>
      </c>
      <c r="AJ971" s="20">
        <f t="shared" si="47"/>
        <v>18210</v>
      </c>
    </row>
    <row r="972" spans="1:36" x14ac:dyDescent="0.2">
      <c r="A972" s="17" t="s">
        <v>5566</v>
      </c>
      <c r="B972" s="17">
        <v>42536</v>
      </c>
      <c r="C972" s="20">
        <v>0</v>
      </c>
      <c r="D972" s="20">
        <v>17670</v>
      </c>
      <c r="E972" s="20">
        <v>17670</v>
      </c>
      <c r="F972" s="20">
        <v>0</v>
      </c>
      <c r="I972" s="20">
        <v>10089</v>
      </c>
      <c r="K972" s="20">
        <v>375000</v>
      </c>
      <c r="L972" s="20">
        <v>4259</v>
      </c>
      <c r="M972" s="20">
        <v>370</v>
      </c>
      <c r="W972" s="20">
        <f t="shared" si="45"/>
        <v>407388</v>
      </c>
      <c r="X972" s="36">
        <v>-69976</v>
      </c>
      <c r="Y972" s="36">
        <v>-315182</v>
      </c>
      <c r="Z972" s="36">
        <v>0</v>
      </c>
      <c r="AA972" s="36">
        <v>-4251</v>
      </c>
      <c r="AB972" s="36"/>
      <c r="AC972" s="36"/>
      <c r="AD972" s="36">
        <v>0</v>
      </c>
      <c r="AE972" s="36"/>
      <c r="AF972" s="36"/>
      <c r="AG972" s="36"/>
      <c r="AH972" s="36"/>
      <c r="AI972" s="20">
        <f t="shared" si="46"/>
        <v>-389409</v>
      </c>
      <c r="AJ972" s="20">
        <f t="shared" si="47"/>
        <v>17979</v>
      </c>
    </row>
    <row r="973" spans="1:36" x14ac:dyDescent="0.2">
      <c r="A973" s="17" t="s">
        <v>5567</v>
      </c>
      <c r="B973" s="17">
        <v>42543</v>
      </c>
      <c r="C973" s="20">
        <v>0</v>
      </c>
      <c r="D973" s="20">
        <v>20125</v>
      </c>
      <c r="E973" s="20">
        <v>20125</v>
      </c>
      <c r="F973" s="20">
        <v>0</v>
      </c>
      <c r="I973" s="20">
        <v>10017</v>
      </c>
      <c r="K973" s="20">
        <v>375000</v>
      </c>
      <c r="L973" s="20">
        <v>4112</v>
      </c>
      <c r="M973" s="20">
        <v>370</v>
      </c>
      <c r="W973" s="20">
        <f t="shared" si="45"/>
        <v>409624</v>
      </c>
      <c r="X973" s="36">
        <v>-70185</v>
      </c>
      <c r="Y973" s="36">
        <v>-315851</v>
      </c>
      <c r="Z973" s="36">
        <v>0</v>
      </c>
      <c r="AA973" s="36">
        <v>-4104</v>
      </c>
      <c r="AB973" s="36"/>
      <c r="AC973" s="36"/>
      <c r="AD973" s="36">
        <v>0</v>
      </c>
      <c r="AE973" s="36"/>
      <c r="AF973" s="36"/>
      <c r="AG973" s="36"/>
      <c r="AH973" s="36"/>
      <c r="AI973" s="20">
        <f t="shared" si="46"/>
        <v>-390140</v>
      </c>
      <c r="AJ973" s="20">
        <f t="shared" si="47"/>
        <v>19484</v>
      </c>
    </row>
    <row r="974" spans="1:36" x14ac:dyDescent="0.2">
      <c r="A974" s="17" t="s">
        <v>5568</v>
      </c>
      <c r="B974" s="17">
        <v>42550</v>
      </c>
      <c r="C974" s="20">
        <v>0</v>
      </c>
      <c r="D974" s="20">
        <v>20495</v>
      </c>
      <c r="E974" s="20">
        <v>20495</v>
      </c>
      <c r="F974" s="20">
        <v>0</v>
      </c>
      <c r="I974" s="20">
        <v>10158</v>
      </c>
      <c r="K974" s="20">
        <v>375000</v>
      </c>
      <c r="L974" s="20">
        <v>4482</v>
      </c>
      <c r="M974" s="20">
        <v>370</v>
      </c>
      <c r="W974" s="20">
        <f t="shared" si="45"/>
        <v>410505</v>
      </c>
      <c r="X974" s="36">
        <v>-70969</v>
      </c>
      <c r="Y974" s="36">
        <v>-316666</v>
      </c>
      <c r="Z974" s="36">
        <v>0</v>
      </c>
      <c r="AA974" s="36">
        <v>-4468</v>
      </c>
      <c r="AB974" s="36"/>
      <c r="AC974" s="36"/>
      <c r="AD974" s="36">
        <v>0</v>
      </c>
      <c r="AE974" s="36"/>
      <c r="AF974" s="36"/>
      <c r="AG974" s="36"/>
      <c r="AH974" s="36"/>
      <c r="AI974" s="20">
        <f t="shared" si="46"/>
        <v>-392103</v>
      </c>
      <c r="AJ974" s="20">
        <f t="shared" si="47"/>
        <v>18402</v>
      </c>
    </row>
    <row r="975" spans="1:36" x14ac:dyDescent="0.2">
      <c r="A975" s="17" t="s">
        <v>5569</v>
      </c>
      <c r="B975" s="17">
        <v>42557</v>
      </c>
      <c r="C975" s="20">
        <v>0</v>
      </c>
      <c r="D975" s="20">
        <v>23567</v>
      </c>
      <c r="E975" s="20">
        <v>23567</v>
      </c>
      <c r="F975" s="20">
        <v>0</v>
      </c>
      <c r="I975" s="20">
        <v>10215</v>
      </c>
      <c r="K975" s="20">
        <v>375000</v>
      </c>
      <c r="L975" s="20">
        <v>4705</v>
      </c>
      <c r="M975" s="20">
        <v>370</v>
      </c>
      <c r="W975" s="20">
        <f t="shared" si="45"/>
        <v>413857</v>
      </c>
      <c r="X975" s="36">
        <v>-71366</v>
      </c>
      <c r="Y975" s="36">
        <v>-319679</v>
      </c>
      <c r="Z975" s="36">
        <v>0</v>
      </c>
      <c r="AA975" s="36">
        <v>-4690</v>
      </c>
      <c r="AB975" s="36"/>
      <c r="AC975" s="36"/>
      <c r="AD975" s="36">
        <v>0</v>
      </c>
      <c r="AE975" s="36"/>
      <c r="AF975" s="36"/>
      <c r="AG975" s="36"/>
      <c r="AH975" s="36"/>
      <c r="AI975" s="20">
        <f t="shared" si="46"/>
        <v>-395735</v>
      </c>
      <c r="AJ975" s="20">
        <f t="shared" si="47"/>
        <v>18122</v>
      </c>
    </row>
    <row r="976" spans="1:36" x14ac:dyDescent="0.2">
      <c r="A976" s="17" t="s">
        <v>5570</v>
      </c>
      <c r="B976" s="17">
        <v>42564</v>
      </c>
      <c r="C976" s="20">
        <v>0</v>
      </c>
      <c r="D976" s="20">
        <v>21796</v>
      </c>
      <c r="E976" s="20">
        <v>21796</v>
      </c>
      <c r="F976" s="20">
        <v>0</v>
      </c>
      <c r="I976" s="20">
        <v>10257</v>
      </c>
      <c r="K976" s="20">
        <v>375000</v>
      </c>
      <c r="L976" s="20">
        <v>4582</v>
      </c>
      <c r="M976" s="20">
        <v>370</v>
      </c>
      <c r="W976" s="20">
        <f t="shared" si="45"/>
        <v>412005</v>
      </c>
      <c r="X976" s="36">
        <v>-71519</v>
      </c>
      <c r="Y976" s="36">
        <v>-317053</v>
      </c>
      <c r="Z976" s="36">
        <v>0</v>
      </c>
      <c r="AA976" s="36">
        <v>-4565</v>
      </c>
      <c r="AB976" s="36"/>
      <c r="AC976" s="36"/>
      <c r="AD976" s="36">
        <v>0</v>
      </c>
      <c r="AE976" s="36"/>
      <c r="AF976" s="36"/>
      <c r="AG976" s="36"/>
      <c r="AH976" s="36"/>
      <c r="AI976" s="20">
        <f t="shared" si="46"/>
        <v>-393137</v>
      </c>
      <c r="AJ976" s="20">
        <f t="shared" si="47"/>
        <v>18868</v>
      </c>
    </row>
    <row r="977" spans="1:36" x14ac:dyDescent="0.2">
      <c r="A977" s="17" t="s">
        <v>5571</v>
      </c>
      <c r="B977" s="17">
        <v>42571</v>
      </c>
      <c r="C977" s="20">
        <v>0</v>
      </c>
      <c r="D977" s="20">
        <v>23801</v>
      </c>
      <c r="E977" s="20">
        <v>23801</v>
      </c>
      <c r="F977" s="20">
        <v>0</v>
      </c>
      <c r="I977" s="20">
        <v>10226</v>
      </c>
      <c r="K977" s="20">
        <v>375000</v>
      </c>
      <c r="L977" s="20">
        <v>4588</v>
      </c>
      <c r="M977" s="20">
        <v>370</v>
      </c>
      <c r="W977" s="20">
        <f t="shared" si="45"/>
        <v>413985</v>
      </c>
      <c r="X977" s="36">
        <v>-71519</v>
      </c>
      <c r="Y977" s="36">
        <v>-319931</v>
      </c>
      <c r="Z977" s="36">
        <v>0</v>
      </c>
      <c r="AA977" s="36">
        <v>-4572</v>
      </c>
      <c r="AB977" s="36"/>
      <c r="AC977" s="36"/>
      <c r="AD977" s="36">
        <v>0</v>
      </c>
      <c r="AE977" s="36"/>
      <c r="AF977" s="36"/>
      <c r="AG977" s="36"/>
      <c r="AH977" s="36"/>
      <c r="AI977" s="20">
        <f t="shared" si="46"/>
        <v>-396022</v>
      </c>
      <c r="AJ977" s="20">
        <f t="shared" si="47"/>
        <v>17963</v>
      </c>
    </row>
    <row r="978" spans="1:36" x14ac:dyDescent="0.2">
      <c r="A978" s="17" t="s">
        <v>5572</v>
      </c>
      <c r="B978" s="17">
        <v>42578</v>
      </c>
      <c r="C978" s="20">
        <v>0</v>
      </c>
      <c r="D978" s="20">
        <v>24051</v>
      </c>
      <c r="E978" s="20">
        <v>24051</v>
      </c>
      <c r="F978" s="20">
        <v>0</v>
      </c>
      <c r="I978" s="20">
        <v>10301</v>
      </c>
      <c r="K978" s="20">
        <v>375000</v>
      </c>
      <c r="L978" s="20">
        <v>4609</v>
      </c>
      <c r="M978" s="20">
        <v>370</v>
      </c>
      <c r="W978" s="20">
        <f t="shared" si="45"/>
        <v>414331</v>
      </c>
      <c r="X978" s="36">
        <v>-71751</v>
      </c>
      <c r="Y978" s="36">
        <v>-319040</v>
      </c>
      <c r="Z978" s="36">
        <v>0</v>
      </c>
      <c r="AA978" s="36">
        <v>-4593</v>
      </c>
      <c r="AB978" s="36"/>
      <c r="AC978" s="36"/>
      <c r="AD978" s="36">
        <v>0</v>
      </c>
      <c r="AE978" s="36"/>
      <c r="AF978" s="36"/>
      <c r="AG978" s="36"/>
      <c r="AH978" s="36"/>
      <c r="AI978" s="20">
        <f t="shared" si="46"/>
        <v>-395384</v>
      </c>
      <c r="AJ978" s="20">
        <f t="shared" si="47"/>
        <v>18947</v>
      </c>
    </row>
    <row r="979" spans="1:36" x14ac:dyDescent="0.2">
      <c r="A979" s="17" t="s">
        <v>5573</v>
      </c>
      <c r="B979" s="17">
        <v>42585</v>
      </c>
      <c r="C979" s="20">
        <v>0</v>
      </c>
      <c r="D979" s="20">
        <v>24126</v>
      </c>
      <c r="E979" s="20">
        <v>24126</v>
      </c>
      <c r="F979" s="20">
        <v>0</v>
      </c>
      <c r="I979" s="20">
        <v>10316</v>
      </c>
      <c r="K979" s="20">
        <v>375000</v>
      </c>
      <c r="L979" s="20">
        <v>4539</v>
      </c>
      <c r="M979" s="20">
        <v>370</v>
      </c>
      <c r="W979" s="20">
        <f t="shared" si="45"/>
        <v>414351</v>
      </c>
      <c r="X979" s="36">
        <v>-71978</v>
      </c>
      <c r="Y979" s="36">
        <v>-320728</v>
      </c>
      <c r="Z979" s="36">
        <v>0</v>
      </c>
      <c r="AA979" s="36">
        <v>-4525</v>
      </c>
      <c r="AB979" s="36"/>
      <c r="AC979" s="36"/>
      <c r="AD979" s="36">
        <v>0</v>
      </c>
      <c r="AE979" s="36"/>
      <c r="AF979" s="36"/>
      <c r="AG979" s="36"/>
      <c r="AH979" s="36"/>
      <c r="AI979" s="20">
        <f t="shared" si="46"/>
        <v>-397231</v>
      </c>
      <c r="AJ979" s="20">
        <f t="shared" si="47"/>
        <v>17120</v>
      </c>
    </row>
    <row r="980" spans="1:36" x14ac:dyDescent="0.2">
      <c r="A980" s="17" t="s">
        <v>5574</v>
      </c>
      <c r="B980" s="17">
        <v>42592</v>
      </c>
      <c r="C980" s="20">
        <v>0</v>
      </c>
      <c r="D980" s="20">
        <v>24326</v>
      </c>
      <c r="E980" s="20">
        <v>24326</v>
      </c>
      <c r="F980" s="20">
        <v>0</v>
      </c>
      <c r="I980" s="20">
        <v>10414</v>
      </c>
      <c r="K980" s="20">
        <v>377288</v>
      </c>
      <c r="L980" s="20">
        <v>4648</v>
      </c>
      <c r="M980" s="20">
        <v>370</v>
      </c>
      <c r="W980" s="20">
        <f t="shared" si="45"/>
        <v>417046</v>
      </c>
      <c r="X980" s="36">
        <v>-71977</v>
      </c>
      <c r="Y980" s="36">
        <v>-323645</v>
      </c>
      <c r="Z980" s="36">
        <v>0</v>
      </c>
      <c r="AA980" s="36">
        <v>-4632</v>
      </c>
      <c r="AB980" s="36"/>
      <c r="AC980" s="36"/>
      <c r="AD980" s="36">
        <v>0</v>
      </c>
      <c r="AE980" s="36"/>
      <c r="AF980" s="36"/>
      <c r="AG980" s="36"/>
      <c r="AH980" s="36"/>
      <c r="AI980" s="20">
        <f t="shared" si="46"/>
        <v>-400254</v>
      </c>
      <c r="AJ980" s="20">
        <f t="shared" si="47"/>
        <v>16792</v>
      </c>
    </row>
    <row r="981" spans="1:36" x14ac:dyDescent="0.2">
      <c r="A981" s="17" t="s">
        <v>5575</v>
      </c>
      <c r="B981" s="17">
        <v>42599</v>
      </c>
      <c r="C981" s="20">
        <v>0</v>
      </c>
      <c r="D981" s="20">
        <v>23374</v>
      </c>
      <c r="E981" s="20">
        <v>23374</v>
      </c>
      <c r="F981" s="20">
        <v>0</v>
      </c>
      <c r="I981" s="20">
        <v>10428</v>
      </c>
      <c r="K981" s="20">
        <v>380798</v>
      </c>
      <c r="L981" s="20">
        <v>4645</v>
      </c>
      <c r="M981" s="20">
        <v>370</v>
      </c>
      <c r="W981" s="20">
        <f t="shared" si="45"/>
        <v>419615</v>
      </c>
      <c r="X981" s="36">
        <v>-71955</v>
      </c>
      <c r="Y981" s="36">
        <v>-326164</v>
      </c>
      <c r="Z981" s="36">
        <v>0</v>
      </c>
      <c r="AA981" s="36">
        <v>-4627</v>
      </c>
      <c r="AB981" s="36"/>
      <c r="AC981" s="36"/>
      <c r="AD981" s="36">
        <v>0</v>
      </c>
      <c r="AE981" s="36"/>
      <c r="AF981" s="36"/>
      <c r="AG981" s="36"/>
      <c r="AH981" s="36"/>
      <c r="AI981" s="20">
        <f t="shared" si="46"/>
        <v>-402746</v>
      </c>
      <c r="AJ981" s="20">
        <f t="shared" si="47"/>
        <v>16869</v>
      </c>
    </row>
    <row r="982" spans="1:36" x14ac:dyDescent="0.2">
      <c r="A982" s="17" t="s">
        <v>5576</v>
      </c>
      <c r="B982" s="17">
        <v>42606</v>
      </c>
      <c r="C982" s="20">
        <v>0</v>
      </c>
      <c r="D982" s="20">
        <v>23599</v>
      </c>
      <c r="E982" s="20">
        <v>23599</v>
      </c>
      <c r="F982" s="20">
        <v>0</v>
      </c>
      <c r="I982" s="20">
        <v>10465</v>
      </c>
      <c r="K982" s="20">
        <v>384307</v>
      </c>
      <c r="L982" s="20">
        <v>4565</v>
      </c>
      <c r="M982" s="20">
        <v>370</v>
      </c>
      <c r="W982" s="20">
        <f t="shared" si="45"/>
        <v>423306</v>
      </c>
      <c r="X982" s="36">
        <v>-72261</v>
      </c>
      <c r="Y982" s="36">
        <v>-328861</v>
      </c>
      <c r="Z982" s="36">
        <v>0</v>
      </c>
      <c r="AA982" s="36">
        <v>-4546</v>
      </c>
      <c r="AB982" s="36"/>
      <c r="AC982" s="36"/>
      <c r="AD982" s="36">
        <v>0</v>
      </c>
      <c r="AE982" s="36"/>
      <c r="AF982" s="36"/>
      <c r="AG982" s="36"/>
      <c r="AH982" s="36"/>
      <c r="AI982" s="20">
        <f t="shared" si="46"/>
        <v>-405668</v>
      </c>
      <c r="AJ982" s="20">
        <f t="shared" si="47"/>
        <v>17638</v>
      </c>
    </row>
    <row r="983" spans="1:36" x14ac:dyDescent="0.2">
      <c r="A983" s="17" t="s">
        <v>5577</v>
      </c>
      <c r="B983" s="17">
        <v>42613</v>
      </c>
      <c r="C983" s="20">
        <v>0</v>
      </c>
      <c r="D983" s="20">
        <v>24229</v>
      </c>
      <c r="E983" s="20">
        <v>24229</v>
      </c>
      <c r="F983" s="20">
        <v>0</v>
      </c>
      <c r="I983" s="20">
        <v>10591</v>
      </c>
      <c r="K983" s="20">
        <v>386647</v>
      </c>
      <c r="L983" s="20">
        <v>4614</v>
      </c>
      <c r="M983" s="20">
        <v>370</v>
      </c>
      <c r="W983" s="20">
        <f t="shared" si="45"/>
        <v>426451</v>
      </c>
      <c r="X983" s="36">
        <v>-72714</v>
      </c>
      <c r="Y983" s="36">
        <v>-329063</v>
      </c>
      <c r="Z983" s="36">
        <v>0</v>
      </c>
      <c r="AA983" s="36">
        <v>-4595</v>
      </c>
      <c r="AB983" s="36"/>
      <c r="AC983" s="36"/>
      <c r="AD983" s="36">
        <v>0</v>
      </c>
      <c r="AE983" s="36"/>
      <c r="AF983" s="36"/>
      <c r="AG983" s="36"/>
      <c r="AH983" s="36"/>
      <c r="AI983" s="20">
        <f t="shared" si="46"/>
        <v>-406372</v>
      </c>
      <c r="AJ983" s="20">
        <f t="shared" si="47"/>
        <v>20079</v>
      </c>
    </row>
    <row r="984" spans="1:36" x14ac:dyDescent="0.2">
      <c r="A984" s="17" t="s">
        <v>5578</v>
      </c>
      <c r="B984" s="17">
        <v>42620</v>
      </c>
      <c r="C984" s="20">
        <v>0</v>
      </c>
      <c r="D984" s="20">
        <v>24229</v>
      </c>
      <c r="E984" s="20">
        <v>24229</v>
      </c>
      <c r="F984" s="20">
        <v>0</v>
      </c>
      <c r="I984" s="20">
        <v>9694</v>
      </c>
      <c r="K984" s="20">
        <v>390157</v>
      </c>
      <c r="L984" s="20">
        <v>4532</v>
      </c>
      <c r="M984" s="20">
        <v>370</v>
      </c>
      <c r="W984" s="20">
        <f t="shared" si="45"/>
        <v>428982</v>
      </c>
      <c r="X984" s="36">
        <v>-72534</v>
      </c>
      <c r="Y984" s="36">
        <v>-318481</v>
      </c>
      <c r="Z984" s="36">
        <v>0</v>
      </c>
      <c r="AA984" s="36">
        <v>-4511</v>
      </c>
      <c r="AB984" s="36"/>
      <c r="AC984" s="36"/>
      <c r="AD984" s="36">
        <v>0</v>
      </c>
      <c r="AE984" s="36"/>
      <c r="AF984" s="36"/>
      <c r="AG984" s="36"/>
      <c r="AH984" s="36"/>
      <c r="AI984" s="20">
        <f t="shared" si="46"/>
        <v>-395526</v>
      </c>
      <c r="AJ984" s="20">
        <f t="shared" si="47"/>
        <v>33456</v>
      </c>
    </row>
    <row r="985" spans="1:36" x14ac:dyDescent="0.2">
      <c r="A985" s="17" t="s">
        <v>5579</v>
      </c>
      <c r="B985" s="17">
        <v>42627</v>
      </c>
      <c r="C985" s="20">
        <v>0</v>
      </c>
      <c r="D985" s="20">
        <v>20209</v>
      </c>
      <c r="E985" s="20">
        <v>20209</v>
      </c>
      <c r="F985" s="20">
        <v>0</v>
      </c>
      <c r="I985" s="20">
        <v>9650</v>
      </c>
      <c r="K985" s="20">
        <v>392566</v>
      </c>
      <c r="L985" s="20">
        <v>4582</v>
      </c>
      <c r="M985" s="20">
        <v>370</v>
      </c>
      <c r="W985" s="20">
        <f t="shared" si="45"/>
        <v>427377</v>
      </c>
      <c r="X985" s="36">
        <v>-72478</v>
      </c>
      <c r="Y985" s="36">
        <v>-318442</v>
      </c>
      <c r="Z985" s="36">
        <v>0</v>
      </c>
      <c r="AA985" s="36">
        <v>-4567</v>
      </c>
      <c r="AB985" s="36"/>
      <c r="AC985" s="36"/>
      <c r="AD985" s="36">
        <v>0</v>
      </c>
      <c r="AE985" s="36"/>
      <c r="AF985" s="36"/>
      <c r="AG985" s="36"/>
      <c r="AH985" s="36"/>
      <c r="AI985" s="20">
        <f t="shared" si="46"/>
        <v>-395487</v>
      </c>
      <c r="AJ985" s="20">
        <f t="shared" si="47"/>
        <v>31890</v>
      </c>
    </row>
    <row r="986" spans="1:36" x14ac:dyDescent="0.2">
      <c r="A986" s="17" t="s">
        <v>5580</v>
      </c>
      <c r="B986" s="17">
        <v>42634</v>
      </c>
      <c r="C986" s="20">
        <v>0</v>
      </c>
      <c r="D986" s="20">
        <v>20279</v>
      </c>
      <c r="E986" s="20">
        <v>20279</v>
      </c>
      <c r="F986" s="20">
        <v>0</v>
      </c>
      <c r="I986" s="20">
        <v>9678</v>
      </c>
      <c r="K986" s="20">
        <v>394426</v>
      </c>
      <c r="L986" s="20">
        <v>4641</v>
      </c>
      <c r="M986" s="20">
        <v>370</v>
      </c>
      <c r="W986" s="20">
        <f t="shared" si="45"/>
        <v>429394</v>
      </c>
      <c r="X986" s="36">
        <v>-72382</v>
      </c>
      <c r="Y986" s="36">
        <v>-320701</v>
      </c>
      <c r="Z986" s="36">
        <v>0</v>
      </c>
      <c r="AA986" s="36">
        <v>-4642</v>
      </c>
      <c r="AB986" s="36"/>
      <c r="AC986" s="36"/>
      <c r="AD986" s="36">
        <v>0</v>
      </c>
      <c r="AE986" s="36"/>
      <c r="AF986" s="36"/>
      <c r="AG986" s="36"/>
      <c r="AH986" s="36"/>
      <c r="AI986" s="20">
        <f t="shared" si="46"/>
        <v>-397725</v>
      </c>
      <c r="AJ986" s="20">
        <f t="shared" si="47"/>
        <v>31669</v>
      </c>
    </row>
    <row r="987" spans="1:36" x14ac:dyDescent="0.2">
      <c r="A987" s="17" t="s">
        <v>5581</v>
      </c>
      <c r="B987" s="17">
        <v>42641</v>
      </c>
      <c r="C987" s="20">
        <v>0</v>
      </c>
      <c r="D987" s="20">
        <v>20364</v>
      </c>
      <c r="E987" s="20">
        <v>20364</v>
      </c>
      <c r="F987" s="20">
        <v>0</v>
      </c>
      <c r="I987" s="20">
        <v>9763</v>
      </c>
      <c r="K987" s="20">
        <v>396336</v>
      </c>
      <c r="L987" s="20">
        <v>4635</v>
      </c>
      <c r="M987" s="20">
        <v>370</v>
      </c>
      <c r="W987" s="20">
        <f t="shared" si="45"/>
        <v>431468</v>
      </c>
      <c r="X987" s="36">
        <v>-72603</v>
      </c>
      <c r="Y987" s="36">
        <v>-326116</v>
      </c>
      <c r="Z987" s="36">
        <v>0</v>
      </c>
      <c r="AA987" s="36">
        <v>-4635</v>
      </c>
      <c r="AB987" s="36"/>
      <c r="AC987" s="36"/>
      <c r="AD987" s="36">
        <v>0</v>
      </c>
      <c r="AE987" s="36"/>
      <c r="AF987" s="36"/>
      <c r="AG987" s="36"/>
      <c r="AH987" s="36"/>
      <c r="AI987" s="20">
        <f t="shared" si="46"/>
        <v>-403354</v>
      </c>
      <c r="AJ987" s="20">
        <f t="shared" si="47"/>
        <v>28114</v>
      </c>
    </row>
    <row r="988" spans="1:36" x14ac:dyDescent="0.2">
      <c r="A988" s="17" t="s">
        <v>5582</v>
      </c>
      <c r="B988" s="17">
        <v>42648</v>
      </c>
      <c r="C988" s="20">
        <v>0</v>
      </c>
      <c r="D988" s="20">
        <v>20534</v>
      </c>
      <c r="E988" s="20">
        <v>20534</v>
      </c>
      <c r="F988" s="20">
        <v>0</v>
      </c>
      <c r="I988" s="20">
        <v>9746</v>
      </c>
      <c r="K988" s="20">
        <v>398723</v>
      </c>
      <c r="L988" s="20">
        <v>4724</v>
      </c>
      <c r="M988" s="20">
        <v>370</v>
      </c>
      <c r="W988" s="20">
        <f t="shared" si="45"/>
        <v>434097</v>
      </c>
      <c r="X988" s="36">
        <v>-72708</v>
      </c>
      <c r="Y988" s="36">
        <v>-330847</v>
      </c>
      <c r="Z988" s="36">
        <v>0</v>
      </c>
      <c r="AA988" s="36">
        <v>-4720</v>
      </c>
      <c r="AB988" s="36"/>
      <c r="AC988" s="36"/>
      <c r="AD988" s="36">
        <v>0</v>
      </c>
      <c r="AE988" s="36"/>
      <c r="AF988" s="36"/>
      <c r="AG988" s="36"/>
      <c r="AH988" s="36"/>
      <c r="AI988" s="20">
        <f t="shared" si="46"/>
        <v>-408275</v>
      </c>
      <c r="AJ988" s="20">
        <f t="shared" si="47"/>
        <v>25822</v>
      </c>
    </row>
    <row r="989" spans="1:36" x14ac:dyDescent="0.2">
      <c r="A989" s="17" t="s">
        <v>5583</v>
      </c>
      <c r="B989" s="17">
        <v>42655</v>
      </c>
      <c r="C989" s="20">
        <v>0</v>
      </c>
      <c r="D989" s="20">
        <v>18297</v>
      </c>
      <c r="E989" s="20">
        <v>18297</v>
      </c>
      <c r="F989" s="20">
        <v>0</v>
      </c>
      <c r="I989" s="20">
        <v>9668</v>
      </c>
      <c r="K989" s="20">
        <v>402126</v>
      </c>
      <c r="L989" s="20">
        <v>4938</v>
      </c>
      <c r="M989" s="20">
        <v>370</v>
      </c>
      <c r="W989" s="20">
        <f t="shared" si="45"/>
        <v>435399</v>
      </c>
      <c r="X989" s="36">
        <v>-72646</v>
      </c>
      <c r="Y989" s="36">
        <v>-333314</v>
      </c>
      <c r="Z989" s="36">
        <v>0</v>
      </c>
      <c r="AA989" s="36">
        <v>-4931</v>
      </c>
      <c r="AB989" s="36"/>
      <c r="AC989" s="36"/>
      <c r="AD989" s="36">
        <v>0</v>
      </c>
      <c r="AE989" s="36"/>
      <c r="AF989" s="36"/>
      <c r="AG989" s="36"/>
      <c r="AH989" s="36"/>
      <c r="AI989" s="20">
        <f t="shared" si="46"/>
        <v>-410891</v>
      </c>
      <c r="AJ989" s="20">
        <f t="shared" si="47"/>
        <v>24508</v>
      </c>
    </row>
    <row r="990" spans="1:36" x14ac:dyDescent="0.2">
      <c r="A990" s="17" t="s">
        <v>5584</v>
      </c>
      <c r="B990" s="17">
        <v>42662</v>
      </c>
      <c r="C990" s="20">
        <v>0</v>
      </c>
      <c r="D990" s="20">
        <v>18297</v>
      </c>
      <c r="E990" s="20">
        <v>18297</v>
      </c>
      <c r="F990" s="20">
        <v>0</v>
      </c>
      <c r="I990" s="20">
        <v>9687</v>
      </c>
      <c r="K990" s="20">
        <v>404703</v>
      </c>
      <c r="L990" s="20">
        <v>4903</v>
      </c>
      <c r="M990" s="20">
        <v>370</v>
      </c>
      <c r="W990" s="20">
        <f t="shared" si="45"/>
        <v>437960</v>
      </c>
      <c r="X990" s="36">
        <v>-72665</v>
      </c>
      <c r="Y990" s="36">
        <v>-337867</v>
      </c>
      <c r="Z990" s="36">
        <v>0</v>
      </c>
      <c r="AA990" s="36">
        <v>-4893</v>
      </c>
      <c r="AB990" s="36"/>
      <c r="AC990" s="36"/>
      <c r="AD990" s="36">
        <v>0</v>
      </c>
      <c r="AE990" s="36"/>
      <c r="AF990" s="36"/>
      <c r="AG990" s="36"/>
      <c r="AH990" s="36"/>
      <c r="AI990" s="20">
        <f t="shared" si="46"/>
        <v>-415425</v>
      </c>
      <c r="AJ990" s="20">
        <f t="shared" si="47"/>
        <v>22535</v>
      </c>
    </row>
    <row r="991" spans="1:36" x14ac:dyDescent="0.2">
      <c r="A991" s="17" t="s">
        <v>5585</v>
      </c>
      <c r="B991" s="17">
        <v>42669</v>
      </c>
      <c r="C991" s="20">
        <v>0</v>
      </c>
      <c r="D991" s="20">
        <v>18297</v>
      </c>
      <c r="E991" s="20">
        <v>18297</v>
      </c>
      <c r="F991" s="20">
        <v>0</v>
      </c>
      <c r="I991" s="20">
        <v>9718</v>
      </c>
      <c r="K991" s="20">
        <v>406998</v>
      </c>
      <c r="L991" s="20">
        <v>4921</v>
      </c>
      <c r="M991" s="20">
        <v>370</v>
      </c>
      <c r="W991" s="20">
        <f t="shared" si="45"/>
        <v>440304</v>
      </c>
      <c r="X991" s="36">
        <v>-72950</v>
      </c>
      <c r="Y991" s="36">
        <v>-344471</v>
      </c>
      <c r="Z991" s="36">
        <v>0</v>
      </c>
      <c r="AA991" s="36">
        <v>-4910</v>
      </c>
      <c r="AB991" s="36"/>
      <c r="AC991" s="36"/>
      <c r="AD991" s="36">
        <v>0</v>
      </c>
      <c r="AE991" s="36"/>
      <c r="AF991" s="36"/>
      <c r="AG991" s="36"/>
      <c r="AH991" s="36"/>
      <c r="AI991" s="20">
        <f t="shared" si="46"/>
        <v>-422331</v>
      </c>
      <c r="AJ991" s="20">
        <f t="shared" si="47"/>
        <v>17973</v>
      </c>
    </row>
    <row r="992" spans="1:36" x14ac:dyDescent="0.2">
      <c r="A992" s="17" t="s">
        <v>5586</v>
      </c>
      <c r="B992" s="17">
        <v>42676</v>
      </c>
      <c r="C992" s="20">
        <v>0</v>
      </c>
      <c r="D992" s="20">
        <v>18297</v>
      </c>
      <c r="E992" s="20">
        <v>18297</v>
      </c>
      <c r="F992" s="20">
        <v>0</v>
      </c>
      <c r="I992" s="20">
        <v>9744</v>
      </c>
      <c r="K992" s="20">
        <v>408690</v>
      </c>
      <c r="L992" s="20">
        <v>4894</v>
      </c>
      <c r="M992" s="20">
        <v>370</v>
      </c>
      <c r="W992" s="20">
        <f t="shared" si="45"/>
        <v>441995</v>
      </c>
      <c r="X992" s="36">
        <v>-73214</v>
      </c>
      <c r="Y992" s="36">
        <v>-347260</v>
      </c>
      <c r="Z992" s="36">
        <v>0</v>
      </c>
      <c r="AA992" s="36">
        <v>-4883</v>
      </c>
      <c r="AB992" s="36"/>
      <c r="AC992" s="36"/>
      <c r="AD992" s="36">
        <v>0</v>
      </c>
      <c r="AE992" s="36"/>
      <c r="AF992" s="36"/>
      <c r="AG992" s="36"/>
      <c r="AH992" s="36"/>
      <c r="AI992" s="20">
        <f t="shared" si="46"/>
        <v>-425357</v>
      </c>
      <c r="AJ992" s="20">
        <f t="shared" si="47"/>
        <v>16638</v>
      </c>
    </row>
    <row r="993" spans="1:36" x14ac:dyDescent="0.2">
      <c r="A993" s="17" t="s">
        <v>5587</v>
      </c>
      <c r="B993" s="17">
        <v>42683</v>
      </c>
      <c r="C993" s="20">
        <v>0</v>
      </c>
      <c r="D993" s="20">
        <v>18297</v>
      </c>
      <c r="E993" s="20">
        <v>18297</v>
      </c>
      <c r="F993" s="20">
        <v>0</v>
      </c>
      <c r="I993" s="20">
        <v>9758</v>
      </c>
      <c r="K993" s="20">
        <v>411488</v>
      </c>
      <c r="L993" s="20">
        <v>4842</v>
      </c>
      <c r="M993" s="20">
        <v>370</v>
      </c>
      <c r="W993" s="20">
        <f t="shared" si="45"/>
        <v>444755</v>
      </c>
      <c r="X993" s="36">
        <v>-73263</v>
      </c>
      <c r="Y993" s="36">
        <v>-350556</v>
      </c>
      <c r="Z993" s="36">
        <v>0</v>
      </c>
      <c r="AA993" s="36">
        <v>-4826</v>
      </c>
      <c r="AB993" s="36"/>
      <c r="AC993" s="36"/>
      <c r="AD993" s="36">
        <v>0</v>
      </c>
      <c r="AE993" s="36"/>
      <c r="AF993" s="36"/>
      <c r="AG993" s="36"/>
      <c r="AH993" s="36"/>
      <c r="AI993" s="20">
        <f t="shared" si="46"/>
        <v>-428645</v>
      </c>
      <c r="AJ993" s="20">
        <f t="shared" si="47"/>
        <v>16110</v>
      </c>
    </row>
    <row r="994" spans="1:36" x14ac:dyDescent="0.2">
      <c r="A994" s="17" t="s">
        <v>5588</v>
      </c>
      <c r="B994" s="17">
        <v>42690</v>
      </c>
      <c r="C994" s="20">
        <v>0</v>
      </c>
      <c r="D994" s="20">
        <v>16566</v>
      </c>
      <c r="E994" s="20">
        <v>16566</v>
      </c>
      <c r="F994" s="20">
        <v>0</v>
      </c>
      <c r="I994" s="20">
        <v>9765</v>
      </c>
      <c r="K994" s="20">
        <v>415204</v>
      </c>
      <c r="L994" s="20">
        <v>4840</v>
      </c>
      <c r="M994" s="20">
        <v>370</v>
      </c>
      <c r="W994" s="20">
        <f t="shared" si="45"/>
        <v>446745</v>
      </c>
      <c r="X994" s="36">
        <v>-73226</v>
      </c>
      <c r="Y994" s="36">
        <v>-352614</v>
      </c>
      <c r="Z994" s="36">
        <v>0</v>
      </c>
      <c r="AA994" s="36">
        <v>-4823</v>
      </c>
      <c r="AB994" s="36"/>
      <c r="AC994" s="36"/>
      <c r="AD994" s="36">
        <v>0</v>
      </c>
      <c r="AE994" s="36"/>
      <c r="AF994" s="36"/>
      <c r="AG994" s="36"/>
      <c r="AH994" s="36"/>
      <c r="AI994" s="20">
        <f t="shared" si="46"/>
        <v>-430663</v>
      </c>
      <c r="AJ994" s="20">
        <f t="shared" si="47"/>
        <v>16082</v>
      </c>
    </row>
    <row r="995" spans="1:36" x14ac:dyDescent="0.2">
      <c r="A995" s="17" t="s">
        <v>5589</v>
      </c>
      <c r="B995" s="17">
        <v>42697</v>
      </c>
      <c r="C995" s="20">
        <v>0</v>
      </c>
      <c r="D995" s="20">
        <v>16566</v>
      </c>
      <c r="E995" s="20">
        <v>16566</v>
      </c>
      <c r="F995" s="20">
        <v>0</v>
      </c>
      <c r="I995" s="20">
        <v>9781</v>
      </c>
      <c r="K995" s="20">
        <v>418783</v>
      </c>
      <c r="L995" s="20">
        <v>4849</v>
      </c>
      <c r="M995" s="20">
        <v>370</v>
      </c>
      <c r="W995" s="20">
        <f t="shared" si="45"/>
        <v>450349</v>
      </c>
      <c r="X995" s="36">
        <v>-73601</v>
      </c>
      <c r="Y995" s="36">
        <v>-353950</v>
      </c>
      <c r="Z995" s="36">
        <v>0</v>
      </c>
      <c r="AA995" s="36">
        <v>-4827</v>
      </c>
      <c r="AB995" s="36"/>
      <c r="AC995" s="36"/>
      <c r="AD995" s="36">
        <v>0</v>
      </c>
      <c r="AE995" s="36"/>
      <c r="AF995" s="36"/>
      <c r="AG995" s="36"/>
      <c r="AH995" s="36"/>
      <c r="AI995" s="20">
        <f t="shared" si="46"/>
        <v>-432378</v>
      </c>
      <c r="AJ995" s="20">
        <f t="shared" si="47"/>
        <v>17971</v>
      </c>
    </row>
    <row r="996" spans="1:36" x14ac:dyDescent="0.2">
      <c r="A996" s="17" t="s">
        <v>5590</v>
      </c>
      <c r="B996" s="17">
        <v>42704</v>
      </c>
      <c r="C996" s="20">
        <v>0</v>
      </c>
      <c r="D996" s="20">
        <v>16566</v>
      </c>
      <c r="E996" s="20">
        <v>16566</v>
      </c>
      <c r="F996" s="20">
        <v>0</v>
      </c>
      <c r="I996" s="20">
        <v>9732</v>
      </c>
      <c r="K996" s="20">
        <v>425741</v>
      </c>
      <c r="L996" s="20">
        <v>4818</v>
      </c>
      <c r="M996" s="20">
        <v>370</v>
      </c>
      <c r="W996" s="20">
        <f t="shared" si="45"/>
        <v>457227</v>
      </c>
      <c r="X996" s="36">
        <v>-73974</v>
      </c>
      <c r="Y996" s="36">
        <v>-358716</v>
      </c>
      <c r="Z996" s="36">
        <v>0</v>
      </c>
      <c r="AA996" s="36">
        <v>-4795</v>
      </c>
      <c r="AB996" s="36"/>
      <c r="AC996" s="36"/>
      <c r="AD996" s="36">
        <v>0</v>
      </c>
      <c r="AE996" s="36"/>
      <c r="AF996" s="36"/>
      <c r="AG996" s="36"/>
      <c r="AH996" s="36"/>
      <c r="AI996" s="20">
        <f t="shared" si="46"/>
        <v>-437485</v>
      </c>
      <c r="AJ996" s="20">
        <f t="shared" si="47"/>
        <v>19742</v>
      </c>
    </row>
    <row r="997" spans="1:36" x14ac:dyDescent="0.2">
      <c r="A997" s="17" t="s">
        <v>5591</v>
      </c>
      <c r="B997" s="17">
        <v>42711</v>
      </c>
      <c r="C997" s="20">
        <v>0</v>
      </c>
      <c r="D997" s="20">
        <v>16566</v>
      </c>
      <c r="E997" s="20">
        <v>16566</v>
      </c>
      <c r="F997" s="20">
        <v>0</v>
      </c>
      <c r="I997" s="20">
        <v>9706</v>
      </c>
      <c r="K997" s="20">
        <v>431134</v>
      </c>
      <c r="L997" s="20">
        <v>4769</v>
      </c>
      <c r="M997" s="20">
        <v>370</v>
      </c>
      <c r="W997" s="20">
        <f t="shared" si="45"/>
        <v>462545</v>
      </c>
      <c r="X997" s="36">
        <v>-74266</v>
      </c>
      <c r="Y997" s="36">
        <v>-363777</v>
      </c>
      <c r="Z997" s="36">
        <v>0</v>
      </c>
      <c r="AA997" s="36">
        <v>-4747</v>
      </c>
      <c r="AB997" s="36"/>
      <c r="AC997" s="36"/>
      <c r="AD997" s="36">
        <v>0</v>
      </c>
      <c r="AE997" s="36"/>
      <c r="AF997" s="36"/>
      <c r="AG997" s="36"/>
      <c r="AH997" s="36"/>
      <c r="AI997" s="20">
        <f t="shared" si="46"/>
        <v>-442790</v>
      </c>
      <c r="AJ997" s="20">
        <f t="shared" si="47"/>
        <v>19755</v>
      </c>
    </row>
    <row r="998" spans="1:36" x14ac:dyDescent="0.2">
      <c r="A998" s="17" t="s">
        <v>5592</v>
      </c>
      <c r="B998" s="17">
        <v>42718</v>
      </c>
      <c r="C998" s="20">
        <v>0</v>
      </c>
      <c r="D998" s="20">
        <v>10879</v>
      </c>
      <c r="E998" s="20">
        <v>10879</v>
      </c>
      <c r="F998" s="20">
        <v>0</v>
      </c>
      <c r="I998" s="20">
        <v>9702</v>
      </c>
      <c r="K998" s="20">
        <v>436505</v>
      </c>
      <c r="L998" s="20">
        <v>4735</v>
      </c>
      <c r="M998" s="20">
        <v>370</v>
      </c>
      <c r="W998" s="20">
        <f t="shared" si="45"/>
        <v>462191</v>
      </c>
      <c r="X998" s="36">
        <v>-74742</v>
      </c>
      <c r="Y998" s="36">
        <v>-362866</v>
      </c>
      <c r="Z998" s="36">
        <v>0</v>
      </c>
      <c r="AA998" s="36">
        <v>-4711</v>
      </c>
      <c r="AB998" s="36"/>
      <c r="AC998" s="36"/>
      <c r="AD998" s="36">
        <v>0</v>
      </c>
      <c r="AE998" s="36"/>
      <c r="AF998" s="36"/>
      <c r="AG998" s="36"/>
      <c r="AH998" s="36"/>
      <c r="AI998" s="20">
        <f t="shared" si="46"/>
        <v>-442319</v>
      </c>
      <c r="AJ998" s="20">
        <f t="shared" si="47"/>
        <v>19872</v>
      </c>
    </row>
    <row r="999" spans="1:36" x14ac:dyDescent="0.2">
      <c r="A999" s="17" t="s">
        <v>5593</v>
      </c>
      <c r="B999" s="17">
        <v>42725</v>
      </c>
      <c r="C999" s="20">
        <v>0</v>
      </c>
      <c r="D999" s="20">
        <v>10879</v>
      </c>
      <c r="E999" s="20">
        <v>10879</v>
      </c>
      <c r="F999" s="20">
        <v>0</v>
      </c>
      <c r="I999" s="20">
        <v>9710</v>
      </c>
      <c r="K999" s="20">
        <v>448425</v>
      </c>
      <c r="L999" s="20">
        <v>4857</v>
      </c>
      <c r="M999" s="20">
        <v>370</v>
      </c>
      <c r="W999" s="20">
        <f t="shared" si="45"/>
        <v>474241</v>
      </c>
      <c r="X999" s="36">
        <v>-75870</v>
      </c>
      <c r="Y999" s="36">
        <v>-373021</v>
      </c>
      <c r="Z999" s="36">
        <v>0</v>
      </c>
      <c r="AA999" s="36">
        <v>-4830</v>
      </c>
      <c r="AB999" s="36"/>
      <c r="AC999" s="36"/>
      <c r="AD999" s="36">
        <v>0</v>
      </c>
      <c r="AE999" s="36"/>
      <c r="AF999" s="36"/>
      <c r="AG999" s="36"/>
      <c r="AH999" s="36"/>
      <c r="AI999" s="20">
        <f t="shared" si="46"/>
        <v>-453721</v>
      </c>
      <c r="AJ999" s="20">
        <f t="shared" si="47"/>
        <v>20520</v>
      </c>
    </row>
    <row r="1000" spans="1:36" x14ac:dyDescent="0.2">
      <c r="A1000" s="17" t="s">
        <v>5594</v>
      </c>
      <c r="B1000" s="17">
        <v>42732</v>
      </c>
      <c r="C1000" s="20">
        <v>0</v>
      </c>
      <c r="D1000" s="20">
        <v>10879</v>
      </c>
      <c r="E1000" s="20">
        <v>10879</v>
      </c>
      <c r="F1000" s="20">
        <v>0</v>
      </c>
      <c r="I1000" s="20">
        <v>9739</v>
      </c>
      <c r="K1000" s="20">
        <v>448575</v>
      </c>
      <c r="L1000" s="20">
        <v>4914</v>
      </c>
      <c r="M1000" s="20">
        <v>370</v>
      </c>
      <c r="W1000" s="20">
        <f t="shared" si="45"/>
        <v>474477</v>
      </c>
      <c r="X1000" s="36">
        <v>-76367</v>
      </c>
      <c r="Y1000" s="36">
        <v>-370510</v>
      </c>
      <c r="Z1000" s="36">
        <v>0</v>
      </c>
      <c r="AA1000" s="36">
        <v>-4886</v>
      </c>
      <c r="AB1000" s="36"/>
      <c r="AC1000" s="36"/>
      <c r="AD1000" s="36">
        <v>0</v>
      </c>
      <c r="AE1000" s="36"/>
      <c r="AF1000" s="36"/>
      <c r="AG1000" s="36"/>
      <c r="AH1000" s="36"/>
      <c r="AI1000" s="20">
        <f t="shared" si="46"/>
        <v>-451763</v>
      </c>
      <c r="AJ1000" s="20">
        <f t="shared" si="47"/>
        <v>22714</v>
      </c>
    </row>
    <row r="1001" spans="1:36" x14ac:dyDescent="0.2">
      <c r="A1001" s="17" t="s">
        <v>5595</v>
      </c>
      <c r="B1001" s="17">
        <v>42739</v>
      </c>
      <c r="C1001" s="20">
        <v>0</v>
      </c>
      <c r="D1001" s="20">
        <v>10879</v>
      </c>
      <c r="E1001" s="20">
        <v>10879</v>
      </c>
      <c r="F1001" s="20">
        <v>0</v>
      </c>
      <c r="I1001" s="20">
        <v>9724</v>
      </c>
      <c r="K1001" s="20">
        <v>449082</v>
      </c>
      <c r="L1001" s="20">
        <v>4893</v>
      </c>
      <c r="M1001" s="20">
        <v>370</v>
      </c>
      <c r="W1001" s="20">
        <f t="shared" si="45"/>
        <v>474948</v>
      </c>
      <c r="X1001" s="36">
        <v>-75013</v>
      </c>
      <c r="Y1001" s="36">
        <v>-374472</v>
      </c>
      <c r="Z1001" s="36">
        <v>0</v>
      </c>
      <c r="AA1001" s="36">
        <v>-4866</v>
      </c>
      <c r="AB1001" s="36"/>
      <c r="AC1001" s="36"/>
      <c r="AD1001" s="36">
        <v>0</v>
      </c>
      <c r="AE1001" s="36"/>
      <c r="AF1001" s="36"/>
      <c r="AG1001" s="36"/>
      <c r="AH1001" s="36"/>
      <c r="AI1001" s="20">
        <f t="shared" si="46"/>
        <v>-454351</v>
      </c>
      <c r="AJ1001" s="20">
        <f t="shared" si="47"/>
        <v>20597</v>
      </c>
    </row>
    <row r="1002" spans="1:36" x14ac:dyDescent="0.2">
      <c r="A1002" s="17" t="s">
        <v>5596</v>
      </c>
      <c r="B1002" s="17">
        <v>42746</v>
      </c>
      <c r="C1002" s="20">
        <v>0</v>
      </c>
      <c r="D1002" s="20">
        <v>9219</v>
      </c>
      <c r="E1002" s="20">
        <v>9219</v>
      </c>
      <c r="F1002" s="20">
        <v>0</v>
      </c>
      <c r="I1002" s="20">
        <v>9713</v>
      </c>
      <c r="K1002" s="20">
        <v>455451</v>
      </c>
      <c r="L1002" s="20">
        <v>4912</v>
      </c>
      <c r="M1002" s="20">
        <v>370</v>
      </c>
      <c r="W1002" s="20">
        <f t="shared" si="45"/>
        <v>479665</v>
      </c>
      <c r="X1002" s="36">
        <v>-73944</v>
      </c>
      <c r="Y1002" s="36">
        <v>-380647</v>
      </c>
      <c r="Z1002" s="36">
        <v>0</v>
      </c>
      <c r="AA1002" s="36">
        <v>-4887</v>
      </c>
      <c r="AB1002" s="36"/>
      <c r="AC1002" s="36"/>
      <c r="AD1002" s="36">
        <v>0</v>
      </c>
      <c r="AE1002" s="36"/>
      <c r="AF1002" s="36"/>
      <c r="AG1002" s="36"/>
      <c r="AH1002" s="36"/>
      <c r="AI1002" s="20">
        <f t="shared" si="46"/>
        <v>-459478</v>
      </c>
      <c r="AJ1002" s="20">
        <f t="shared" si="47"/>
        <v>20187</v>
      </c>
    </row>
    <row r="1003" spans="1:36" x14ac:dyDescent="0.2">
      <c r="A1003" s="17" t="s">
        <v>5597</v>
      </c>
      <c r="B1003" s="17">
        <v>42753</v>
      </c>
      <c r="C1003" s="20">
        <v>0</v>
      </c>
      <c r="D1003" s="20">
        <v>9219</v>
      </c>
      <c r="E1003" s="20">
        <v>9219</v>
      </c>
      <c r="F1003" s="20">
        <v>0</v>
      </c>
      <c r="I1003" s="20">
        <v>9756</v>
      </c>
      <c r="K1003" s="20">
        <v>464152</v>
      </c>
      <c r="L1003" s="20">
        <v>4895</v>
      </c>
      <c r="M1003" s="20">
        <v>370</v>
      </c>
      <c r="W1003" s="20">
        <f t="shared" si="45"/>
        <v>488392</v>
      </c>
      <c r="X1003" s="36">
        <v>-73260</v>
      </c>
      <c r="Y1003" s="36">
        <v>-382630</v>
      </c>
      <c r="Z1003" s="36">
        <v>0</v>
      </c>
      <c r="AA1003" s="36">
        <v>-4870</v>
      </c>
      <c r="AB1003" s="36"/>
      <c r="AC1003" s="36"/>
      <c r="AD1003" s="36">
        <v>0</v>
      </c>
      <c r="AE1003" s="36"/>
      <c r="AF1003" s="36"/>
      <c r="AG1003" s="36"/>
      <c r="AH1003" s="36"/>
      <c r="AI1003" s="20">
        <f t="shared" si="46"/>
        <v>-460760</v>
      </c>
      <c r="AJ1003" s="20">
        <f t="shared" si="47"/>
        <v>27632</v>
      </c>
    </row>
    <row r="1004" spans="1:36" x14ac:dyDescent="0.2">
      <c r="A1004" s="17" t="s">
        <v>5598</v>
      </c>
      <c r="B1004" s="17">
        <v>42760</v>
      </c>
      <c r="C1004" s="20">
        <v>0</v>
      </c>
      <c r="D1004" s="20">
        <v>9219</v>
      </c>
      <c r="E1004" s="20">
        <v>9219</v>
      </c>
      <c r="F1004" s="20">
        <v>0</v>
      </c>
      <c r="I1004" s="20">
        <v>9710</v>
      </c>
      <c r="K1004" s="20">
        <v>468037</v>
      </c>
      <c r="L1004" s="20">
        <v>4771</v>
      </c>
      <c r="M1004" s="20">
        <v>370</v>
      </c>
      <c r="W1004" s="20">
        <f t="shared" si="45"/>
        <v>492107</v>
      </c>
      <c r="X1004" s="36">
        <v>-72990</v>
      </c>
      <c r="Y1004" s="36">
        <v>-384936</v>
      </c>
      <c r="Z1004" s="36">
        <v>0</v>
      </c>
      <c r="AA1004" s="36">
        <v>-4745</v>
      </c>
      <c r="AB1004" s="36"/>
      <c r="AC1004" s="36"/>
      <c r="AD1004" s="36">
        <v>0</v>
      </c>
      <c r="AE1004" s="36"/>
      <c r="AF1004" s="36"/>
      <c r="AG1004" s="36"/>
      <c r="AH1004" s="36"/>
      <c r="AI1004" s="20">
        <f t="shared" si="46"/>
        <v>-462671</v>
      </c>
      <c r="AJ1004" s="20">
        <f t="shared" si="47"/>
        <v>29436</v>
      </c>
    </row>
    <row r="1005" spans="1:36" x14ac:dyDescent="0.2">
      <c r="A1005" s="17" t="s">
        <v>5599</v>
      </c>
      <c r="B1005" s="17">
        <v>42767</v>
      </c>
      <c r="C1005" s="20">
        <v>0</v>
      </c>
      <c r="D1005" s="20">
        <v>9219</v>
      </c>
      <c r="E1005" s="20">
        <v>9219</v>
      </c>
      <c r="F1005" s="20">
        <v>0</v>
      </c>
      <c r="I1005" s="20">
        <v>9739</v>
      </c>
      <c r="K1005" s="20">
        <v>474013</v>
      </c>
      <c r="L1005" s="20">
        <v>4761</v>
      </c>
      <c r="M1005" s="20">
        <v>370</v>
      </c>
      <c r="W1005" s="20">
        <f t="shared" si="45"/>
        <v>498102</v>
      </c>
      <c r="X1005" s="36">
        <v>-73127</v>
      </c>
      <c r="Y1005" s="36">
        <v>-391315</v>
      </c>
      <c r="Z1005" s="36">
        <v>0</v>
      </c>
      <c r="AA1005" s="36">
        <v>-4732</v>
      </c>
      <c r="AB1005" s="36"/>
      <c r="AC1005" s="36"/>
      <c r="AD1005" s="36">
        <v>0</v>
      </c>
      <c r="AE1005" s="36"/>
      <c r="AF1005" s="36"/>
      <c r="AG1005" s="36"/>
      <c r="AH1005" s="36"/>
      <c r="AI1005" s="20">
        <f t="shared" si="46"/>
        <v>-469174</v>
      </c>
      <c r="AJ1005" s="20">
        <f t="shared" si="47"/>
        <v>28928</v>
      </c>
    </row>
    <row r="1006" spans="1:36" x14ac:dyDescent="0.2">
      <c r="A1006" s="17" t="s">
        <v>5600</v>
      </c>
      <c r="B1006" s="17">
        <v>42774</v>
      </c>
      <c r="C1006" s="20">
        <v>0</v>
      </c>
      <c r="D1006" s="20">
        <v>9219</v>
      </c>
      <c r="E1006" s="20">
        <v>9219</v>
      </c>
      <c r="F1006" s="20">
        <v>0</v>
      </c>
      <c r="I1006" s="20">
        <v>9821</v>
      </c>
      <c r="K1006" s="20">
        <v>479615</v>
      </c>
      <c r="L1006" s="20">
        <v>4443</v>
      </c>
      <c r="M1006" s="20">
        <v>370</v>
      </c>
      <c r="W1006" s="20">
        <f t="shared" si="45"/>
        <v>503468</v>
      </c>
      <c r="X1006" s="36">
        <v>-72991</v>
      </c>
      <c r="Y1006" s="36">
        <v>-398242</v>
      </c>
      <c r="Z1006" s="36">
        <v>0</v>
      </c>
      <c r="AA1006" s="36">
        <v>-4778</v>
      </c>
      <c r="AB1006" s="36"/>
      <c r="AC1006" s="36"/>
      <c r="AD1006" s="36">
        <v>0</v>
      </c>
      <c r="AE1006" s="36"/>
      <c r="AF1006" s="36"/>
      <c r="AG1006" s="36"/>
      <c r="AH1006" s="36"/>
      <c r="AI1006" s="20">
        <f t="shared" si="46"/>
        <v>-476011</v>
      </c>
      <c r="AJ1006" s="20">
        <f t="shared" si="47"/>
        <v>27457</v>
      </c>
    </row>
    <row r="1007" spans="1:36" x14ac:dyDescent="0.2">
      <c r="A1007" s="17" t="s">
        <v>5601</v>
      </c>
      <c r="B1007" s="17">
        <v>42781</v>
      </c>
      <c r="C1007" s="20">
        <v>0</v>
      </c>
      <c r="D1007" s="20">
        <v>9355</v>
      </c>
      <c r="E1007" s="20">
        <v>9355</v>
      </c>
      <c r="F1007" s="20">
        <v>0</v>
      </c>
      <c r="I1007" s="20">
        <v>9824</v>
      </c>
      <c r="K1007" s="20">
        <v>480541</v>
      </c>
      <c r="L1007" s="20">
        <v>4838</v>
      </c>
      <c r="M1007" s="20">
        <v>370</v>
      </c>
      <c r="W1007" s="20">
        <f t="shared" si="45"/>
        <v>504928</v>
      </c>
      <c r="X1007" s="36">
        <v>-72966</v>
      </c>
      <c r="Y1007" s="36">
        <v>-401862</v>
      </c>
      <c r="Z1007" s="36">
        <v>0</v>
      </c>
      <c r="AA1007" s="36">
        <v>-4806</v>
      </c>
      <c r="AB1007" s="36"/>
      <c r="AC1007" s="36"/>
      <c r="AD1007" s="36">
        <v>0</v>
      </c>
      <c r="AE1007" s="36"/>
      <c r="AF1007" s="36"/>
      <c r="AG1007" s="36"/>
      <c r="AH1007" s="36"/>
      <c r="AI1007" s="20">
        <f t="shared" si="46"/>
        <v>-479634</v>
      </c>
      <c r="AJ1007" s="20">
        <f t="shared" si="47"/>
        <v>25294</v>
      </c>
    </row>
    <row r="1008" spans="1:36" x14ac:dyDescent="0.2">
      <c r="A1008" s="17" t="s">
        <v>5602</v>
      </c>
      <c r="B1008" s="17">
        <v>42788</v>
      </c>
      <c r="C1008" s="20">
        <v>0</v>
      </c>
      <c r="D1008" s="20">
        <v>9355</v>
      </c>
      <c r="E1008" s="20">
        <v>9355</v>
      </c>
      <c r="F1008" s="20">
        <v>0</v>
      </c>
      <c r="I1008" s="20">
        <v>9895</v>
      </c>
      <c r="K1008" s="20">
        <v>484362</v>
      </c>
      <c r="L1008" s="20">
        <v>4839</v>
      </c>
      <c r="M1008" s="20">
        <v>370</v>
      </c>
      <c r="W1008" s="20">
        <f t="shared" si="45"/>
        <v>508821</v>
      </c>
      <c r="X1008" s="36">
        <v>-72974</v>
      </c>
      <c r="Y1008" s="36">
        <v>-406486</v>
      </c>
      <c r="Z1008" s="36">
        <v>0</v>
      </c>
      <c r="AA1008" s="36">
        <v>-4807</v>
      </c>
      <c r="AB1008" s="36"/>
      <c r="AC1008" s="36"/>
      <c r="AD1008" s="36">
        <v>0</v>
      </c>
      <c r="AE1008" s="36"/>
      <c r="AF1008" s="36"/>
      <c r="AG1008" s="36"/>
      <c r="AH1008" s="36"/>
      <c r="AI1008" s="20">
        <f t="shared" si="46"/>
        <v>-484267</v>
      </c>
      <c r="AJ1008" s="20">
        <f t="shared" si="47"/>
        <v>24554</v>
      </c>
    </row>
    <row r="1009" spans="1:36" x14ac:dyDescent="0.2">
      <c r="A1009" s="17" t="s">
        <v>5603</v>
      </c>
      <c r="B1009" s="17">
        <v>42795</v>
      </c>
      <c r="C1009" s="20">
        <v>0</v>
      </c>
      <c r="D1009" s="20">
        <v>9355</v>
      </c>
      <c r="E1009" s="20">
        <v>9355</v>
      </c>
      <c r="F1009" s="20">
        <v>0</v>
      </c>
      <c r="I1009" s="20">
        <v>9963</v>
      </c>
      <c r="K1009" s="20">
        <v>485633</v>
      </c>
      <c r="L1009" s="20">
        <v>6075</v>
      </c>
      <c r="M1009" s="20">
        <v>370</v>
      </c>
      <c r="W1009" s="20">
        <f t="shared" si="45"/>
        <v>511396</v>
      </c>
      <c r="X1009" s="36">
        <v>-73287</v>
      </c>
      <c r="Y1009" s="36">
        <v>-410929</v>
      </c>
      <c r="Z1009" s="36">
        <v>0</v>
      </c>
      <c r="AA1009" s="36">
        <v>-6477</v>
      </c>
      <c r="AB1009" s="36"/>
      <c r="AC1009" s="36"/>
      <c r="AD1009" s="36">
        <v>0</v>
      </c>
      <c r="AE1009" s="36"/>
      <c r="AF1009" s="36"/>
      <c r="AG1009" s="36"/>
      <c r="AH1009" s="36"/>
      <c r="AI1009" s="20">
        <f t="shared" si="46"/>
        <v>-490693</v>
      </c>
      <c r="AJ1009" s="20">
        <f t="shared" si="47"/>
        <v>20703</v>
      </c>
    </row>
    <row r="1010" spans="1:36" x14ac:dyDescent="0.2">
      <c r="A1010" s="17" t="s">
        <v>5604</v>
      </c>
      <c r="B1010" s="17">
        <v>42802</v>
      </c>
      <c r="C1010" s="20">
        <v>0</v>
      </c>
      <c r="D1010" s="20">
        <v>9355</v>
      </c>
      <c r="E1010" s="20">
        <v>9355</v>
      </c>
      <c r="F1010" s="20">
        <v>0</v>
      </c>
      <c r="I1010" s="20">
        <v>9923</v>
      </c>
      <c r="K1010" s="20">
        <v>486891</v>
      </c>
      <c r="L1010" s="20">
        <v>6751</v>
      </c>
      <c r="M1010" s="20">
        <v>370</v>
      </c>
      <c r="W1010" s="20">
        <f t="shared" si="45"/>
        <v>513290</v>
      </c>
      <c r="X1010" s="36">
        <v>-73222</v>
      </c>
      <c r="Y1010" s="36">
        <v>-409829</v>
      </c>
      <c r="Z1010" s="36">
        <v>0</v>
      </c>
      <c r="AA1010" s="36">
        <v>-6550</v>
      </c>
      <c r="AB1010" s="36"/>
      <c r="AC1010" s="36"/>
      <c r="AD1010" s="36">
        <v>0</v>
      </c>
      <c r="AE1010" s="36"/>
      <c r="AF1010" s="36"/>
      <c r="AG1010" s="36"/>
      <c r="AH1010" s="36"/>
      <c r="AI1010" s="20">
        <f t="shared" si="46"/>
        <v>-489601</v>
      </c>
      <c r="AJ1010" s="20">
        <f t="shared" si="47"/>
        <v>23689</v>
      </c>
    </row>
    <row r="1011" spans="1:36" x14ac:dyDescent="0.2">
      <c r="A1011" s="17" t="s">
        <v>5605</v>
      </c>
      <c r="B1011" s="17">
        <v>42809</v>
      </c>
      <c r="C1011" s="20">
        <v>0</v>
      </c>
      <c r="D1011" s="20">
        <v>11320</v>
      </c>
      <c r="E1011" s="20">
        <v>11320</v>
      </c>
      <c r="F1011" s="20">
        <v>0</v>
      </c>
      <c r="I1011" s="20">
        <v>9960</v>
      </c>
      <c r="K1011" s="20">
        <v>488354</v>
      </c>
      <c r="L1011" s="20">
        <v>5989</v>
      </c>
      <c r="M1011" s="20">
        <v>370</v>
      </c>
      <c r="W1011" s="20">
        <f t="shared" si="45"/>
        <v>515993</v>
      </c>
      <c r="X1011" s="36">
        <v>-73170</v>
      </c>
      <c r="Y1011" s="36">
        <v>-414142</v>
      </c>
      <c r="Z1011" s="36">
        <v>0</v>
      </c>
      <c r="AA1011" s="36">
        <v>-6519</v>
      </c>
      <c r="AB1011" s="36"/>
      <c r="AC1011" s="36"/>
      <c r="AD1011" s="36">
        <v>0</v>
      </c>
      <c r="AE1011" s="36"/>
      <c r="AF1011" s="36"/>
      <c r="AG1011" s="36"/>
      <c r="AH1011" s="36"/>
      <c r="AI1011" s="20">
        <f t="shared" si="46"/>
        <v>-493831</v>
      </c>
      <c r="AJ1011" s="20">
        <f t="shared" si="47"/>
        <v>22162</v>
      </c>
    </row>
    <row r="1012" spans="1:36" x14ac:dyDescent="0.2">
      <c r="A1012" s="17" t="s">
        <v>5606</v>
      </c>
      <c r="B1012" s="17">
        <v>42816</v>
      </c>
      <c r="C1012" s="20">
        <v>0</v>
      </c>
      <c r="D1012" s="20">
        <v>11320</v>
      </c>
      <c r="E1012" s="20">
        <v>11320</v>
      </c>
      <c r="F1012" s="20">
        <v>0</v>
      </c>
      <c r="I1012" s="20">
        <v>9972</v>
      </c>
      <c r="K1012" s="20">
        <v>490774</v>
      </c>
      <c r="L1012" s="20">
        <v>4968</v>
      </c>
      <c r="M1012" s="20">
        <v>370</v>
      </c>
      <c r="W1012" s="20">
        <f t="shared" ref="W1012:W1075" si="48">SUM(C1012:D1012,G1012:M1012)</f>
        <v>517404</v>
      </c>
      <c r="X1012" s="36">
        <v>-73352</v>
      </c>
      <c r="Y1012" s="36">
        <v>-416376</v>
      </c>
      <c r="Z1012" s="36">
        <v>0</v>
      </c>
      <c r="AA1012" s="36">
        <v>-4799</v>
      </c>
      <c r="AB1012" s="36"/>
      <c r="AC1012" s="36"/>
      <c r="AD1012" s="36">
        <v>0</v>
      </c>
      <c r="AE1012" s="36"/>
      <c r="AF1012" s="36"/>
      <c r="AG1012" s="36"/>
      <c r="AH1012" s="36"/>
      <c r="AI1012" s="20">
        <f t="shared" si="46"/>
        <v>-494527</v>
      </c>
      <c r="AJ1012" s="20">
        <f t="shared" si="47"/>
        <v>22877</v>
      </c>
    </row>
    <row r="1013" spans="1:36" x14ac:dyDescent="0.2">
      <c r="A1013" s="17" t="s">
        <v>5607</v>
      </c>
      <c r="B1013" s="17">
        <v>42823</v>
      </c>
      <c r="C1013" s="20">
        <v>0</v>
      </c>
      <c r="D1013" s="20">
        <v>11320</v>
      </c>
      <c r="E1013" s="20">
        <v>11320</v>
      </c>
      <c r="F1013" s="20">
        <v>0</v>
      </c>
      <c r="I1013" s="20">
        <v>10004</v>
      </c>
      <c r="K1013" s="20">
        <v>497306</v>
      </c>
      <c r="L1013" s="20">
        <v>4992</v>
      </c>
      <c r="M1013" s="20">
        <v>370</v>
      </c>
      <c r="W1013" s="20">
        <f t="shared" si="48"/>
        <v>523992</v>
      </c>
      <c r="X1013" s="36">
        <v>-73608</v>
      </c>
      <c r="Y1013" s="36">
        <v>-424021</v>
      </c>
      <c r="Z1013" s="36">
        <v>0</v>
      </c>
      <c r="AA1013" s="36">
        <v>-4820</v>
      </c>
      <c r="AB1013" s="36"/>
      <c r="AC1013" s="36"/>
      <c r="AD1013" s="36">
        <v>0</v>
      </c>
      <c r="AE1013" s="36"/>
      <c r="AF1013" s="36"/>
      <c r="AG1013" s="36"/>
      <c r="AH1013" s="36"/>
      <c r="AI1013" s="20">
        <f t="shared" si="46"/>
        <v>-502449</v>
      </c>
      <c r="AJ1013" s="20">
        <f t="shared" si="47"/>
        <v>21543</v>
      </c>
    </row>
    <row r="1014" spans="1:36" x14ac:dyDescent="0.2">
      <c r="A1014" s="17" t="s">
        <v>5608</v>
      </c>
      <c r="B1014" s="17">
        <v>42830</v>
      </c>
      <c r="C1014" s="20">
        <v>0</v>
      </c>
      <c r="D1014" s="20">
        <v>11320</v>
      </c>
      <c r="E1014" s="20">
        <v>11320</v>
      </c>
      <c r="F1014" s="20">
        <v>0</v>
      </c>
      <c r="I1014" s="20">
        <v>10028</v>
      </c>
      <c r="K1014" s="20">
        <v>499252</v>
      </c>
      <c r="L1014" s="20">
        <v>4814</v>
      </c>
      <c r="M1014" s="20">
        <v>370</v>
      </c>
      <c r="W1014" s="20">
        <f t="shared" si="48"/>
        <v>525784</v>
      </c>
      <c r="X1014" s="36">
        <v>-73916</v>
      </c>
      <c r="Y1014" s="36">
        <v>-429363</v>
      </c>
      <c r="Z1014" s="36">
        <v>0</v>
      </c>
      <c r="AA1014" s="36">
        <v>-4801</v>
      </c>
      <c r="AB1014" s="36"/>
      <c r="AC1014" s="36"/>
      <c r="AD1014" s="36">
        <v>0</v>
      </c>
      <c r="AE1014" s="36"/>
      <c r="AF1014" s="36"/>
      <c r="AG1014" s="36"/>
      <c r="AH1014" s="36"/>
      <c r="AI1014" s="20">
        <f t="shared" si="46"/>
        <v>-508080</v>
      </c>
      <c r="AJ1014" s="20">
        <f t="shared" si="47"/>
        <v>17704</v>
      </c>
    </row>
    <row r="1015" spans="1:36" x14ac:dyDescent="0.2">
      <c r="A1015" s="17" t="s">
        <v>5609</v>
      </c>
      <c r="B1015" s="17">
        <v>42837</v>
      </c>
      <c r="C1015" s="20">
        <v>0</v>
      </c>
      <c r="D1015" s="20">
        <v>12575</v>
      </c>
      <c r="E1015" s="20">
        <v>12575</v>
      </c>
      <c r="F1015" s="20">
        <v>0</v>
      </c>
      <c r="I1015" s="20">
        <v>10065</v>
      </c>
      <c r="K1015" s="20">
        <v>500009</v>
      </c>
      <c r="L1015" s="20">
        <v>4806</v>
      </c>
      <c r="M1015" s="20">
        <v>370</v>
      </c>
      <c r="W1015" s="20">
        <f t="shared" si="48"/>
        <v>527825</v>
      </c>
      <c r="X1015" s="36">
        <v>-74383</v>
      </c>
      <c r="Y1015" s="36">
        <v>-431207</v>
      </c>
      <c r="Z1015" s="36">
        <v>0</v>
      </c>
      <c r="AA1015" s="36">
        <v>-4792</v>
      </c>
      <c r="AB1015" s="36"/>
      <c r="AC1015" s="36"/>
      <c r="AD1015" s="36">
        <v>0</v>
      </c>
      <c r="AE1015" s="36"/>
      <c r="AF1015" s="36"/>
      <c r="AG1015" s="36"/>
      <c r="AH1015" s="36"/>
      <c r="AI1015" s="20">
        <f t="shared" si="46"/>
        <v>-510382</v>
      </c>
      <c r="AJ1015" s="20">
        <f t="shared" si="47"/>
        <v>17443</v>
      </c>
    </row>
    <row r="1016" spans="1:36" x14ac:dyDescent="0.2">
      <c r="A1016" s="17" t="s">
        <v>5610</v>
      </c>
      <c r="B1016" s="17">
        <v>42844</v>
      </c>
      <c r="C1016" s="20">
        <v>0</v>
      </c>
      <c r="D1016" s="20">
        <v>12575</v>
      </c>
      <c r="E1016" s="20">
        <v>12575</v>
      </c>
      <c r="F1016" s="20">
        <v>0</v>
      </c>
      <c r="I1016" s="20">
        <v>10059</v>
      </c>
      <c r="K1016" s="20">
        <v>500319</v>
      </c>
      <c r="L1016" s="20">
        <v>4695</v>
      </c>
      <c r="M1016" s="20">
        <v>370</v>
      </c>
      <c r="W1016" s="20">
        <f t="shared" si="48"/>
        <v>528018</v>
      </c>
      <c r="X1016" s="36">
        <v>-74841</v>
      </c>
      <c r="Y1016" s="36">
        <v>-430195</v>
      </c>
      <c r="Z1016" s="36">
        <v>0</v>
      </c>
      <c r="AA1016" s="36">
        <v>-4684</v>
      </c>
      <c r="AB1016" s="36"/>
      <c r="AC1016" s="36"/>
      <c r="AD1016" s="36">
        <v>0</v>
      </c>
      <c r="AE1016" s="36"/>
      <c r="AF1016" s="36"/>
      <c r="AG1016" s="36"/>
      <c r="AH1016" s="36"/>
      <c r="AI1016" s="20">
        <f t="shared" si="46"/>
        <v>-509720</v>
      </c>
      <c r="AJ1016" s="20">
        <f t="shared" si="47"/>
        <v>18298</v>
      </c>
    </row>
    <row r="1017" spans="1:36" x14ac:dyDescent="0.2">
      <c r="A1017" s="17" t="s">
        <v>5611</v>
      </c>
      <c r="B1017" s="17">
        <v>42851</v>
      </c>
      <c r="C1017" s="20">
        <v>0</v>
      </c>
      <c r="D1017" s="20">
        <v>12575</v>
      </c>
      <c r="E1017" s="20">
        <v>12575</v>
      </c>
      <c r="F1017" s="20">
        <v>0</v>
      </c>
      <c r="I1017" s="20">
        <v>10072</v>
      </c>
      <c r="K1017" s="20">
        <v>502500</v>
      </c>
      <c r="L1017" s="20">
        <v>4674</v>
      </c>
      <c r="M1017" s="20">
        <v>370</v>
      </c>
      <c r="W1017" s="20">
        <f t="shared" si="48"/>
        <v>530191</v>
      </c>
      <c r="X1017" s="36">
        <v>-74239</v>
      </c>
      <c r="Y1017" s="36">
        <v>-434068</v>
      </c>
      <c r="Z1017" s="36">
        <v>0</v>
      </c>
      <c r="AA1017" s="36">
        <v>-4662</v>
      </c>
      <c r="AB1017" s="36"/>
      <c r="AC1017" s="36"/>
      <c r="AD1017" s="36">
        <v>0</v>
      </c>
      <c r="AE1017" s="36"/>
      <c r="AF1017" s="36"/>
      <c r="AG1017" s="36"/>
      <c r="AH1017" s="36"/>
      <c r="AI1017" s="20">
        <f t="shared" si="46"/>
        <v>-512969</v>
      </c>
      <c r="AJ1017" s="20">
        <f t="shared" si="47"/>
        <v>17222</v>
      </c>
    </row>
    <row r="1018" spans="1:36" x14ac:dyDescent="0.2">
      <c r="A1018" s="17" t="s">
        <v>5612</v>
      </c>
      <c r="B1018" s="17">
        <v>42858</v>
      </c>
      <c r="C1018" s="20">
        <v>0</v>
      </c>
      <c r="D1018" s="20">
        <v>12575</v>
      </c>
      <c r="E1018" s="20">
        <v>12575</v>
      </c>
      <c r="F1018" s="20">
        <v>0</v>
      </c>
      <c r="I1018" s="20">
        <v>10076</v>
      </c>
      <c r="K1018" s="20">
        <v>502891</v>
      </c>
      <c r="L1018" s="20">
        <v>4661</v>
      </c>
      <c r="M1018" s="20">
        <v>370</v>
      </c>
      <c r="W1018" s="20">
        <f t="shared" si="48"/>
        <v>530573</v>
      </c>
      <c r="X1018" s="36">
        <v>-74706</v>
      </c>
      <c r="Y1018" s="36">
        <v>-434532</v>
      </c>
      <c r="Z1018" s="36">
        <v>0</v>
      </c>
      <c r="AA1018" s="36">
        <v>-4647</v>
      </c>
      <c r="AB1018" s="36"/>
      <c r="AC1018" s="36"/>
      <c r="AD1018" s="36">
        <v>0</v>
      </c>
      <c r="AE1018" s="36"/>
      <c r="AF1018" s="36"/>
      <c r="AG1018" s="36"/>
      <c r="AH1018" s="36"/>
      <c r="AI1018" s="20">
        <f t="shared" si="46"/>
        <v>-513885</v>
      </c>
      <c r="AJ1018" s="20">
        <f t="shared" si="47"/>
        <v>16688</v>
      </c>
    </row>
    <row r="1019" spans="1:36" x14ac:dyDescent="0.2">
      <c r="A1019" s="17" t="s">
        <v>5613</v>
      </c>
      <c r="B1019" s="17">
        <v>42865</v>
      </c>
      <c r="C1019" s="20">
        <v>0</v>
      </c>
      <c r="D1019" s="20">
        <v>12575</v>
      </c>
      <c r="E1019" s="20">
        <v>12575</v>
      </c>
      <c r="F1019" s="20">
        <v>0</v>
      </c>
      <c r="I1019" s="20">
        <v>10043</v>
      </c>
      <c r="K1019" s="20">
        <v>503704</v>
      </c>
      <c r="L1019" s="20">
        <v>4645</v>
      </c>
      <c r="M1019" s="20">
        <v>370</v>
      </c>
      <c r="W1019" s="20">
        <f t="shared" si="48"/>
        <v>531337</v>
      </c>
      <c r="X1019" s="36">
        <v>-74066</v>
      </c>
      <c r="Y1019" s="36">
        <v>-435710</v>
      </c>
      <c r="Z1019" s="36">
        <v>0</v>
      </c>
      <c r="AA1019" s="36">
        <v>-4629</v>
      </c>
      <c r="AB1019" s="36"/>
      <c r="AC1019" s="36"/>
      <c r="AD1019" s="36">
        <v>0</v>
      </c>
      <c r="AE1019" s="36"/>
      <c r="AF1019" s="36"/>
      <c r="AG1019" s="36"/>
      <c r="AH1019" s="36"/>
      <c r="AI1019" s="20">
        <f t="shared" si="46"/>
        <v>-514405</v>
      </c>
      <c r="AJ1019" s="20">
        <f t="shared" si="47"/>
        <v>16932</v>
      </c>
    </row>
    <row r="1020" spans="1:36" x14ac:dyDescent="0.2">
      <c r="A1020" s="17" t="s">
        <v>5614</v>
      </c>
      <c r="B1020" s="17">
        <v>42872</v>
      </c>
      <c r="C1020" s="20">
        <v>0</v>
      </c>
      <c r="D1020" s="20">
        <v>13385</v>
      </c>
      <c r="E1020" s="20">
        <v>13385</v>
      </c>
      <c r="F1020" s="20">
        <v>0</v>
      </c>
      <c r="I1020" s="20">
        <v>10100</v>
      </c>
      <c r="K1020" s="20">
        <v>505174</v>
      </c>
      <c r="L1020" s="20">
        <v>4647</v>
      </c>
      <c r="M1020" s="20">
        <v>370</v>
      </c>
      <c r="W1020" s="20">
        <f t="shared" si="48"/>
        <v>533676</v>
      </c>
      <c r="X1020" s="36">
        <v>-73733</v>
      </c>
      <c r="Y1020" s="36">
        <v>-438405</v>
      </c>
      <c r="Z1020" s="36">
        <v>0</v>
      </c>
      <c r="AA1020" s="36">
        <v>-4632</v>
      </c>
      <c r="AB1020" s="36"/>
      <c r="AC1020" s="36"/>
      <c r="AD1020" s="36">
        <v>0</v>
      </c>
      <c r="AE1020" s="36"/>
      <c r="AF1020" s="36"/>
      <c r="AG1020" s="36"/>
      <c r="AH1020" s="36"/>
      <c r="AI1020" s="20">
        <f t="shared" si="46"/>
        <v>-516770</v>
      </c>
      <c r="AJ1020" s="20">
        <f t="shared" si="47"/>
        <v>16906</v>
      </c>
    </row>
    <row r="1021" spans="1:36" x14ac:dyDescent="0.2">
      <c r="A1021" s="17" t="s">
        <v>5615</v>
      </c>
      <c r="B1021" s="17">
        <v>42879</v>
      </c>
      <c r="C1021" s="20">
        <v>0</v>
      </c>
      <c r="D1021" s="20">
        <v>13385</v>
      </c>
      <c r="E1021" s="20">
        <v>13385</v>
      </c>
      <c r="F1021" s="20">
        <v>0</v>
      </c>
      <c r="I1021" s="20">
        <v>10103</v>
      </c>
      <c r="K1021" s="20">
        <v>508034</v>
      </c>
      <c r="L1021" s="20">
        <v>4644</v>
      </c>
      <c r="M1021" s="20">
        <v>370</v>
      </c>
      <c r="W1021" s="20">
        <f t="shared" si="48"/>
        <v>536536</v>
      </c>
      <c r="X1021" s="36">
        <v>-74165</v>
      </c>
      <c r="Y1021" s="36">
        <v>-440568</v>
      </c>
      <c r="Z1021" s="36">
        <v>0</v>
      </c>
      <c r="AA1021" s="36">
        <v>-4628</v>
      </c>
      <c r="AB1021" s="36"/>
      <c r="AC1021" s="36"/>
      <c r="AD1021" s="36">
        <v>0</v>
      </c>
      <c r="AE1021" s="36"/>
      <c r="AF1021" s="36"/>
      <c r="AG1021" s="36"/>
      <c r="AH1021" s="36"/>
      <c r="AI1021" s="20">
        <f t="shared" si="46"/>
        <v>-519361</v>
      </c>
      <c r="AJ1021" s="20">
        <f t="shared" si="47"/>
        <v>17175</v>
      </c>
    </row>
    <row r="1022" spans="1:36" x14ac:dyDescent="0.2">
      <c r="A1022" s="17" t="s">
        <v>5616</v>
      </c>
      <c r="B1022" s="17">
        <v>42886</v>
      </c>
      <c r="C1022" s="20">
        <v>0</v>
      </c>
      <c r="D1022" s="20">
        <v>13385</v>
      </c>
      <c r="E1022" s="20">
        <v>13385</v>
      </c>
      <c r="F1022" s="20">
        <v>0</v>
      </c>
      <c r="I1022" s="20">
        <v>10126</v>
      </c>
      <c r="K1022" s="20">
        <v>508298</v>
      </c>
      <c r="L1022" s="20">
        <v>4666</v>
      </c>
      <c r="M1022" s="20">
        <v>370</v>
      </c>
      <c r="W1022" s="20">
        <f t="shared" si="48"/>
        <v>536845</v>
      </c>
      <c r="X1022" s="36">
        <v>-74776</v>
      </c>
      <c r="Y1022" s="36">
        <v>-437760</v>
      </c>
      <c r="Z1022" s="36">
        <v>0</v>
      </c>
      <c r="AA1022" s="36">
        <v>-4649</v>
      </c>
      <c r="AB1022" s="36"/>
      <c r="AC1022" s="36"/>
      <c r="AD1022" s="36">
        <v>0</v>
      </c>
      <c r="AE1022" s="36"/>
      <c r="AF1022" s="36"/>
      <c r="AG1022" s="36"/>
      <c r="AH1022" s="36"/>
      <c r="AI1022" s="20">
        <f t="shared" si="46"/>
        <v>-517185</v>
      </c>
      <c r="AJ1022" s="20">
        <f t="shared" si="47"/>
        <v>19660</v>
      </c>
    </row>
    <row r="1023" spans="1:36" x14ac:dyDescent="0.2">
      <c r="A1023" s="17" t="s">
        <v>5617</v>
      </c>
      <c r="B1023" s="17">
        <v>42893</v>
      </c>
      <c r="C1023" s="20">
        <v>0</v>
      </c>
      <c r="D1023" s="20">
        <v>13385</v>
      </c>
      <c r="E1023" s="20">
        <v>13385</v>
      </c>
      <c r="F1023" s="20">
        <v>0</v>
      </c>
      <c r="I1023" s="20">
        <v>10094</v>
      </c>
      <c r="K1023" s="20">
        <v>510023</v>
      </c>
      <c r="L1023" s="20">
        <v>4648</v>
      </c>
      <c r="M1023" s="20">
        <v>370</v>
      </c>
      <c r="W1023" s="20">
        <f t="shared" si="48"/>
        <v>538520</v>
      </c>
      <c r="X1023" s="36">
        <v>-74365</v>
      </c>
      <c r="Y1023" s="36">
        <v>-439528</v>
      </c>
      <c r="Z1023" s="36">
        <v>0</v>
      </c>
      <c r="AA1023" s="36">
        <v>-4627</v>
      </c>
      <c r="AB1023" s="36"/>
      <c r="AC1023" s="36"/>
      <c r="AD1023" s="36">
        <v>0</v>
      </c>
      <c r="AE1023" s="36"/>
      <c r="AF1023" s="36"/>
      <c r="AG1023" s="36"/>
      <c r="AH1023" s="36"/>
      <c r="AI1023" s="20">
        <f t="shared" ref="AI1023:AI1086" si="49">SUM(X1023:AA1023)</f>
        <v>-518520</v>
      </c>
      <c r="AJ1023" s="20">
        <f t="shared" ref="AJ1023:AJ1086" si="50">W1023+AI1023</f>
        <v>20000</v>
      </c>
    </row>
    <row r="1024" spans="1:36" x14ac:dyDescent="0.2">
      <c r="A1024" s="17" t="s">
        <v>5618</v>
      </c>
      <c r="B1024" s="17">
        <v>42900</v>
      </c>
      <c r="C1024" s="20">
        <v>0</v>
      </c>
      <c r="D1024" s="20">
        <v>11210</v>
      </c>
      <c r="E1024" s="20">
        <v>11210</v>
      </c>
      <c r="F1024" s="20">
        <v>0</v>
      </c>
      <c r="I1024" s="20">
        <v>10135</v>
      </c>
      <c r="K1024" s="20">
        <v>510195</v>
      </c>
      <c r="L1024" s="20">
        <v>4713</v>
      </c>
      <c r="M1024" s="20">
        <v>370</v>
      </c>
      <c r="W1024" s="20">
        <f t="shared" si="48"/>
        <v>536623</v>
      </c>
      <c r="X1024" s="36">
        <v>-74280</v>
      </c>
      <c r="Y1024" s="36">
        <v>-437837</v>
      </c>
      <c r="Z1024" s="36">
        <v>0</v>
      </c>
      <c r="AA1024" s="36">
        <v>-4692</v>
      </c>
      <c r="AB1024" s="36"/>
      <c r="AC1024" s="36"/>
      <c r="AD1024" s="36">
        <v>0</v>
      </c>
      <c r="AE1024" s="36"/>
      <c r="AF1024" s="36"/>
      <c r="AG1024" s="36"/>
      <c r="AH1024" s="36"/>
      <c r="AI1024" s="20">
        <f t="shared" si="49"/>
        <v>-516809</v>
      </c>
      <c r="AJ1024" s="20">
        <f t="shared" si="50"/>
        <v>19814</v>
      </c>
    </row>
    <row r="1025" spans="1:36" x14ac:dyDescent="0.2">
      <c r="A1025" s="17" t="s">
        <v>5619</v>
      </c>
      <c r="B1025" s="17">
        <v>42907</v>
      </c>
      <c r="C1025" s="20">
        <v>0</v>
      </c>
      <c r="D1025" s="20">
        <v>11210</v>
      </c>
      <c r="E1025" s="20">
        <v>11210</v>
      </c>
      <c r="F1025" s="20">
        <v>0</v>
      </c>
      <c r="I1025" s="20">
        <v>10101</v>
      </c>
      <c r="K1025" s="20">
        <v>513661</v>
      </c>
      <c r="L1025" s="20">
        <v>4755</v>
      </c>
      <c r="M1025" s="20">
        <v>370</v>
      </c>
      <c r="W1025" s="20">
        <f t="shared" si="48"/>
        <v>540097</v>
      </c>
      <c r="X1025" s="36">
        <v>-74359</v>
      </c>
      <c r="Y1025" s="36">
        <v>-440845</v>
      </c>
      <c r="Z1025" s="36">
        <v>0</v>
      </c>
      <c r="AA1025" s="36">
        <v>-4732</v>
      </c>
      <c r="AB1025" s="36"/>
      <c r="AC1025" s="36"/>
      <c r="AD1025" s="36">
        <v>0</v>
      </c>
      <c r="AE1025" s="36"/>
      <c r="AF1025" s="36"/>
      <c r="AG1025" s="36"/>
      <c r="AH1025" s="36"/>
      <c r="AI1025" s="20">
        <f t="shared" si="49"/>
        <v>-519936</v>
      </c>
      <c r="AJ1025" s="20">
        <f t="shared" si="50"/>
        <v>20161</v>
      </c>
    </row>
    <row r="1026" spans="1:36" x14ac:dyDescent="0.2">
      <c r="A1026" s="17" t="s">
        <v>5620</v>
      </c>
      <c r="B1026" s="17">
        <v>42914</v>
      </c>
      <c r="C1026" s="20">
        <v>0</v>
      </c>
      <c r="D1026" s="20">
        <v>11210</v>
      </c>
      <c r="E1026" s="20">
        <v>11210</v>
      </c>
      <c r="F1026" s="20">
        <v>0</v>
      </c>
      <c r="I1026" s="20">
        <v>10071</v>
      </c>
      <c r="K1026" s="20">
        <v>514256</v>
      </c>
      <c r="L1026" s="20">
        <v>4658</v>
      </c>
      <c r="M1026" s="20">
        <v>370</v>
      </c>
      <c r="W1026" s="20">
        <f t="shared" si="48"/>
        <v>540565</v>
      </c>
      <c r="X1026" s="36">
        <v>-74690</v>
      </c>
      <c r="Y1026" s="36">
        <v>-441717</v>
      </c>
      <c r="Z1026" s="36">
        <v>0</v>
      </c>
      <c r="AA1026" s="36">
        <v>-4636</v>
      </c>
      <c r="AB1026" s="36"/>
      <c r="AC1026" s="36"/>
      <c r="AD1026" s="36">
        <v>0</v>
      </c>
      <c r="AE1026" s="36"/>
      <c r="AF1026" s="36"/>
      <c r="AG1026" s="36"/>
      <c r="AH1026" s="36"/>
      <c r="AI1026" s="20">
        <f t="shared" si="49"/>
        <v>-521043</v>
      </c>
      <c r="AJ1026" s="20">
        <f t="shared" si="50"/>
        <v>19522</v>
      </c>
    </row>
    <row r="1027" spans="1:36" x14ac:dyDescent="0.2">
      <c r="A1027" s="17" t="s">
        <v>5621</v>
      </c>
      <c r="B1027" s="17">
        <v>42921</v>
      </c>
      <c r="C1027" s="20">
        <v>0</v>
      </c>
      <c r="D1027" s="20">
        <v>11210</v>
      </c>
      <c r="E1027" s="20">
        <v>11210</v>
      </c>
      <c r="F1027" s="20">
        <v>0</v>
      </c>
      <c r="I1027" s="20">
        <v>10074</v>
      </c>
      <c r="K1027" s="20">
        <v>520461</v>
      </c>
      <c r="L1027" s="20">
        <v>4657</v>
      </c>
      <c r="M1027" s="20">
        <v>370</v>
      </c>
      <c r="W1027" s="20">
        <f t="shared" si="48"/>
        <v>546772</v>
      </c>
      <c r="X1027" s="36">
        <v>-74878</v>
      </c>
      <c r="Y1027" s="36">
        <v>-447611</v>
      </c>
      <c r="Z1027" s="36">
        <v>0</v>
      </c>
      <c r="AA1027" s="36">
        <v>-4633</v>
      </c>
      <c r="AB1027" s="36"/>
      <c r="AC1027" s="36"/>
      <c r="AD1027" s="36">
        <v>0</v>
      </c>
      <c r="AE1027" s="36"/>
      <c r="AF1027" s="36"/>
      <c r="AG1027" s="36"/>
      <c r="AH1027" s="36"/>
      <c r="AI1027" s="20">
        <f t="shared" si="49"/>
        <v>-527122</v>
      </c>
      <c r="AJ1027" s="20">
        <f t="shared" si="50"/>
        <v>19650</v>
      </c>
    </row>
    <row r="1028" spans="1:36" x14ac:dyDescent="0.2">
      <c r="A1028" s="17" t="s">
        <v>5622</v>
      </c>
      <c r="B1028" s="17">
        <v>42928</v>
      </c>
      <c r="C1028" s="20">
        <v>0</v>
      </c>
      <c r="D1028" s="20">
        <v>9557</v>
      </c>
      <c r="E1028" s="20">
        <v>9557</v>
      </c>
      <c r="F1028" s="20">
        <v>0</v>
      </c>
      <c r="I1028" s="20">
        <v>10106</v>
      </c>
      <c r="K1028" s="20">
        <v>520486</v>
      </c>
      <c r="L1028" s="20">
        <v>4675</v>
      </c>
      <c r="M1028" s="20">
        <v>370</v>
      </c>
      <c r="W1028" s="20">
        <f t="shared" si="48"/>
        <v>545194</v>
      </c>
      <c r="X1028" s="36">
        <v>-74974</v>
      </c>
      <c r="Y1028" s="36">
        <v>-445381</v>
      </c>
      <c r="Z1028" s="36">
        <v>0</v>
      </c>
      <c r="AA1028" s="36">
        <v>-4651</v>
      </c>
      <c r="AB1028" s="36"/>
      <c r="AC1028" s="36"/>
      <c r="AD1028" s="36">
        <v>0</v>
      </c>
      <c r="AE1028" s="36"/>
      <c r="AF1028" s="36"/>
      <c r="AG1028" s="36"/>
      <c r="AH1028" s="36"/>
      <c r="AI1028" s="20">
        <f t="shared" si="49"/>
        <v>-525006</v>
      </c>
      <c r="AJ1028" s="20">
        <f t="shared" si="50"/>
        <v>20188</v>
      </c>
    </row>
    <row r="1029" spans="1:36" x14ac:dyDescent="0.2">
      <c r="A1029" s="17" t="s">
        <v>5623</v>
      </c>
      <c r="B1029" s="17">
        <v>42935</v>
      </c>
      <c r="C1029" s="20">
        <v>0</v>
      </c>
      <c r="D1029" s="20">
        <v>9557</v>
      </c>
      <c r="E1029" s="20">
        <v>9557</v>
      </c>
      <c r="F1029" s="20">
        <v>0</v>
      </c>
      <c r="I1029" s="20">
        <v>10209</v>
      </c>
      <c r="K1029" s="20">
        <v>520661</v>
      </c>
      <c r="L1029" s="20">
        <v>4624</v>
      </c>
      <c r="M1029" s="20">
        <v>370</v>
      </c>
      <c r="W1029" s="20">
        <f t="shared" si="48"/>
        <v>545421</v>
      </c>
      <c r="X1029" s="36">
        <v>-74908</v>
      </c>
      <c r="Y1029" s="36">
        <v>-446250</v>
      </c>
      <c r="Z1029" s="36">
        <v>0</v>
      </c>
      <c r="AA1029" s="36">
        <v>-4597</v>
      </c>
      <c r="AB1029" s="36"/>
      <c r="AC1029" s="36"/>
      <c r="AD1029" s="36">
        <v>0</v>
      </c>
      <c r="AE1029" s="36"/>
      <c r="AF1029" s="36"/>
      <c r="AG1029" s="36"/>
      <c r="AH1029" s="36"/>
      <c r="AI1029" s="20">
        <f t="shared" si="49"/>
        <v>-525755</v>
      </c>
      <c r="AJ1029" s="20">
        <f t="shared" si="50"/>
        <v>19666</v>
      </c>
    </row>
    <row r="1030" spans="1:36" x14ac:dyDescent="0.2">
      <c r="A1030" s="17" t="s">
        <v>5624</v>
      </c>
      <c r="B1030" s="17">
        <v>42942</v>
      </c>
      <c r="C1030" s="20">
        <v>0</v>
      </c>
      <c r="D1030" s="20">
        <v>9557</v>
      </c>
      <c r="E1030" s="20">
        <v>9557</v>
      </c>
      <c r="F1030" s="20">
        <v>0</v>
      </c>
      <c r="I1030" s="20">
        <v>10231</v>
      </c>
      <c r="K1030" s="20">
        <v>523315</v>
      </c>
      <c r="L1030" s="20">
        <v>4618</v>
      </c>
      <c r="M1030" s="20">
        <v>370</v>
      </c>
      <c r="W1030" s="20">
        <f t="shared" si="48"/>
        <v>548091</v>
      </c>
      <c r="X1030" s="36">
        <v>-75082</v>
      </c>
      <c r="Y1030" s="36">
        <v>-448603</v>
      </c>
      <c r="Z1030" s="36">
        <v>0</v>
      </c>
      <c r="AA1030" s="36">
        <v>-4590</v>
      </c>
      <c r="AB1030" s="36"/>
      <c r="AC1030" s="36"/>
      <c r="AD1030" s="36">
        <v>0</v>
      </c>
      <c r="AE1030" s="36"/>
      <c r="AF1030" s="36"/>
      <c r="AG1030" s="36"/>
      <c r="AH1030" s="36"/>
      <c r="AI1030" s="20">
        <f t="shared" si="49"/>
        <v>-528275</v>
      </c>
      <c r="AJ1030" s="20">
        <f t="shared" si="50"/>
        <v>19816</v>
      </c>
    </row>
    <row r="1031" spans="1:36" x14ac:dyDescent="0.2">
      <c r="A1031" s="17" t="s">
        <v>5625</v>
      </c>
      <c r="B1031" s="17">
        <v>42949</v>
      </c>
      <c r="C1031" s="20">
        <v>0</v>
      </c>
      <c r="D1031" s="20">
        <v>9557</v>
      </c>
      <c r="E1031" s="20">
        <v>9557</v>
      </c>
      <c r="F1031" s="20">
        <v>0</v>
      </c>
      <c r="I1031" s="20">
        <v>10264</v>
      </c>
      <c r="K1031" s="20">
        <v>524589</v>
      </c>
      <c r="L1031" s="20">
        <v>4564</v>
      </c>
      <c r="M1031" s="20">
        <v>370</v>
      </c>
      <c r="W1031" s="20">
        <f t="shared" si="48"/>
        <v>549344</v>
      </c>
      <c r="X1031" s="36">
        <v>-74917</v>
      </c>
      <c r="Y1031" s="36">
        <v>-448704</v>
      </c>
      <c r="Z1031" s="36">
        <v>0</v>
      </c>
      <c r="AA1031" s="36">
        <v>-4535</v>
      </c>
      <c r="AB1031" s="36"/>
      <c r="AC1031" s="36"/>
      <c r="AD1031" s="36">
        <v>0</v>
      </c>
      <c r="AE1031" s="36"/>
      <c r="AF1031" s="36"/>
      <c r="AG1031" s="36"/>
      <c r="AH1031" s="36"/>
      <c r="AI1031" s="20">
        <f t="shared" si="49"/>
        <v>-528156</v>
      </c>
      <c r="AJ1031" s="20">
        <f t="shared" si="50"/>
        <v>21188</v>
      </c>
    </row>
    <row r="1032" spans="1:36" x14ac:dyDescent="0.2">
      <c r="A1032" s="17" t="s">
        <v>5626</v>
      </c>
      <c r="B1032" s="17">
        <v>42956</v>
      </c>
      <c r="C1032" s="20">
        <v>0</v>
      </c>
      <c r="D1032" s="20">
        <v>9557</v>
      </c>
      <c r="E1032" s="20">
        <v>9557</v>
      </c>
      <c r="F1032" s="20">
        <v>0</v>
      </c>
      <c r="I1032" s="20">
        <v>10378</v>
      </c>
      <c r="K1032" s="20">
        <v>524636</v>
      </c>
      <c r="L1032" s="20">
        <v>4647</v>
      </c>
      <c r="M1032" s="20">
        <v>370</v>
      </c>
      <c r="W1032" s="20">
        <f t="shared" si="48"/>
        <v>549588</v>
      </c>
      <c r="X1032" s="36">
        <v>-74853</v>
      </c>
      <c r="Y1032" s="36">
        <v>-450082</v>
      </c>
      <c r="Z1032" s="36">
        <v>0</v>
      </c>
      <c r="AA1032" s="36">
        <v>-4618</v>
      </c>
      <c r="AB1032" s="36"/>
      <c r="AC1032" s="36"/>
      <c r="AD1032" s="36">
        <v>0</v>
      </c>
      <c r="AE1032" s="36"/>
      <c r="AF1032" s="36"/>
      <c r="AG1032" s="36"/>
      <c r="AH1032" s="36"/>
      <c r="AI1032" s="20">
        <f t="shared" si="49"/>
        <v>-529553</v>
      </c>
      <c r="AJ1032" s="20">
        <f t="shared" si="50"/>
        <v>20035</v>
      </c>
    </row>
    <row r="1033" spans="1:36" x14ac:dyDescent="0.2">
      <c r="A1033" s="17" t="s">
        <v>5627</v>
      </c>
      <c r="B1033" s="17">
        <v>42963</v>
      </c>
      <c r="C1033" s="20">
        <v>0</v>
      </c>
      <c r="D1033" s="20">
        <v>8777</v>
      </c>
      <c r="E1033" s="20">
        <v>8777</v>
      </c>
      <c r="F1033" s="20">
        <v>0</v>
      </c>
      <c r="I1033" s="20">
        <v>10403</v>
      </c>
      <c r="K1033" s="20">
        <v>525375</v>
      </c>
      <c r="L1033" s="20">
        <v>4690</v>
      </c>
      <c r="M1033" s="20">
        <v>370</v>
      </c>
      <c r="W1033" s="20">
        <f t="shared" si="48"/>
        <v>549615</v>
      </c>
      <c r="X1033" s="36">
        <v>-74885</v>
      </c>
      <c r="Y1033" s="36">
        <v>-449866</v>
      </c>
      <c r="Z1033" s="36">
        <v>0</v>
      </c>
      <c r="AA1033" s="36">
        <v>-4660</v>
      </c>
      <c r="AB1033" s="36"/>
      <c r="AC1033" s="36"/>
      <c r="AD1033" s="36">
        <v>0</v>
      </c>
      <c r="AE1033" s="36"/>
      <c r="AF1033" s="36"/>
      <c r="AG1033" s="36"/>
      <c r="AH1033" s="36"/>
      <c r="AI1033" s="20">
        <f t="shared" si="49"/>
        <v>-529411</v>
      </c>
      <c r="AJ1033" s="20">
        <f t="shared" si="50"/>
        <v>20204</v>
      </c>
    </row>
    <row r="1034" spans="1:36" x14ac:dyDescent="0.2">
      <c r="A1034" s="17" t="s">
        <v>5628</v>
      </c>
      <c r="B1034" s="17">
        <v>42970</v>
      </c>
      <c r="C1034" s="20">
        <v>0</v>
      </c>
      <c r="D1034" s="20">
        <v>8777</v>
      </c>
      <c r="E1034" s="20">
        <v>8777</v>
      </c>
      <c r="F1034" s="20">
        <v>0</v>
      </c>
      <c r="I1034" s="20">
        <v>10488</v>
      </c>
      <c r="K1034" s="20">
        <v>527740</v>
      </c>
      <c r="L1034" s="20">
        <v>4722</v>
      </c>
      <c r="M1034" s="20">
        <v>370</v>
      </c>
      <c r="W1034" s="20">
        <f t="shared" si="48"/>
        <v>552097</v>
      </c>
      <c r="X1034" s="36">
        <v>-75013</v>
      </c>
      <c r="Y1034" s="36">
        <v>-443926</v>
      </c>
      <c r="Z1034" s="36">
        <v>0</v>
      </c>
      <c r="AA1034" s="36">
        <v>-4690</v>
      </c>
      <c r="AB1034" s="36"/>
      <c r="AC1034" s="36"/>
      <c r="AD1034" s="36">
        <v>0</v>
      </c>
      <c r="AE1034" s="36"/>
      <c r="AF1034" s="36"/>
      <c r="AG1034" s="36"/>
      <c r="AH1034" s="36"/>
      <c r="AI1034" s="20">
        <f t="shared" si="49"/>
        <v>-523629</v>
      </c>
      <c r="AJ1034" s="20">
        <f t="shared" si="50"/>
        <v>28468</v>
      </c>
    </row>
    <row r="1035" spans="1:36" x14ac:dyDescent="0.2">
      <c r="A1035" s="17" t="s">
        <v>5629</v>
      </c>
      <c r="B1035" s="17">
        <v>42977</v>
      </c>
      <c r="C1035" s="20">
        <v>0</v>
      </c>
      <c r="D1035" s="20">
        <v>8777</v>
      </c>
      <c r="E1035" s="20">
        <v>8777</v>
      </c>
      <c r="F1035" s="20">
        <v>0</v>
      </c>
      <c r="I1035" s="20">
        <v>9768</v>
      </c>
      <c r="K1035" s="20">
        <v>527852</v>
      </c>
      <c r="L1035" s="20">
        <v>4677</v>
      </c>
      <c r="M1035" s="20">
        <v>370</v>
      </c>
      <c r="W1035" s="20">
        <f t="shared" si="48"/>
        <v>551444</v>
      </c>
      <c r="X1035" s="36">
        <v>-75408</v>
      </c>
      <c r="Y1035" s="36">
        <v>-445784</v>
      </c>
      <c r="Z1035" s="36">
        <v>0</v>
      </c>
      <c r="AA1035" s="36">
        <v>-4645</v>
      </c>
      <c r="AB1035" s="36"/>
      <c r="AC1035" s="36"/>
      <c r="AD1035" s="36">
        <v>0</v>
      </c>
      <c r="AE1035" s="36"/>
      <c r="AF1035" s="36"/>
      <c r="AG1035" s="36"/>
      <c r="AH1035" s="36"/>
      <c r="AI1035" s="20">
        <f t="shared" si="49"/>
        <v>-525837</v>
      </c>
      <c r="AJ1035" s="20">
        <f t="shared" si="50"/>
        <v>25607</v>
      </c>
    </row>
    <row r="1036" spans="1:36" x14ac:dyDescent="0.2">
      <c r="A1036" s="17" t="s">
        <v>5630</v>
      </c>
      <c r="B1036" s="17">
        <v>42984</v>
      </c>
      <c r="C1036" s="20">
        <v>0</v>
      </c>
      <c r="D1036" s="20">
        <v>8777</v>
      </c>
      <c r="E1036" s="20">
        <v>8777</v>
      </c>
      <c r="F1036" s="20">
        <v>0</v>
      </c>
      <c r="I1036" s="20">
        <v>9820</v>
      </c>
      <c r="K1036" s="20">
        <v>527444</v>
      </c>
      <c r="L1036" s="20">
        <v>4615</v>
      </c>
      <c r="M1036" s="20">
        <v>370</v>
      </c>
      <c r="W1036" s="20">
        <f t="shared" si="48"/>
        <v>551026</v>
      </c>
      <c r="X1036" s="36">
        <v>-75328</v>
      </c>
      <c r="Y1036" s="36">
        <v>-428797</v>
      </c>
      <c r="Z1036" s="36">
        <v>0</v>
      </c>
      <c r="AA1036" s="36">
        <v>-4596</v>
      </c>
      <c r="AB1036" s="36"/>
      <c r="AC1036" s="36"/>
      <c r="AD1036" s="36">
        <v>0</v>
      </c>
      <c r="AE1036" s="36"/>
      <c r="AF1036" s="36"/>
      <c r="AG1036" s="36"/>
      <c r="AH1036" s="36"/>
      <c r="AI1036" s="20">
        <f t="shared" si="49"/>
        <v>-508721</v>
      </c>
      <c r="AJ1036" s="20">
        <f t="shared" si="50"/>
        <v>42305</v>
      </c>
    </row>
    <row r="1037" spans="1:36" x14ac:dyDescent="0.2">
      <c r="A1037" s="17" t="s">
        <v>5631</v>
      </c>
      <c r="B1037" s="17">
        <v>42991</v>
      </c>
      <c r="C1037" s="20">
        <v>0</v>
      </c>
      <c r="D1037" s="20">
        <v>6572</v>
      </c>
      <c r="E1037" s="20">
        <v>6572</v>
      </c>
      <c r="F1037" s="20">
        <v>0</v>
      </c>
      <c r="I1037" s="20">
        <v>9671</v>
      </c>
      <c r="K1037" s="20">
        <v>527624</v>
      </c>
      <c r="L1037" s="20">
        <v>4555</v>
      </c>
      <c r="M1037" s="20">
        <v>370</v>
      </c>
      <c r="W1037" s="20">
        <f t="shared" si="48"/>
        <v>548792</v>
      </c>
      <c r="X1037" s="36">
        <v>-75187</v>
      </c>
      <c r="Y1037" s="36">
        <v>-441894</v>
      </c>
      <c r="Z1037" s="36">
        <v>0</v>
      </c>
      <c r="AA1037" s="36">
        <v>-4533</v>
      </c>
      <c r="AB1037" s="36"/>
      <c r="AC1037" s="36"/>
      <c r="AD1037" s="36">
        <v>0</v>
      </c>
      <c r="AE1037" s="36"/>
      <c r="AF1037" s="36"/>
      <c r="AG1037" s="36"/>
      <c r="AH1037" s="36"/>
      <c r="AI1037" s="20">
        <f t="shared" si="49"/>
        <v>-521614</v>
      </c>
      <c r="AJ1037" s="20">
        <f t="shared" si="50"/>
        <v>27178</v>
      </c>
    </row>
    <row r="1038" spans="1:36" x14ac:dyDescent="0.2">
      <c r="A1038" s="17" t="s">
        <v>5632</v>
      </c>
      <c r="B1038" s="17">
        <v>42998</v>
      </c>
      <c r="C1038" s="20">
        <v>0</v>
      </c>
      <c r="D1038" s="20">
        <v>6572</v>
      </c>
      <c r="E1038" s="20">
        <v>6572</v>
      </c>
      <c r="F1038" s="20">
        <v>0</v>
      </c>
      <c r="I1038" s="20">
        <v>9593</v>
      </c>
      <c r="K1038" s="20">
        <v>529324</v>
      </c>
      <c r="L1038" s="20">
        <v>4421</v>
      </c>
      <c r="M1038" s="20">
        <v>370</v>
      </c>
      <c r="W1038" s="20">
        <f t="shared" si="48"/>
        <v>550280</v>
      </c>
      <c r="X1038" s="36">
        <v>-75218</v>
      </c>
      <c r="Y1038" s="36">
        <v>-445826</v>
      </c>
      <c r="Z1038" s="36">
        <v>0</v>
      </c>
      <c r="AA1038" s="36">
        <v>-4418</v>
      </c>
      <c r="AB1038" s="36"/>
      <c r="AC1038" s="36"/>
      <c r="AD1038" s="36">
        <v>0</v>
      </c>
      <c r="AE1038" s="36"/>
      <c r="AF1038" s="36"/>
      <c r="AG1038" s="36"/>
      <c r="AH1038" s="36"/>
      <c r="AI1038" s="20">
        <f t="shared" si="49"/>
        <v>-525462</v>
      </c>
      <c r="AJ1038" s="20">
        <f t="shared" si="50"/>
        <v>24818</v>
      </c>
    </row>
    <row r="1039" spans="1:36" x14ac:dyDescent="0.2">
      <c r="A1039" s="17" t="s">
        <v>5633</v>
      </c>
      <c r="B1039" s="17">
        <v>43005</v>
      </c>
      <c r="C1039" s="20">
        <v>0</v>
      </c>
      <c r="D1039" s="20">
        <v>6572</v>
      </c>
      <c r="E1039" s="20">
        <v>6572</v>
      </c>
      <c r="F1039" s="20">
        <v>0</v>
      </c>
      <c r="I1039" s="20">
        <v>9610</v>
      </c>
      <c r="K1039" s="20">
        <v>529542</v>
      </c>
      <c r="L1039" s="20">
        <v>4480</v>
      </c>
      <c r="M1039" s="20">
        <v>370</v>
      </c>
      <c r="W1039" s="20">
        <f t="shared" si="48"/>
        <v>550574</v>
      </c>
      <c r="X1039" s="36">
        <v>-75343</v>
      </c>
      <c r="Y1039" s="36">
        <v>-448753</v>
      </c>
      <c r="Z1039" s="36">
        <v>0</v>
      </c>
      <c r="AA1039" s="36">
        <v>-4476</v>
      </c>
      <c r="AB1039" s="36"/>
      <c r="AC1039" s="36"/>
      <c r="AD1039" s="36">
        <v>0</v>
      </c>
      <c r="AE1039" s="36"/>
      <c r="AF1039" s="36"/>
      <c r="AG1039" s="36"/>
      <c r="AH1039" s="36"/>
      <c r="AI1039" s="20">
        <f t="shared" si="49"/>
        <v>-528572</v>
      </c>
      <c r="AJ1039" s="20">
        <f t="shared" si="50"/>
        <v>22002</v>
      </c>
    </row>
    <row r="1040" spans="1:36" x14ac:dyDescent="0.2">
      <c r="A1040" s="17" t="s">
        <v>5634</v>
      </c>
      <c r="B1040" s="17">
        <v>43012</v>
      </c>
      <c r="C1040" s="20">
        <v>0</v>
      </c>
      <c r="D1040" s="20">
        <v>6572</v>
      </c>
      <c r="E1040" s="20">
        <v>6572</v>
      </c>
      <c r="F1040" s="20">
        <v>0</v>
      </c>
      <c r="I1040" s="20">
        <v>9688</v>
      </c>
      <c r="K1040" s="20">
        <v>530041</v>
      </c>
      <c r="L1040" s="20">
        <v>4515</v>
      </c>
      <c r="M1040" s="20">
        <v>370</v>
      </c>
      <c r="W1040" s="20">
        <f t="shared" si="48"/>
        <v>551186</v>
      </c>
      <c r="X1040" s="36">
        <v>-75271</v>
      </c>
      <c r="Y1040" s="36">
        <v>-453804</v>
      </c>
      <c r="Z1040" s="36">
        <v>0</v>
      </c>
      <c r="AA1040" s="36">
        <v>-4510</v>
      </c>
      <c r="AB1040" s="36"/>
      <c r="AC1040" s="36"/>
      <c r="AD1040" s="36">
        <v>0</v>
      </c>
      <c r="AE1040" s="36"/>
      <c r="AF1040" s="36"/>
      <c r="AG1040" s="36"/>
      <c r="AH1040" s="36"/>
      <c r="AI1040" s="20">
        <f t="shared" si="49"/>
        <v>-533585</v>
      </c>
      <c r="AJ1040" s="20">
        <f t="shared" si="50"/>
        <v>17601</v>
      </c>
    </row>
    <row r="1041" spans="1:36" x14ac:dyDescent="0.2">
      <c r="A1041" s="17" t="s">
        <v>5635</v>
      </c>
      <c r="B1041" s="17">
        <v>43019</v>
      </c>
      <c r="C1041" s="20">
        <v>0</v>
      </c>
      <c r="D1041" s="20">
        <v>6067</v>
      </c>
      <c r="E1041" s="20">
        <v>6067</v>
      </c>
      <c r="F1041" s="20">
        <v>0</v>
      </c>
      <c r="I1041" s="20">
        <v>9709</v>
      </c>
      <c r="K1041" s="20">
        <v>532292</v>
      </c>
      <c r="L1041" s="20">
        <v>4547</v>
      </c>
      <c r="M1041" s="20">
        <v>370</v>
      </c>
      <c r="W1041" s="20">
        <f t="shared" si="48"/>
        <v>552985</v>
      </c>
      <c r="X1041" s="36">
        <v>-75071</v>
      </c>
      <c r="Y1041" s="36">
        <v>-456370</v>
      </c>
      <c r="Z1041" s="36">
        <v>0</v>
      </c>
      <c r="AA1041" s="36">
        <v>-4541</v>
      </c>
      <c r="AB1041" s="36"/>
      <c r="AC1041" s="36"/>
      <c r="AD1041" s="36">
        <v>0</v>
      </c>
      <c r="AE1041" s="36"/>
      <c r="AF1041" s="36"/>
      <c r="AG1041" s="36"/>
      <c r="AH1041" s="36"/>
      <c r="AI1041" s="20">
        <f t="shared" si="49"/>
        <v>-535982</v>
      </c>
      <c r="AJ1041" s="20">
        <f t="shared" si="50"/>
        <v>17003</v>
      </c>
    </row>
    <row r="1042" spans="1:36" x14ac:dyDescent="0.2">
      <c r="A1042" s="17" t="s">
        <v>5636</v>
      </c>
      <c r="B1042" s="17">
        <v>43026</v>
      </c>
      <c r="C1042" s="20">
        <v>0</v>
      </c>
      <c r="D1042" s="20">
        <v>6067</v>
      </c>
      <c r="E1042" s="20">
        <v>6067</v>
      </c>
      <c r="F1042" s="20">
        <v>0</v>
      </c>
      <c r="I1042" s="20">
        <v>9762</v>
      </c>
      <c r="K1042" s="20">
        <v>532537</v>
      </c>
      <c r="L1042" s="20">
        <v>4553</v>
      </c>
      <c r="M1042" s="20">
        <v>370</v>
      </c>
      <c r="W1042" s="20">
        <f t="shared" si="48"/>
        <v>553289</v>
      </c>
      <c r="X1042" s="36">
        <v>-74842</v>
      </c>
      <c r="Y1042" s="36">
        <v>-456816</v>
      </c>
      <c r="Z1042" s="36">
        <v>0</v>
      </c>
      <c r="AA1042" s="36">
        <v>-4545</v>
      </c>
      <c r="AB1042" s="36"/>
      <c r="AC1042" s="36"/>
      <c r="AD1042" s="36">
        <v>0</v>
      </c>
      <c r="AE1042" s="36"/>
      <c r="AF1042" s="36"/>
      <c r="AG1042" s="36"/>
      <c r="AH1042" s="36"/>
      <c r="AI1042" s="20">
        <f t="shared" si="49"/>
        <v>-536203</v>
      </c>
      <c r="AJ1042" s="20">
        <f t="shared" si="50"/>
        <v>17086</v>
      </c>
    </row>
    <row r="1043" spans="1:36" x14ac:dyDescent="0.2">
      <c r="A1043" s="17" t="s">
        <v>5637</v>
      </c>
      <c r="B1043" s="17">
        <v>43033</v>
      </c>
      <c r="C1043" s="20">
        <v>0</v>
      </c>
      <c r="D1043" s="20">
        <v>6067</v>
      </c>
      <c r="E1043" s="20">
        <v>6067</v>
      </c>
      <c r="F1043" s="20">
        <v>0</v>
      </c>
      <c r="I1043" s="20">
        <v>9768</v>
      </c>
      <c r="K1043" s="20">
        <v>534353</v>
      </c>
      <c r="L1043" s="20">
        <v>4523</v>
      </c>
      <c r="M1043" s="20">
        <v>370</v>
      </c>
      <c r="W1043" s="20">
        <f t="shared" si="48"/>
        <v>555081</v>
      </c>
      <c r="X1043" s="36">
        <v>-74784</v>
      </c>
      <c r="Y1043" s="36">
        <v>-458084</v>
      </c>
      <c r="Z1043" s="36">
        <v>0</v>
      </c>
      <c r="AA1043" s="36">
        <v>-4514</v>
      </c>
      <c r="AB1043" s="36"/>
      <c r="AC1043" s="36"/>
      <c r="AD1043" s="36">
        <v>0</v>
      </c>
      <c r="AE1043" s="36"/>
      <c r="AF1043" s="36"/>
      <c r="AG1043" s="36"/>
      <c r="AH1043" s="36"/>
      <c r="AI1043" s="20">
        <f t="shared" si="49"/>
        <v>-537382</v>
      </c>
      <c r="AJ1043" s="20">
        <f t="shared" si="50"/>
        <v>17699</v>
      </c>
    </row>
    <row r="1044" spans="1:36" x14ac:dyDescent="0.2">
      <c r="A1044" s="17" t="s">
        <v>5638</v>
      </c>
      <c r="B1044" s="17">
        <v>43040</v>
      </c>
      <c r="C1044" s="20">
        <v>0</v>
      </c>
      <c r="D1044" s="20">
        <v>6067</v>
      </c>
      <c r="E1044" s="20">
        <v>6067</v>
      </c>
      <c r="F1044" s="20">
        <v>0</v>
      </c>
      <c r="I1044" s="20">
        <v>9820</v>
      </c>
      <c r="K1044" s="20">
        <v>534915</v>
      </c>
      <c r="L1044" s="20">
        <v>4525</v>
      </c>
      <c r="M1044" s="20">
        <v>370</v>
      </c>
      <c r="W1044" s="20">
        <f t="shared" si="48"/>
        <v>555697</v>
      </c>
      <c r="X1044" s="36">
        <v>-75133</v>
      </c>
      <c r="Y1044" s="36">
        <v>-457648</v>
      </c>
      <c r="Z1044" s="36">
        <v>0</v>
      </c>
      <c r="AA1044" s="36">
        <v>-4514</v>
      </c>
      <c r="AB1044" s="36"/>
      <c r="AC1044" s="36"/>
      <c r="AD1044" s="36">
        <v>0</v>
      </c>
      <c r="AE1044" s="36"/>
      <c r="AF1044" s="36"/>
      <c r="AG1044" s="36"/>
      <c r="AH1044" s="36"/>
      <c r="AI1044" s="20">
        <f t="shared" si="49"/>
        <v>-537295</v>
      </c>
      <c r="AJ1044" s="20">
        <f t="shared" si="50"/>
        <v>18402</v>
      </c>
    </row>
    <row r="1045" spans="1:36" x14ac:dyDescent="0.2">
      <c r="A1045" s="17" t="s">
        <v>5639</v>
      </c>
      <c r="B1045" s="17">
        <v>43047</v>
      </c>
      <c r="C1045" s="20">
        <v>0</v>
      </c>
      <c r="D1045" s="20">
        <v>6067</v>
      </c>
      <c r="E1045" s="20">
        <v>6067</v>
      </c>
      <c r="F1045" s="20">
        <v>0</v>
      </c>
      <c r="I1045" s="20">
        <v>9908</v>
      </c>
      <c r="K1045" s="20">
        <v>535115</v>
      </c>
      <c r="L1045" s="20">
        <v>4580</v>
      </c>
      <c r="M1045" s="20">
        <v>370</v>
      </c>
      <c r="W1045" s="20">
        <f t="shared" si="48"/>
        <v>556040</v>
      </c>
      <c r="X1045" s="36">
        <v>-75029</v>
      </c>
      <c r="Y1045" s="36">
        <v>-457705</v>
      </c>
      <c r="Z1045" s="36">
        <v>0</v>
      </c>
      <c r="AA1045" s="36">
        <v>-4566</v>
      </c>
      <c r="AB1045" s="36"/>
      <c r="AC1045" s="36"/>
      <c r="AD1045" s="36">
        <v>0</v>
      </c>
      <c r="AE1045" s="36"/>
      <c r="AF1045" s="36"/>
      <c r="AG1045" s="36"/>
      <c r="AH1045" s="36"/>
      <c r="AI1045" s="20">
        <f t="shared" si="49"/>
        <v>-537300</v>
      </c>
      <c r="AJ1045" s="20">
        <f t="shared" si="50"/>
        <v>18740</v>
      </c>
    </row>
    <row r="1046" spans="1:36" x14ac:dyDescent="0.2">
      <c r="A1046" s="17" t="s">
        <v>5640</v>
      </c>
      <c r="B1046" s="17">
        <v>43054</v>
      </c>
      <c r="C1046" s="20">
        <v>0</v>
      </c>
      <c r="D1046" s="20">
        <v>4072</v>
      </c>
      <c r="E1046" s="20">
        <v>4072</v>
      </c>
      <c r="F1046" s="20">
        <v>0</v>
      </c>
      <c r="I1046" s="20">
        <v>9925</v>
      </c>
      <c r="K1046" s="20">
        <v>535560</v>
      </c>
      <c r="L1046" s="20">
        <v>4556</v>
      </c>
      <c r="M1046" s="20">
        <v>370</v>
      </c>
      <c r="W1046" s="20">
        <f t="shared" si="48"/>
        <v>554483</v>
      </c>
      <c r="X1046" s="36">
        <v>-74961</v>
      </c>
      <c r="Y1046" s="36">
        <v>-457665</v>
      </c>
      <c r="Z1046" s="36">
        <v>0</v>
      </c>
      <c r="AA1046" s="36">
        <v>-4542</v>
      </c>
      <c r="AB1046" s="36"/>
      <c r="AC1046" s="36"/>
      <c r="AD1046" s="36">
        <v>0</v>
      </c>
      <c r="AE1046" s="36"/>
      <c r="AF1046" s="36"/>
      <c r="AG1046" s="36"/>
      <c r="AH1046" s="36"/>
      <c r="AI1046" s="20">
        <f t="shared" si="49"/>
        <v>-537168</v>
      </c>
      <c r="AJ1046" s="20">
        <f t="shared" si="50"/>
        <v>17315</v>
      </c>
    </row>
    <row r="1047" spans="1:36" x14ac:dyDescent="0.2">
      <c r="A1047" s="17" t="s">
        <v>5641</v>
      </c>
      <c r="B1047" s="17">
        <v>43061</v>
      </c>
      <c r="C1047" s="20">
        <v>0</v>
      </c>
      <c r="D1047" s="20">
        <v>4072</v>
      </c>
      <c r="E1047" s="20">
        <v>4072</v>
      </c>
      <c r="F1047" s="20">
        <v>0</v>
      </c>
      <c r="I1047" s="20">
        <v>9960</v>
      </c>
      <c r="K1047" s="20">
        <v>536398</v>
      </c>
      <c r="L1047" s="20">
        <v>4514</v>
      </c>
      <c r="M1047" s="20">
        <v>370</v>
      </c>
      <c r="W1047" s="20">
        <f t="shared" si="48"/>
        <v>555314</v>
      </c>
      <c r="X1047" s="36">
        <v>-75165</v>
      </c>
      <c r="Y1047" s="36">
        <v>-456730</v>
      </c>
      <c r="Z1047" s="36">
        <v>0</v>
      </c>
      <c r="AA1047" s="36">
        <v>-4499</v>
      </c>
      <c r="AB1047" s="36"/>
      <c r="AC1047" s="36"/>
      <c r="AD1047" s="36">
        <v>0</v>
      </c>
      <c r="AE1047" s="36"/>
      <c r="AF1047" s="36"/>
      <c r="AG1047" s="36"/>
      <c r="AH1047" s="36"/>
      <c r="AI1047" s="20">
        <f t="shared" si="49"/>
        <v>-536394</v>
      </c>
      <c r="AJ1047" s="20">
        <f t="shared" si="50"/>
        <v>18920</v>
      </c>
    </row>
    <row r="1048" spans="1:36" x14ac:dyDescent="0.2">
      <c r="A1048" s="17" t="s">
        <v>5642</v>
      </c>
      <c r="B1048" s="17">
        <v>43068</v>
      </c>
      <c r="C1048" s="20">
        <v>0</v>
      </c>
      <c r="D1048" s="20">
        <v>4072</v>
      </c>
      <c r="E1048" s="20">
        <v>4072</v>
      </c>
      <c r="F1048" s="20">
        <v>0</v>
      </c>
      <c r="I1048" s="20">
        <v>9950</v>
      </c>
      <c r="K1048" s="20">
        <v>537583</v>
      </c>
      <c r="L1048" s="20">
        <v>4473</v>
      </c>
      <c r="M1048" s="20">
        <v>370</v>
      </c>
      <c r="W1048" s="20">
        <f t="shared" si="48"/>
        <v>556448</v>
      </c>
      <c r="X1048" s="36">
        <v>-75450</v>
      </c>
      <c r="Y1048" s="36">
        <v>-458666</v>
      </c>
      <c r="Z1048" s="36">
        <v>0</v>
      </c>
      <c r="AA1048" s="36">
        <v>-4456</v>
      </c>
      <c r="AB1048" s="36"/>
      <c r="AC1048" s="36"/>
      <c r="AD1048" s="36">
        <v>0</v>
      </c>
      <c r="AE1048" s="36"/>
      <c r="AF1048" s="36"/>
      <c r="AG1048" s="36"/>
      <c r="AH1048" s="36"/>
      <c r="AI1048" s="20">
        <f t="shared" si="49"/>
        <v>-538572</v>
      </c>
      <c r="AJ1048" s="20">
        <f t="shared" si="50"/>
        <v>17876</v>
      </c>
    </row>
    <row r="1049" spans="1:36" x14ac:dyDescent="0.2">
      <c r="A1049" s="17" t="s">
        <v>5643</v>
      </c>
      <c r="B1049" s="17">
        <v>43075</v>
      </c>
      <c r="C1049" s="20">
        <v>0</v>
      </c>
      <c r="D1049" s="20">
        <v>4072</v>
      </c>
      <c r="E1049" s="20">
        <v>4072</v>
      </c>
      <c r="F1049" s="20">
        <v>0</v>
      </c>
      <c r="I1049" s="20">
        <v>9956</v>
      </c>
      <c r="K1049" s="20">
        <v>538399</v>
      </c>
      <c r="L1049" s="20">
        <v>4480</v>
      </c>
      <c r="M1049" s="20">
        <v>370</v>
      </c>
      <c r="W1049" s="20">
        <f t="shared" si="48"/>
        <v>557277</v>
      </c>
      <c r="X1049" s="36">
        <v>-75686</v>
      </c>
      <c r="Y1049" s="36">
        <v>-458571</v>
      </c>
      <c r="Z1049" s="36">
        <v>0</v>
      </c>
      <c r="AA1049" s="36">
        <v>-4462</v>
      </c>
      <c r="AB1049" s="36"/>
      <c r="AC1049" s="36"/>
      <c r="AD1049" s="36">
        <v>0</v>
      </c>
      <c r="AE1049" s="36"/>
      <c r="AF1049" s="36"/>
      <c r="AG1049" s="36"/>
      <c r="AH1049" s="36"/>
      <c r="AI1049" s="20">
        <f t="shared" si="49"/>
        <v>-538719</v>
      </c>
      <c r="AJ1049" s="20">
        <f t="shared" si="50"/>
        <v>18558</v>
      </c>
    </row>
    <row r="1050" spans="1:36" x14ac:dyDescent="0.2">
      <c r="A1050" s="17" t="s">
        <v>5644</v>
      </c>
      <c r="B1050" s="17">
        <v>43082</v>
      </c>
      <c r="C1050" s="20">
        <v>0</v>
      </c>
      <c r="D1050" s="20">
        <v>4417</v>
      </c>
      <c r="E1050" s="20">
        <v>4417</v>
      </c>
      <c r="F1050" s="20">
        <v>0</v>
      </c>
      <c r="I1050" s="20">
        <v>9939</v>
      </c>
      <c r="K1050" s="20">
        <v>545251</v>
      </c>
      <c r="L1050" s="20">
        <v>4487</v>
      </c>
      <c r="M1050" s="20">
        <v>370</v>
      </c>
      <c r="W1050" s="20">
        <f t="shared" si="48"/>
        <v>564464</v>
      </c>
      <c r="X1050" s="36">
        <v>-75812</v>
      </c>
      <c r="Y1050" s="36">
        <v>-463511</v>
      </c>
      <c r="Z1050" s="36">
        <v>0</v>
      </c>
      <c r="AA1050" s="36">
        <v>-4468</v>
      </c>
      <c r="AB1050" s="36"/>
      <c r="AC1050" s="36"/>
      <c r="AD1050" s="36">
        <v>0</v>
      </c>
      <c r="AE1050" s="36"/>
      <c r="AF1050" s="36"/>
      <c r="AG1050" s="36"/>
      <c r="AH1050" s="36"/>
      <c r="AI1050" s="20">
        <f t="shared" si="49"/>
        <v>-543791</v>
      </c>
      <c r="AJ1050" s="20">
        <f t="shared" si="50"/>
        <v>20673</v>
      </c>
    </row>
    <row r="1051" spans="1:36" x14ac:dyDescent="0.2">
      <c r="A1051" s="17" t="s">
        <v>5645</v>
      </c>
      <c r="B1051" s="17">
        <v>43089</v>
      </c>
      <c r="C1051" s="20">
        <v>0</v>
      </c>
      <c r="D1051" s="20">
        <v>4417</v>
      </c>
      <c r="E1051" s="20">
        <v>4417</v>
      </c>
      <c r="F1051" s="20">
        <v>0</v>
      </c>
      <c r="I1051" s="20">
        <v>9920</v>
      </c>
      <c r="K1051" s="20">
        <v>547539</v>
      </c>
      <c r="L1051" s="20">
        <v>4471</v>
      </c>
      <c r="M1051" s="20">
        <v>370</v>
      </c>
      <c r="W1051" s="20">
        <f t="shared" si="48"/>
        <v>566717</v>
      </c>
      <c r="X1051" s="36">
        <v>-76581</v>
      </c>
      <c r="Y1051" s="36">
        <v>-463435</v>
      </c>
      <c r="Z1051" s="36">
        <v>0</v>
      </c>
      <c r="AA1051" s="36">
        <v>-4451</v>
      </c>
      <c r="AB1051" s="36"/>
      <c r="AC1051" s="36"/>
      <c r="AD1051" s="36">
        <v>0</v>
      </c>
      <c r="AE1051" s="36"/>
      <c r="AF1051" s="36"/>
      <c r="AG1051" s="36"/>
      <c r="AH1051" s="36"/>
      <c r="AI1051" s="20">
        <f t="shared" si="49"/>
        <v>-544467</v>
      </c>
      <c r="AJ1051" s="20">
        <f t="shared" si="50"/>
        <v>22250</v>
      </c>
    </row>
    <row r="1052" spans="1:36" x14ac:dyDescent="0.2">
      <c r="A1052" s="17" t="s">
        <v>5646</v>
      </c>
      <c r="B1052" s="17">
        <v>43096</v>
      </c>
      <c r="C1052" s="20">
        <v>0</v>
      </c>
      <c r="D1052" s="20">
        <v>4417</v>
      </c>
      <c r="E1052" s="20">
        <v>4417</v>
      </c>
      <c r="F1052" s="20">
        <v>0</v>
      </c>
      <c r="I1052" s="20">
        <v>9961</v>
      </c>
      <c r="K1052" s="20">
        <v>547819</v>
      </c>
      <c r="L1052" s="20">
        <v>4472</v>
      </c>
      <c r="M1052" s="20">
        <v>370</v>
      </c>
      <c r="W1052" s="20">
        <f t="shared" si="48"/>
        <v>567039</v>
      </c>
      <c r="X1052" s="36">
        <v>-77444</v>
      </c>
      <c r="Y1052" s="36">
        <v>-460366</v>
      </c>
      <c r="Z1052" s="36">
        <v>0</v>
      </c>
      <c r="AA1052" s="36">
        <v>-4450</v>
      </c>
      <c r="AB1052" s="36"/>
      <c r="AC1052" s="36"/>
      <c r="AD1052" s="36">
        <v>0</v>
      </c>
      <c r="AE1052" s="36"/>
      <c r="AF1052" s="36"/>
      <c r="AG1052" s="36"/>
      <c r="AH1052" s="36"/>
      <c r="AI1052" s="20">
        <f t="shared" si="49"/>
        <v>-542260</v>
      </c>
      <c r="AJ1052" s="20">
        <f t="shared" si="50"/>
        <v>24779</v>
      </c>
    </row>
    <row r="1053" spans="1:36" x14ac:dyDescent="0.2">
      <c r="A1053" s="17" t="s">
        <v>5647</v>
      </c>
      <c r="B1053" s="17">
        <v>43103</v>
      </c>
      <c r="C1053" s="20">
        <v>0</v>
      </c>
      <c r="D1053" s="20">
        <v>4417</v>
      </c>
      <c r="E1053" s="20">
        <v>4417</v>
      </c>
      <c r="F1053" s="20">
        <v>0</v>
      </c>
      <c r="I1053" s="20">
        <v>9944</v>
      </c>
      <c r="K1053" s="20">
        <v>547944</v>
      </c>
      <c r="L1053" s="20">
        <v>4438</v>
      </c>
      <c r="M1053" s="20">
        <v>370</v>
      </c>
      <c r="W1053" s="20">
        <f t="shared" si="48"/>
        <v>567113</v>
      </c>
      <c r="X1053" s="36">
        <v>-76225</v>
      </c>
      <c r="Y1053" s="36">
        <v>-465536</v>
      </c>
      <c r="Z1053" s="36">
        <v>0</v>
      </c>
      <c r="AA1053" s="36">
        <v>-4415</v>
      </c>
      <c r="AB1053" s="36"/>
      <c r="AC1053" s="36"/>
      <c r="AD1053" s="36">
        <v>0</v>
      </c>
      <c r="AE1053" s="36"/>
      <c r="AF1053" s="36"/>
      <c r="AG1053" s="36"/>
      <c r="AH1053" s="36"/>
      <c r="AI1053" s="20">
        <f t="shared" si="49"/>
        <v>-546176</v>
      </c>
      <c r="AJ1053" s="20">
        <f t="shared" si="50"/>
        <v>20937</v>
      </c>
    </row>
    <row r="1054" spans="1:36" x14ac:dyDescent="0.2">
      <c r="A1054" s="17" t="s">
        <v>5648</v>
      </c>
      <c r="B1054" s="17">
        <v>43110</v>
      </c>
      <c r="C1054" s="20">
        <v>0</v>
      </c>
      <c r="D1054" s="20">
        <v>4417</v>
      </c>
      <c r="E1054" s="20">
        <v>4417</v>
      </c>
      <c r="F1054" s="20">
        <v>0</v>
      </c>
      <c r="I1054" s="20">
        <v>9912</v>
      </c>
      <c r="K1054" s="20">
        <v>548066</v>
      </c>
      <c r="L1054" s="20">
        <v>4430</v>
      </c>
      <c r="M1054" s="20">
        <v>370</v>
      </c>
      <c r="W1054" s="20">
        <f t="shared" si="48"/>
        <v>567195</v>
      </c>
      <c r="X1054" s="36">
        <v>-74747</v>
      </c>
      <c r="Y1054" s="36">
        <v>-467473</v>
      </c>
      <c r="Z1054" s="36">
        <v>0</v>
      </c>
      <c r="AA1054" s="36">
        <v>-4407</v>
      </c>
      <c r="AB1054" s="36"/>
      <c r="AC1054" s="36"/>
      <c r="AD1054" s="36">
        <v>0</v>
      </c>
      <c r="AE1054" s="36"/>
      <c r="AF1054" s="36"/>
      <c r="AG1054" s="36"/>
      <c r="AH1054" s="36"/>
      <c r="AI1054" s="20">
        <f t="shared" si="49"/>
        <v>-546627</v>
      </c>
      <c r="AJ1054" s="20">
        <f t="shared" si="50"/>
        <v>20568</v>
      </c>
    </row>
    <row r="1055" spans="1:36" x14ac:dyDescent="0.2">
      <c r="A1055" s="17" t="s">
        <v>5649</v>
      </c>
      <c r="B1055" s="17">
        <v>43117</v>
      </c>
      <c r="C1055" s="20">
        <v>0</v>
      </c>
      <c r="D1055" s="20">
        <v>4660</v>
      </c>
      <c r="E1055" s="20">
        <v>4660</v>
      </c>
      <c r="F1055" s="20">
        <v>0</v>
      </c>
      <c r="I1055" s="20">
        <v>9939</v>
      </c>
      <c r="K1055" s="20">
        <v>548276</v>
      </c>
      <c r="L1055" s="20">
        <v>4333</v>
      </c>
      <c r="M1055" s="20">
        <v>370</v>
      </c>
      <c r="W1055" s="20">
        <f t="shared" si="48"/>
        <v>567578</v>
      </c>
      <c r="X1055" s="36">
        <v>-73972</v>
      </c>
      <c r="Y1055" s="36">
        <v>-469351</v>
      </c>
      <c r="Z1055" s="36">
        <v>0</v>
      </c>
      <c r="AA1055" s="36">
        <v>-4309</v>
      </c>
      <c r="AB1055" s="36"/>
      <c r="AC1055" s="36"/>
      <c r="AD1055" s="36">
        <v>0</v>
      </c>
      <c r="AE1055" s="36"/>
      <c r="AF1055" s="36"/>
      <c r="AG1055" s="36"/>
      <c r="AH1055" s="36"/>
      <c r="AI1055" s="20">
        <f t="shared" si="49"/>
        <v>-547632</v>
      </c>
      <c r="AJ1055" s="20">
        <f t="shared" si="50"/>
        <v>19946</v>
      </c>
    </row>
    <row r="1056" spans="1:36" x14ac:dyDescent="0.2">
      <c r="A1056" s="17" t="s">
        <v>5650</v>
      </c>
      <c r="B1056" s="17">
        <v>43124</v>
      </c>
      <c r="C1056" s="20">
        <v>0</v>
      </c>
      <c r="D1056" s="20">
        <v>4660</v>
      </c>
      <c r="E1056" s="20">
        <v>4660</v>
      </c>
      <c r="F1056" s="20">
        <v>0</v>
      </c>
      <c r="I1056" s="20">
        <v>9890</v>
      </c>
      <c r="K1056" s="20">
        <v>551009</v>
      </c>
      <c r="L1056" s="20">
        <v>4214</v>
      </c>
      <c r="M1056" s="20">
        <v>370</v>
      </c>
      <c r="W1056" s="20">
        <f t="shared" si="48"/>
        <v>570143</v>
      </c>
      <c r="X1056" s="36">
        <v>-73506</v>
      </c>
      <c r="Y1056" s="36">
        <v>-471629</v>
      </c>
      <c r="Z1056" s="36">
        <v>0</v>
      </c>
      <c r="AA1056" s="36">
        <v>-4190</v>
      </c>
      <c r="AB1056" s="36"/>
      <c r="AC1056" s="36"/>
      <c r="AD1056" s="36">
        <v>0</v>
      </c>
      <c r="AE1056" s="36"/>
      <c r="AF1056" s="36"/>
      <c r="AG1056" s="36"/>
      <c r="AH1056" s="36"/>
      <c r="AI1056" s="20">
        <f t="shared" si="49"/>
        <v>-549325</v>
      </c>
      <c r="AJ1056" s="20">
        <f t="shared" si="50"/>
        <v>20818</v>
      </c>
    </row>
    <row r="1057" spans="1:36" x14ac:dyDescent="0.2">
      <c r="A1057" s="17" t="s">
        <v>5651</v>
      </c>
      <c r="B1057" s="17">
        <v>43131</v>
      </c>
      <c r="C1057" s="20">
        <v>0</v>
      </c>
      <c r="D1057" s="20">
        <v>4660</v>
      </c>
      <c r="E1057" s="20">
        <v>4660</v>
      </c>
      <c r="F1057" s="20">
        <v>0</v>
      </c>
      <c r="I1057" s="20">
        <v>9863</v>
      </c>
      <c r="K1057" s="20">
        <v>551864</v>
      </c>
      <c r="L1057" s="20">
        <v>4214</v>
      </c>
      <c r="M1057" s="20">
        <v>370</v>
      </c>
      <c r="W1057" s="20">
        <f t="shared" si="48"/>
        <v>570971</v>
      </c>
      <c r="X1057" s="36">
        <v>-73329</v>
      </c>
      <c r="Y1057" s="36">
        <v>-472128</v>
      </c>
      <c r="Z1057" s="36">
        <v>0</v>
      </c>
      <c r="AA1057" s="36">
        <v>-4191</v>
      </c>
      <c r="AB1057" s="36"/>
      <c r="AC1057" s="36"/>
      <c r="AD1057" s="36">
        <v>0</v>
      </c>
      <c r="AE1057" s="36"/>
      <c r="AF1057" s="36"/>
      <c r="AG1057" s="36"/>
      <c r="AH1057" s="36"/>
      <c r="AI1057" s="20">
        <f t="shared" si="49"/>
        <v>-549648</v>
      </c>
      <c r="AJ1057" s="20">
        <f t="shared" si="50"/>
        <v>21323</v>
      </c>
    </row>
    <row r="1058" spans="1:36" x14ac:dyDescent="0.2">
      <c r="A1058" s="17" t="s">
        <v>5652</v>
      </c>
      <c r="B1058" s="17">
        <v>43138</v>
      </c>
      <c r="C1058" s="20">
        <v>0</v>
      </c>
      <c r="D1058" s="20">
        <v>4660</v>
      </c>
      <c r="E1058" s="20">
        <v>4660</v>
      </c>
      <c r="F1058" s="20">
        <v>0</v>
      </c>
      <c r="I1058" s="20">
        <v>9878</v>
      </c>
      <c r="K1058" s="20">
        <v>552966</v>
      </c>
      <c r="L1058" s="20">
        <v>4316</v>
      </c>
      <c r="M1058" s="20">
        <v>370</v>
      </c>
      <c r="W1058" s="20">
        <f t="shared" si="48"/>
        <v>572190</v>
      </c>
      <c r="X1058" s="36">
        <v>-73211</v>
      </c>
      <c r="Y1058" s="36">
        <v>-473964</v>
      </c>
      <c r="Z1058" s="36">
        <v>0</v>
      </c>
      <c r="AA1058" s="36">
        <v>-4291</v>
      </c>
      <c r="AB1058" s="36"/>
      <c r="AC1058" s="36"/>
      <c r="AD1058" s="36">
        <v>0</v>
      </c>
      <c r="AE1058" s="36"/>
      <c r="AF1058" s="36"/>
      <c r="AG1058" s="36"/>
      <c r="AH1058" s="36"/>
      <c r="AI1058" s="20">
        <f t="shared" si="49"/>
        <v>-551466</v>
      </c>
      <c r="AJ1058" s="20">
        <f t="shared" si="50"/>
        <v>20724</v>
      </c>
    </row>
    <row r="1059" spans="1:36" x14ac:dyDescent="0.2">
      <c r="A1059" s="17" t="s">
        <v>5653</v>
      </c>
      <c r="B1059" s="17">
        <v>43145</v>
      </c>
      <c r="C1059" s="20">
        <v>0</v>
      </c>
      <c r="D1059" s="20">
        <v>4115</v>
      </c>
      <c r="E1059" s="20">
        <v>4115</v>
      </c>
      <c r="F1059" s="20">
        <v>0</v>
      </c>
      <c r="I1059" s="20">
        <v>9840</v>
      </c>
      <c r="K1059" s="20">
        <v>557402</v>
      </c>
      <c r="L1059" s="20">
        <v>4288</v>
      </c>
      <c r="M1059" s="20">
        <v>370</v>
      </c>
      <c r="W1059" s="20">
        <f t="shared" si="48"/>
        <v>576015</v>
      </c>
      <c r="X1059" s="36">
        <v>-73189</v>
      </c>
      <c r="Y1059" s="36">
        <v>-478462</v>
      </c>
      <c r="Z1059" s="36">
        <v>0</v>
      </c>
      <c r="AA1059" s="36">
        <v>-4266</v>
      </c>
      <c r="AB1059" s="36"/>
      <c r="AC1059" s="36"/>
      <c r="AD1059" s="36">
        <v>0</v>
      </c>
      <c r="AE1059" s="36"/>
      <c r="AF1059" s="36"/>
      <c r="AG1059" s="36"/>
      <c r="AH1059" s="36"/>
      <c r="AI1059" s="20">
        <f t="shared" si="49"/>
        <v>-555917</v>
      </c>
      <c r="AJ1059" s="20">
        <f t="shared" si="50"/>
        <v>20098</v>
      </c>
    </row>
    <row r="1060" spans="1:36" x14ac:dyDescent="0.2">
      <c r="A1060" s="17" t="s">
        <v>5654</v>
      </c>
      <c r="B1060" s="17">
        <v>43152</v>
      </c>
      <c r="C1060" s="20">
        <v>0</v>
      </c>
      <c r="D1060" s="20">
        <v>4115</v>
      </c>
      <c r="E1060" s="20">
        <v>4115</v>
      </c>
      <c r="F1060" s="20">
        <v>0</v>
      </c>
      <c r="I1060" s="20">
        <v>9876</v>
      </c>
      <c r="K1060" s="20">
        <v>560417</v>
      </c>
      <c r="L1060" s="20">
        <v>4287</v>
      </c>
      <c r="M1060" s="20">
        <v>370</v>
      </c>
      <c r="W1060" s="20">
        <f t="shared" si="48"/>
        <v>579065</v>
      </c>
      <c r="X1060" s="36">
        <v>-73117</v>
      </c>
      <c r="Y1060" s="36">
        <v>-480877</v>
      </c>
      <c r="Z1060" s="36">
        <v>0</v>
      </c>
      <c r="AA1060" s="36">
        <v>-4263</v>
      </c>
      <c r="AB1060" s="36"/>
      <c r="AC1060" s="36"/>
      <c r="AD1060" s="36">
        <v>0</v>
      </c>
      <c r="AE1060" s="36"/>
      <c r="AF1060" s="36"/>
      <c r="AG1060" s="36"/>
      <c r="AH1060" s="36"/>
      <c r="AI1060" s="20">
        <f t="shared" si="49"/>
        <v>-558257</v>
      </c>
      <c r="AJ1060" s="20">
        <f t="shared" si="50"/>
        <v>20808</v>
      </c>
    </row>
    <row r="1061" spans="1:36" x14ac:dyDescent="0.2">
      <c r="A1061" s="17" t="s">
        <v>5655</v>
      </c>
      <c r="B1061" s="17">
        <v>43159</v>
      </c>
      <c r="C1061" s="20">
        <v>0</v>
      </c>
      <c r="D1061" s="20">
        <v>4115</v>
      </c>
      <c r="E1061" s="20">
        <v>4115</v>
      </c>
      <c r="F1061" s="20">
        <v>0</v>
      </c>
      <c r="I1061" s="20">
        <v>9841</v>
      </c>
      <c r="K1061" s="20">
        <v>572012</v>
      </c>
      <c r="L1061" s="20">
        <v>5316</v>
      </c>
      <c r="M1061" s="20">
        <v>370</v>
      </c>
      <c r="W1061" s="20">
        <f t="shared" si="48"/>
        <v>591654</v>
      </c>
      <c r="X1061" s="36">
        <v>-73250</v>
      </c>
      <c r="Y1061" s="36">
        <v>-492226</v>
      </c>
      <c r="Z1061" s="36">
        <v>0</v>
      </c>
      <c r="AA1061" s="36">
        <v>-5765</v>
      </c>
      <c r="AB1061" s="36"/>
      <c r="AC1061" s="36"/>
      <c r="AD1061" s="36">
        <v>0</v>
      </c>
      <c r="AE1061" s="36"/>
      <c r="AF1061" s="36"/>
      <c r="AG1061" s="36"/>
      <c r="AH1061" s="36"/>
      <c r="AI1061" s="20">
        <f t="shared" si="49"/>
        <v>-571241</v>
      </c>
      <c r="AJ1061" s="20">
        <f t="shared" si="50"/>
        <v>20413</v>
      </c>
    </row>
    <row r="1062" spans="1:36" x14ac:dyDescent="0.2">
      <c r="A1062" s="17" t="s">
        <v>5656</v>
      </c>
      <c r="B1062" s="17">
        <v>43166</v>
      </c>
      <c r="C1062" s="20">
        <v>0</v>
      </c>
      <c r="D1062" s="20">
        <v>4115</v>
      </c>
      <c r="E1062" s="20">
        <v>4115</v>
      </c>
      <c r="F1062" s="20">
        <v>0</v>
      </c>
      <c r="I1062" s="20">
        <v>9352</v>
      </c>
      <c r="K1062" s="20">
        <v>572012</v>
      </c>
      <c r="L1062" s="20">
        <v>5732</v>
      </c>
      <c r="M1062" s="20">
        <v>370</v>
      </c>
      <c r="W1062" s="20">
        <f t="shared" si="48"/>
        <v>591581</v>
      </c>
      <c r="X1062" s="36">
        <v>-73354</v>
      </c>
      <c r="Y1062" s="36">
        <v>-473603</v>
      </c>
      <c r="Z1062" s="36">
        <v>0</v>
      </c>
      <c r="AA1062" s="36">
        <v>-5720</v>
      </c>
      <c r="AB1062" s="36"/>
      <c r="AC1062" s="36"/>
      <c r="AD1062" s="36">
        <v>0</v>
      </c>
      <c r="AE1062" s="36"/>
      <c r="AF1062" s="36"/>
      <c r="AG1062" s="36"/>
      <c r="AH1062" s="36"/>
      <c r="AI1062" s="20">
        <f t="shared" si="49"/>
        <v>-552677</v>
      </c>
      <c r="AJ1062" s="20">
        <f t="shared" si="50"/>
        <v>38904</v>
      </c>
    </row>
    <row r="1063" spans="1:36" x14ac:dyDescent="0.2">
      <c r="A1063" s="17" t="s">
        <v>5657</v>
      </c>
      <c r="B1063" s="17">
        <v>43173</v>
      </c>
      <c r="C1063" s="20">
        <v>0</v>
      </c>
      <c r="D1063" s="20">
        <v>4077</v>
      </c>
      <c r="E1063" s="20">
        <v>4077</v>
      </c>
      <c r="F1063" s="20">
        <v>0</v>
      </c>
      <c r="I1063" s="20">
        <v>9356</v>
      </c>
      <c r="K1063" s="20">
        <v>572012</v>
      </c>
      <c r="L1063" s="20">
        <v>5707</v>
      </c>
      <c r="M1063" s="20">
        <v>370</v>
      </c>
      <c r="W1063" s="20">
        <f t="shared" si="48"/>
        <v>591522</v>
      </c>
      <c r="X1063" s="36">
        <v>-73288</v>
      </c>
      <c r="Y1063" s="36">
        <v>-474943</v>
      </c>
      <c r="Z1063" s="36">
        <v>0</v>
      </c>
      <c r="AA1063" s="36">
        <v>-5702</v>
      </c>
      <c r="AB1063" s="36"/>
      <c r="AC1063" s="36"/>
      <c r="AD1063" s="36">
        <v>0</v>
      </c>
      <c r="AE1063" s="36"/>
      <c r="AF1063" s="36"/>
      <c r="AG1063" s="36"/>
      <c r="AH1063" s="36"/>
      <c r="AI1063" s="20">
        <f t="shared" si="49"/>
        <v>-553933</v>
      </c>
      <c r="AJ1063" s="20">
        <f t="shared" si="50"/>
        <v>37589</v>
      </c>
    </row>
    <row r="1064" spans="1:36" x14ac:dyDescent="0.2">
      <c r="A1064" s="17" t="s">
        <v>5658</v>
      </c>
      <c r="B1064" s="17">
        <v>43180</v>
      </c>
      <c r="C1064" s="20">
        <v>0</v>
      </c>
      <c r="D1064" s="20">
        <v>4077</v>
      </c>
      <c r="E1064" s="20">
        <v>4077</v>
      </c>
      <c r="F1064" s="20">
        <v>0</v>
      </c>
      <c r="I1064" s="20">
        <v>9359</v>
      </c>
      <c r="K1064" s="20">
        <v>572012</v>
      </c>
      <c r="L1064" s="20">
        <v>4223</v>
      </c>
      <c r="M1064" s="20">
        <v>370</v>
      </c>
      <c r="W1064" s="20">
        <f t="shared" si="48"/>
        <v>590041</v>
      </c>
      <c r="X1064" s="36">
        <v>-73374</v>
      </c>
      <c r="Y1064" s="36">
        <v>-478595</v>
      </c>
      <c r="Z1064" s="36">
        <v>0</v>
      </c>
      <c r="AA1064" s="36">
        <v>-4222</v>
      </c>
      <c r="AB1064" s="36"/>
      <c r="AC1064" s="36"/>
      <c r="AD1064" s="36">
        <v>0</v>
      </c>
      <c r="AE1064" s="36"/>
      <c r="AF1064" s="36"/>
      <c r="AG1064" s="36"/>
      <c r="AH1064" s="36"/>
      <c r="AI1064" s="20">
        <f t="shared" si="49"/>
        <v>-556191</v>
      </c>
      <c r="AJ1064" s="20">
        <f t="shared" si="50"/>
        <v>33850</v>
      </c>
    </row>
    <row r="1065" spans="1:36" x14ac:dyDescent="0.2">
      <c r="A1065" s="17" t="s">
        <v>5659</v>
      </c>
      <c r="B1065" s="17">
        <v>43187</v>
      </c>
      <c r="C1065" s="20">
        <v>0</v>
      </c>
      <c r="D1065" s="20">
        <v>4077</v>
      </c>
      <c r="E1065" s="20">
        <v>4077</v>
      </c>
      <c r="F1065" s="20">
        <v>0</v>
      </c>
      <c r="I1065" s="20">
        <v>9362</v>
      </c>
      <c r="K1065" s="20">
        <v>572012</v>
      </c>
      <c r="L1065" s="20">
        <v>4223</v>
      </c>
      <c r="M1065" s="20">
        <v>370</v>
      </c>
      <c r="W1065" s="20">
        <f t="shared" si="48"/>
        <v>590044</v>
      </c>
      <c r="X1065" s="36">
        <v>-73858</v>
      </c>
      <c r="Y1065" s="36">
        <v>-481950</v>
      </c>
      <c r="Z1065" s="36">
        <v>0</v>
      </c>
      <c r="AA1065" s="36">
        <v>-4220</v>
      </c>
      <c r="AB1065" s="36"/>
      <c r="AC1065" s="36"/>
      <c r="AD1065" s="36">
        <v>0</v>
      </c>
      <c r="AE1065" s="36"/>
      <c r="AF1065" s="36"/>
      <c r="AG1065" s="36"/>
      <c r="AH1065" s="36"/>
      <c r="AI1065" s="20">
        <f t="shared" si="49"/>
        <v>-560028</v>
      </c>
      <c r="AJ1065" s="20">
        <f t="shared" si="50"/>
        <v>30016</v>
      </c>
    </row>
    <row r="1066" spans="1:36" x14ac:dyDescent="0.2">
      <c r="A1066" s="17" t="s">
        <v>5660</v>
      </c>
      <c r="B1066" s="17">
        <v>43194</v>
      </c>
      <c r="C1066" s="20">
        <v>0</v>
      </c>
      <c r="D1066" s="20">
        <v>4077</v>
      </c>
      <c r="E1066" s="20">
        <v>4077</v>
      </c>
      <c r="F1066" s="20">
        <v>0</v>
      </c>
      <c r="I1066" s="20">
        <v>9365</v>
      </c>
      <c r="K1066" s="20">
        <v>572012</v>
      </c>
      <c r="L1066" s="20">
        <v>4227</v>
      </c>
      <c r="M1066" s="20">
        <v>370</v>
      </c>
      <c r="W1066" s="20">
        <f t="shared" si="48"/>
        <v>590051</v>
      </c>
      <c r="X1066" s="36">
        <v>-74523</v>
      </c>
      <c r="Y1066" s="36">
        <v>-483981</v>
      </c>
      <c r="Z1066" s="36">
        <v>0</v>
      </c>
      <c r="AA1066" s="36">
        <v>-4223</v>
      </c>
      <c r="AB1066" s="36"/>
      <c r="AC1066" s="36"/>
      <c r="AD1066" s="36">
        <v>0</v>
      </c>
      <c r="AE1066" s="36"/>
      <c r="AF1066" s="36"/>
      <c r="AG1066" s="36"/>
      <c r="AH1066" s="36"/>
      <c r="AI1066" s="20">
        <f t="shared" si="49"/>
        <v>-562727</v>
      </c>
      <c r="AJ1066" s="20">
        <f t="shared" si="50"/>
        <v>27324</v>
      </c>
    </row>
    <row r="1067" spans="1:36" x14ac:dyDescent="0.2">
      <c r="A1067" s="17" t="s">
        <v>5661</v>
      </c>
      <c r="B1067" s="17">
        <v>43201</v>
      </c>
      <c r="C1067" s="20">
        <v>0</v>
      </c>
      <c r="D1067" s="20">
        <v>4287</v>
      </c>
      <c r="E1067" s="20">
        <v>4287</v>
      </c>
      <c r="F1067" s="20">
        <v>0</v>
      </c>
      <c r="I1067" s="20">
        <v>9373</v>
      </c>
      <c r="K1067" s="20">
        <v>572012</v>
      </c>
      <c r="L1067" s="20">
        <v>4193</v>
      </c>
      <c r="M1067" s="20">
        <v>370</v>
      </c>
      <c r="W1067" s="20">
        <f t="shared" si="48"/>
        <v>590235</v>
      </c>
      <c r="X1067" s="36">
        <v>-73740</v>
      </c>
      <c r="Y1067" s="36">
        <v>-491192</v>
      </c>
      <c r="Z1067" s="36">
        <v>0</v>
      </c>
      <c r="AA1067" s="36">
        <v>-4186</v>
      </c>
      <c r="AB1067" s="36"/>
      <c r="AC1067" s="36"/>
      <c r="AD1067" s="36">
        <v>0</v>
      </c>
      <c r="AE1067" s="36"/>
      <c r="AF1067" s="36"/>
      <c r="AG1067" s="36"/>
      <c r="AH1067" s="36"/>
      <c r="AI1067" s="20">
        <f t="shared" si="49"/>
        <v>-569118</v>
      </c>
      <c r="AJ1067" s="20">
        <f t="shared" si="50"/>
        <v>21117</v>
      </c>
    </row>
    <row r="1068" spans="1:36" x14ac:dyDescent="0.2">
      <c r="A1068" s="17" t="s">
        <v>5662</v>
      </c>
      <c r="B1068" s="17">
        <v>43208</v>
      </c>
      <c r="C1068" s="20">
        <v>0</v>
      </c>
      <c r="D1068" s="20">
        <v>4287</v>
      </c>
      <c r="E1068" s="20">
        <v>4287</v>
      </c>
      <c r="F1068" s="20">
        <v>0</v>
      </c>
      <c r="I1068" s="20">
        <v>9376</v>
      </c>
      <c r="K1068" s="20">
        <v>572007</v>
      </c>
      <c r="L1068" s="20">
        <v>4186</v>
      </c>
      <c r="M1068" s="20">
        <v>370</v>
      </c>
      <c r="W1068" s="20">
        <f t="shared" si="48"/>
        <v>590226</v>
      </c>
      <c r="X1068" s="36">
        <v>-73199</v>
      </c>
      <c r="Y1068" s="36">
        <v>-496425</v>
      </c>
      <c r="Z1068" s="36">
        <v>0</v>
      </c>
      <c r="AA1068" s="36">
        <v>-4175</v>
      </c>
      <c r="AB1068" s="36"/>
      <c r="AC1068" s="36"/>
      <c r="AD1068" s="36">
        <v>0</v>
      </c>
      <c r="AE1068" s="36"/>
      <c r="AF1068" s="36"/>
      <c r="AG1068" s="36"/>
      <c r="AH1068" s="36"/>
      <c r="AI1068" s="20">
        <f t="shared" si="49"/>
        <v>-573799</v>
      </c>
      <c r="AJ1068" s="20">
        <f t="shared" si="50"/>
        <v>16427</v>
      </c>
    </row>
    <row r="1069" spans="1:36" x14ac:dyDescent="0.2">
      <c r="A1069" s="17" t="s">
        <v>5663</v>
      </c>
      <c r="B1069" s="17">
        <v>43215</v>
      </c>
      <c r="C1069" s="20">
        <v>0</v>
      </c>
      <c r="D1069" s="20">
        <v>4287</v>
      </c>
      <c r="E1069" s="20">
        <v>4287</v>
      </c>
      <c r="F1069" s="20">
        <v>0</v>
      </c>
      <c r="I1069" s="20">
        <v>9380</v>
      </c>
      <c r="K1069" s="20">
        <v>572007</v>
      </c>
      <c r="L1069" s="20">
        <v>4269</v>
      </c>
      <c r="M1069" s="20">
        <v>370</v>
      </c>
      <c r="W1069" s="20">
        <f t="shared" si="48"/>
        <v>590313</v>
      </c>
      <c r="X1069" s="36">
        <v>-73334</v>
      </c>
      <c r="Y1069" s="36">
        <v>-496302</v>
      </c>
      <c r="Z1069" s="36">
        <v>0</v>
      </c>
      <c r="AA1069" s="36">
        <v>-4255</v>
      </c>
      <c r="AB1069" s="36"/>
      <c r="AC1069" s="36"/>
      <c r="AD1069" s="36">
        <v>0</v>
      </c>
      <c r="AE1069" s="36"/>
      <c r="AF1069" s="36"/>
      <c r="AG1069" s="36"/>
      <c r="AH1069" s="36"/>
      <c r="AI1069" s="20">
        <f t="shared" si="49"/>
        <v>-573891</v>
      </c>
      <c r="AJ1069" s="20">
        <f t="shared" si="50"/>
        <v>16422</v>
      </c>
    </row>
    <row r="1070" spans="1:36" x14ac:dyDescent="0.2">
      <c r="A1070" s="17" t="s">
        <v>5664</v>
      </c>
      <c r="B1070" s="17">
        <v>43222</v>
      </c>
      <c r="C1070" s="20">
        <v>0</v>
      </c>
      <c r="D1070" s="20">
        <v>4287</v>
      </c>
      <c r="E1070" s="20">
        <v>4287</v>
      </c>
      <c r="F1070" s="20">
        <v>0</v>
      </c>
      <c r="I1070" s="20">
        <v>9383</v>
      </c>
      <c r="K1070" s="20">
        <v>571607</v>
      </c>
      <c r="L1070" s="20">
        <v>4375</v>
      </c>
      <c r="M1070" s="20">
        <v>370</v>
      </c>
      <c r="W1070" s="20">
        <f t="shared" si="48"/>
        <v>590022</v>
      </c>
      <c r="X1070" s="36">
        <v>-73611</v>
      </c>
      <c r="Y1070" s="36">
        <v>-495298</v>
      </c>
      <c r="Z1070" s="36">
        <v>0</v>
      </c>
      <c r="AA1070" s="36">
        <v>-4359</v>
      </c>
      <c r="AB1070" s="36"/>
      <c r="AC1070" s="36"/>
      <c r="AD1070" s="36">
        <v>0</v>
      </c>
      <c r="AE1070" s="36"/>
      <c r="AF1070" s="36"/>
      <c r="AG1070" s="36"/>
      <c r="AH1070" s="36"/>
      <c r="AI1070" s="20">
        <f t="shared" si="49"/>
        <v>-573268</v>
      </c>
      <c r="AJ1070" s="20">
        <f t="shared" si="50"/>
        <v>16754</v>
      </c>
    </row>
    <row r="1071" spans="1:36" x14ac:dyDescent="0.2">
      <c r="A1071" s="17" t="s">
        <v>5665</v>
      </c>
      <c r="B1071" s="17">
        <v>43229</v>
      </c>
      <c r="C1071" s="20">
        <v>0</v>
      </c>
      <c r="D1071" s="20">
        <v>4287</v>
      </c>
      <c r="E1071" s="20">
        <v>4287</v>
      </c>
      <c r="F1071" s="20">
        <v>0</v>
      </c>
      <c r="I1071" s="20">
        <v>9391</v>
      </c>
      <c r="K1071" s="20">
        <v>571607</v>
      </c>
      <c r="L1071" s="20">
        <v>4392</v>
      </c>
      <c r="M1071" s="20">
        <v>370</v>
      </c>
      <c r="W1071" s="20">
        <f t="shared" si="48"/>
        <v>590047</v>
      </c>
      <c r="X1071" s="36">
        <v>-73934</v>
      </c>
      <c r="Y1071" s="36">
        <v>-495869</v>
      </c>
      <c r="Z1071" s="36">
        <v>0</v>
      </c>
      <c r="AA1071" s="36">
        <v>-4373</v>
      </c>
      <c r="AB1071" s="36"/>
      <c r="AC1071" s="36"/>
      <c r="AD1071" s="36">
        <v>0</v>
      </c>
      <c r="AE1071" s="36"/>
      <c r="AF1071" s="36"/>
      <c r="AG1071" s="36"/>
      <c r="AH1071" s="36"/>
      <c r="AI1071" s="20">
        <f t="shared" si="49"/>
        <v>-574176</v>
      </c>
      <c r="AJ1071" s="20">
        <f t="shared" si="50"/>
        <v>15871</v>
      </c>
    </row>
    <row r="1072" spans="1:36" x14ac:dyDescent="0.2">
      <c r="A1072" s="17" t="s">
        <v>5666</v>
      </c>
      <c r="B1072" s="17">
        <v>43236</v>
      </c>
      <c r="C1072" s="20">
        <v>0</v>
      </c>
      <c r="D1072" s="20">
        <v>5062</v>
      </c>
      <c r="E1072" s="20">
        <v>5062</v>
      </c>
      <c r="F1072" s="20">
        <v>0</v>
      </c>
      <c r="I1072" s="20">
        <v>9394</v>
      </c>
      <c r="K1072" s="20">
        <v>571607</v>
      </c>
      <c r="L1072" s="20">
        <v>4416</v>
      </c>
      <c r="M1072" s="20">
        <v>370</v>
      </c>
      <c r="W1072" s="20">
        <f t="shared" si="48"/>
        <v>590849</v>
      </c>
      <c r="X1072" s="36">
        <v>-73798</v>
      </c>
      <c r="Y1072" s="36">
        <v>-494283</v>
      </c>
      <c r="Z1072" s="36">
        <v>0</v>
      </c>
      <c r="AA1072" s="36">
        <v>-4394</v>
      </c>
      <c r="AB1072" s="36"/>
      <c r="AC1072" s="36"/>
      <c r="AD1072" s="36">
        <v>0</v>
      </c>
      <c r="AE1072" s="36"/>
      <c r="AF1072" s="36"/>
      <c r="AG1072" s="36"/>
      <c r="AH1072" s="36"/>
      <c r="AI1072" s="20">
        <f t="shared" si="49"/>
        <v>-572475</v>
      </c>
      <c r="AJ1072" s="20">
        <f t="shared" si="50"/>
        <v>18374</v>
      </c>
    </row>
    <row r="1073" spans="1:36" x14ac:dyDescent="0.2">
      <c r="A1073" s="17" t="s">
        <v>5667</v>
      </c>
      <c r="B1073" s="17">
        <v>43243</v>
      </c>
      <c r="C1073" s="20">
        <v>0</v>
      </c>
      <c r="D1073" s="20">
        <v>5062</v>
      </c>
      <c r="E1073" s="20">
        <v>5062</v>
      </c>
      <c r="F1073" s="20">
        <v>0</v>
      </c>
      <c r="I1073" s="20">
        <v>9397</v>
      </c>
      <c r="K1073" s="20">
        <v>571607</v>
      </c>
      <c r="L1073" s="20">
        <v>4466</v>
      </c>
      <c r="M1073" s="20">
        <v>370</v>
      </c>
      <c r="W1073" s="20">
        <f t="shared" si="48"/>
        <v>590902</v>
      </c>
      <c r="X1073" s="36">
        <v>-74049</v>
      </c>
      <c r="Y1073" s="36">
        <v>-488391</v>
      </c>
      <c r="Z1073" s="36">
        <v>0</v>
      </c>
      <c r="AA1073" s="36">
        <v>-4444</v>
      </c>
      <c r="AB1073" s="36"/>
      <c r="AC1073" s="36"/>
      <c r="AD1073" s="36">
        <v>0</v>
      </c>
      <c r="AE1073" s="36"/>
      <c r="AF1073" s="36"/>
      <c r="AG1073" s="36"/>
      <c r="AH1073" s="36"/>
      <c r="AI1073" s="20">
        <f t="shared" si="49"/>
        <v>-566884</v>
      </c>
      <c r="AJ1073" s="20">
        <f t="shared" si="50"/>
        <v>24018</v>
      </c>
    </row>
    <row r="1074" spans="1:36" x14ac:dyDescent="0.2">
      <c r="A1074" s="17" t="s">
        <v>5668</v>
      </c>
      <c r="B1074" s="17">
        <v>43250</v>
      </c>
      <c r="C1074" s="20">
        <v>0</v>
      </c>
      <c r="D1074" s="20">
        <v>5062</v>
      </c>
      <c r="E1074" s="20">
        <v>5062</v>
      </c>
      <c r="F1074" s="20">
        <v>0</v>
      </c>
      <c r="I1074" s="20">
        <v>9400</v>
      </c>
      <c r="K1074" s="20">
        <v>571607</v>
      </c>
      <c r="L1074" s="20">
        <v>4500</v>
      </c>
      <c r="M1074" s="20">
        <v>370</v>
      </c>
      <c r="W1074" s="20">
        <f t="shared" si="48"/>
        <v>590939</v>
      </c>
      <c r="X1074" s="36">
        <v>-74492</v>
      </c>
      <c r="Y1074" s="36">
        <v>-493354</v>
      </c>
      <c r="Z1074" s="36">
        <v>0</v>
      </c>
      <c r="AA1074" s="36">
        <v>-4478</v>
      </c>
      <c r="AB1074" s="36"/>
      <c r="AC1074" s="36"/>
      <c r="AD1074" s="36">
        <v>0</v>
      </c>
      <c r="AE1074" s="36"/>
      <c r="AF1074" s="36"/>
      <c r="AG1074" s="36"/>
      <c r="AH1074" s="36"/>
      <c r="AI1074" s="20">
        <f t="shared" si="49"/>
        <v>-572324</v>
      </c>
      <c r="AJ1074" s="20">
        <f t="shared" si="50"/>
        <v>18615</v>
      </c>
    </row>
    <row r="1075" spans="1:36" x14ac:dyDescent="0.2">
      <c r="A1075" s="17" t="s">
        <v>5669</v>
      </c>
      <c r="B1075" s="17">
        <v>43257</v>
      </c>
      <c r="C1075" s="20">
        <v>0</v>
      </c>
      <c r="D1075" s="20">
        <v>5062</v>
      </c>
      <c r="E1075" s="20">
        <v>5062</v>
      </c>
      <c r="F1075" s="20">
        <v>0</v>
      </c>
      <c r="I1075" s="20">
        <v>9527</v>
      </c>
      <c r="K1075" s="20">
        <v>571607</v>
      </c>
      <c r="L1075" s="20">
        <v>4443</v>
      </c>
      <c r="M1075" s="20">
        <v>370</v>
      </c>
      <c r="W1075" s="20">
        <f t="shared" si="48"/>
        <v>591009</v>
      </c>
      <c r="X1075" s="36">
        <v>-74141</v>
      </c>
      <c r="Y1075" s="36">
        <v>-491577</v>
      </c>
      <c r="Z1075" s="36">
        <v>0</v>
      </c>
      <c r="AA1075" s="36">
        <v>-4419</v>
      </c>
      <c r="AB1075" s="36"/>
      <c r="AC1075" s="36"/>
      <c r="AD1075" s="36">
        <v>0</v>
      </c>
      <c r="AE1075" s="36"/>
      <c r="AF1075" s="36"/>
      <c r="AG1075" s="36"/>
      <c r="AH1075" s="36"/>
      <c r="AI1075" s="20">
        <f t="shared" si="49"/>
        <v>-570137</v>
      </c>
      <c r="AJ1075" s="20">
        <f t="shared" si="50"/>
        <v>20872</v>
      </c>
    </row>
    <row r="1076" spans="1:36" x14ac:dyDescent="0.2">
      <c r="A1076" s="17" t="s">
        <v>5670</v>
      </c>
      <c r="B1076" s="17">
        <v>43264</v>
      </c>
      <c r="C1076" s="20">
        <v>0</v>
      </c>
      <c r="D1076" s="20">
        <v>4177</v>
      </c>
      <c r="E1076" s="20">
        <v>4177</v>
      </c>
      <c r="F1076" s="20">
        <v>0</v>
      </c>
      <c r="I1076" s="20">
        <v>9657</v>
      </c>
      <c r="K1076" s="20">
        <v>571607</v>
      </c>
      <c r="L1076" s="20">
        <v>4465</v>
      </c>
      <c r="M1076" s="20">
        <v>370</v>
      </c>
      <c r="W1076" s="20">
        <f t="shared" ref="W1076:W1139" si="51">SUM(C1076:D1076,G1076:M1076)</f>
        <v>590276</v>
      </c>
      <c r="X1076" s="36">
        <v>-74140</v>
      </c>
      <c r="Y1076" s="36">
        <v>-487703</v>
      </c>
      <c r="Z1076" s="36">
        <v>0</v>
      </c>
      <c r="AA1076" s="36">
        <v>-4439</v>
      </c>
      <c r="AB1076" s="36"/>
      <c r="AC1076" s="36"/>
      <c r="AD1076" s="36">
        <v>0</v>
      </c>
      <c r="AE1076" s="36"/>
      <c r="AF1076" s="36"/>
      <c r="AG1076" s="36"/>
      <c r="AH1076" s="36"/>
      <c r="AI1076" s="20">
        <f t="shared" si="49"/>
        <v>-566282</v>
      </c>
      <c r="AJ1076" s="20">
        <f t="shared" si="50"/>
        <v>23994</v>
      </c>
    </row>
    <row r="1077" spans="1:36" x14ac:dyDescent="0.2">
      <c r="A1077" s="17" t="s">
        <v>5671</v>
      </c>
      <c r="B1077" s="17">
        <v>43271</v>
      </c>
      <c r="C1077" s="20">
        <v>0</v>
      </c>
      <c r="D1077" s="20">
        <v>4177</v>
      </c>
      <c r="E1077" s="20">
        <v>4177</v>
      </c>
      <c r="F1077" s="20">
        <v>0</v>
      </c>
      <c r="I1077" s="20">
        <v>9724</v>
      </c>
      <c r="K1077" s="20">
        <v>571607</v>
      </c>
      <c r="L1077" s="20">
        <v>4534</v>
      </c>
      <c r="M1077" s="20">
        <v>370</v>
      </c>
      <c r="W1077" s="20">
        <f t="shared" si="51"/>
        <v>590412</v>
      </c>
      <c r="X1077" s="36">
        <v>-74349</v>
      </c>
      <c r="Y1077" s="36">
        <v>-488221</v>
      </c>
      <c r="Z1077" s="36">
        <v>0</v>
      </c>
      <c r="AA1077" s="36">
        <v>-4504</v>
      </c>
      <c r="AB1077" s="36"/>
      <c r="AC1077" s="36"/>
      <c r="AD1077" s="36">
        <v>0</v>
      </c>
      <c r="AE1077" s="36"/>
      <c r="AF1077" s="36"/>
      <c r="AG1077" s="36"/>
      <c r="AH1077" s="36"/>
      <c r="AI1077" s="20">
        <f t="shared" si="49"/>
        <v>-567074</v>
      </c>
      <c r="AJ1077" s="20">
        <f t="shared" si="50"/>
        <v>23338</v>
      </c>
    </row>
    <row r="1078" spans="1:36" x14ac:dyDescent="0.2">
      <c r="A1078" s="17" t="s">
        <v>5672</v>
      </c>
      <c r="B1078" s="17">
        <v>43278</v>
      </c>
      <c r="C1078" s="20">
        <v>0</v>
      </c>
      <c r="D1078" s="20">
        <v>4177</v>
      </c>
      <c r="E1078" s="20">
        <v>4177</v>
      </c>
      <c r="F1078" s="20">
        <v>0</v>
      </c>
      <c r="I1078" s="20">
        <v>9847</v>
      </c>
      <c r="K1078" s="20">
        <v>571457</v>
      </c>
      <c r="L1078" s="20">
        <v>4551</v>
      </c>
      <c r="M1078" s="20">
        <v>370</v>
      </c>
      <c r="W1078" s="20">
        <f t="shared" si="51"/>
        <v>590402</v>
      </c>
      <c r="X1078" s="36">
        <v>-74437</v>
      </c>
      <c r="Y1078" s="36">
        <v>-488323</v>
      </c>
      <c r="Z1078" s="36">
        <v>0</v>
      </c>
      <c r="AA1078" s="36">
        <v>-4519</v>
      </c>
      <c r="AB1078" s="36"/>
      <c r="AC1078" s="36"/>
      <c r="AD1078" s="36">
        <v>0</v>
      </c>
      <c r="AE1078" s="36"/>
      <c r="AF1078" s="36"/>
      <c r="AG1078" s="36"/>
      <c r="AH1078" s="36"/>
      <c r="AI1078" s="20">
        <f t="shared" si="49"/>
        <v>-567279</v>
      </c>
      <c r="AJ1078" s="20">
        <f t="shared" si="50"/>
        <v>23123</v>
      </c>
    </row>
    <row r="1079" spans="1:36" x14ac:dyDescent="0.2">
      <c r="A1079" s="17" t="s">
        <v>5673</v>
      </c>
      <c r="B1079" s="17">
        <v>43285</v>
      </c>
      <c r="C1079" s="20">
        <v>0</v>
      </c>
      <c r="D1079" s="20">
        <v>4177</v>
      </c>
      <c r="E1079" s="20">
        <v>4177</v>
      </c>
      <c r="F1079" s="20">
        <v>0</v>
      </c>
      <c r="I1079" s="20">
        <v>9995</v>
      </c>
      <c r="K1079" s="20">
        <v>571457</v>
      </c>
      <c r="L1079" s="20">
        <v>4532</v>
      </c>
      <c r="M1079" s="20">
        <v>370</v>
      </c>
      <c r="W1079" s="20">
        <f t="shared" si="51"/>
        <v>590531</v>
      </c>
      <c r="X1079" s="36">
        <v>-74707</v>
      </c>
      <c r="Y1079" s="36">
        <v>-487918</v>
      </c>
      <c r="Z1079" s="36">
        <v>0</v>
      </c>
      <c r="AA1079" s="36">
        <v>-4497</v>
      </c>
      <c r="AB1079" s="36"/>
      <c r="AC1079" s="36"/>
      <c r="AD1079" s="36">
        <v>0</v>
      </c>
      <c r="AE1079" s="36"/>
      <c r="AF1079" s="36"/>
      <c r="AG1079" s="36"/>
      <c r="AH1079" s="36"/>
      <c r="AI1079" s="20">
        <f t="shared" si="49"/>
        <v>-567122</v>
      </c>
      <c r="AJ1079" s="20">
        <f t="shared" si="50"/>
        <v>23409</v>
      </c>
    </row>
    <row r="1080" spans="1:36" x14ac:dyDescent="0.2">
      <c r="A1080" s="17" t="s">
        <v>5674</v>
      </c>
      <c r="B1080" s="17">
        <v>43292</v>
      </c>
      <c r="C1080" s="20">
        <v>0</v>
      </c>
      <c r="D1080" s="20">
        <v>4177</v>
      </c>
      <c r="E1080" s="20">
        <v>4177</v>
      </c>
      <c r="F1080" s="20">
        <v>0</v>
      </c>
      <c r="I1080" s="20">
        <v>10150</v>
      </c>
      <c r="K1080" s="20">
        <v>571457</v>
      </c>
      <c r="L1080" s="20">
        <v>4518</v>
      </c>
      <c r="M1080" s="20">
        <v>370</v>
      </c>
      <c r="W1080" s="20">
        <f t="shared" si="51"/>
        <v>590672</v>
      </c>
      <c r="X1080" s="36">
        <v>-75016</v>
      </c>
      <c r="Y1080" s="36">
        <v>-490315</v>
      </c>
      <c r="Z1080" s="36">
        <v>0</v>
      </c>
      <c r="AA1080" s="36">
        <v>-4480</v>
      </c>
      <c r="AB1080" s="36"/>
      <c r="AC1080" s="36"/>
      <c r="AD1080" s="36">
        <v>0</v>
      </c>
      <c r="AE1080" s="36"/>
      <c r="AF1080" s="36"/>
      <c r="AG1080" s="36"/>
      <c r="AH1080" s="36"/>
      <c r="AI1080" s="20">
        <f t="shared" si="49"/>
        <v>-569811</v>
      </c>
      <c r="AJ1080" s="20">
        <f t="shared" si="50"/>
        <v>20861</v>
      </c>
    </row>
    <row r="1081" spans="1:36" x14ac:dyDescent="0.2">
      <c r="A1081" s="17" t="s">
        <v>5675</v>
      </c>
      <c r="B1081" s="17">
        <v>43299</v>
      </c>
      <c r="C1081" s="20">
        <v>0</v>
      </c>
      <c r="D1081" s="20">
        <v>4157</v>
      </c>
      <c r="E1081" s="20">
        <v>4157</v>
      </c>
      <c r="F1081" s="20">
        <v>0</v>
      </c>
      <c r="I1081" s="20">
        <v>10346</v>
      </c>
      <c r="K1081" s="20">
        <v>571457</v>
      </c>
      <c r="L1081" s="20">
        <v>4589</v>
      </c>
      <c r="M1081" s="20">
        <v>370</v>
      </c>
      <c r="W1081" s="20">
        <f t="shared" si="51"/>
        <v>590919</v>
      </c>
      <c r="X1081" s="36">
        <v>-74953</v>
      </c>
      <c r="Y1081" s="36">
        <v>-484138</v>
      </c>
      <c r="Z1081" s="36">
        <v>0</v>
      </c>
      <c r="AA1081" s="36">
        <v>-4551</v>
      </c>
      <c r="AB1081" s="36"/>
      <c r="AC1081" s="36"/>
      <c r="AD1081" s="36">
        <v>0</v>
      </c>
      <c r="AE1081" s="36"/>
      <c r="AF1081" s="36"/>
      <c r="AG1081" s="36"/>
      <c r="AH1081" s="36"/>
      <c r="AI1081" s="20">
        <f t="shared" si="49"/>
        <v>-563642</v>
      </c>
      <c r="AJ1081" s="20">
        <f t="shared" si="50"/>
        <v>27277</v>
      </c>
    </row>
    <row r="1082" spans="1:36" x14ac:dyDescent="0.2">
      <c r="A1082" s="17" t="s">
        <v>5676</v>
      </c>
      <c r="B1082" s="17">
        <v>43306</v>
      </c>
      <c r="C1082" s="20">
        <v>0</v>
      </c>
      <c r="D1082" s="20">
        <v>4157</v>
      </c>
      <c r="E1082" s="20">
        <v>4157</v>
      </c>
      <c r="F1082" s="20">
        <v>0</v>
      </c>
      <c r="I1082" s="20">
        <v>10262</v>
      </c>
      <c r="K1082" s="20">
        <v>571457</v>
      </c>
      <c r="L1082" s="20">
        <v>4555</v>
      </c>
      <c r="M1082" s="20">
        <v>370</v>
      </c>
      <c r="W1082" s="20">
        <f t="shared" si="51"/>
        <v>590801</v>
      </c>
      <c r="X1082" s="36">
        <v>-74934</v>
      </c>
      <c r="Y1082" s="36">
        <v>-486890</v>
      </c>
      <c r="Z1082" s="36">
        <v>0</v>
      </c>
      <c r="AA1082" s="36">
        <v>-4515</v>
      </c>
      <c r="AB1082" s="36"/>
      <c r="AC1082" s="36"/>
      <c r="AD1082" s="36">
        <v>0</v>
      </c>
      <c r="AE1082" s="36"/>
      <c r="AF1082" s="36"/>
      <c r="AG1082" s="36"/>
      <c r="AH1082" s="36"/>
      <c r="AI1082" s="20">
        <f t="shared" si="49"/>
        <v>-566339</v>
      </c>
      <c r="AJ1082" s="20">
        <f t="shared" si="50"/>
        <v>24462</v>
      </c>
    </row>
    <row r="1083" spans="1:36" x14ac:dyDescent="0.2">
      <c r="A1083" s="17" t="s">
        <v>5677</v>
      </c>
      <c r="B1083" s="17">
        <v>43313</v>
      </c>
      <c r="C1083" s="20">
        <v>0</v>
      </c>
      <c r="D1083" s="20">
        <v>4157</v>
      </c>
      <c r="E1083" s="20">
        <v>4157</v>
      </c>
      <c r="F1083" s="20">
        <v>0</v>
      </c>
      <c r="I1083" s="20">
        <v>10307</v>
      </c>
      <c r="K1083" s="20">
        <v>571457</v>
      </c>
      <c r="L1083" s="20">
        <v>4562</v>
      </c>
      <c r="M1083" s="20">
        <v>370</v>
      </c>
      <c r="W1083" s="20">
        <f t="shared" si="51"/>
        <v>590853</v>
      </c>
      <c r="X1083" s="36">
        <v>-75073</v>
      </c>
      <c r="Y1083" s="36">
        <v>-488157</v>
      </c>
      <c r="Z1083" s="36">
        <v>0</v>
      </c>
      <c r="AA1083" s="36">
        <v>-4523</v>
      </c>
      <c r="AB1083" s="36"/>
      <c r="AC1083" s="36"/>
      <c r="AD1083" s="36">
        <v>0</v>
      </c>
      <c r="AE1083" s="36"/>
      <c r="AF1083" s="36"/>
      <c r="AG1083" s="36"/>
      <c r="AH1083" s="36"/>
      <c r="AI1083" s="20">
        <f t="shared" si="49"/>
        <v>-567753</v>
      </c>
      <c r="AJ1083" s="20">
        <f t="shared" si="50"/>
        <v>23100</v>
      </c>
    </row>
    <row r="1084" spans="1:36" x14ac:dyDescent="0.2">
      <c r="A1084" s="17" t="s">
        <v>5678</v>
      </c>
      <c r="B1084" s="17">
        <v>43320</v>
      </c>
      <c r="C1084" s="20">
        <v>0</v>
      </c>
      <c r="D1084" s="20">
        <v>4157</v>
      </c>
      <c r="E1084" s="20">
        <v>4157</v>
      </c>
      <c r="F1084" s="20">
        <v>0</v>
      </c>
      <c r="I1084" s="20">
        <v>10416</v>
      </c>
      <c r="K1084" s="20">
        <v>571457</v>
      </c>
      <c r="L1084" s="20">
        <v>4651</v>
      </c>
      <c r="M1084" s="20">
        <v>370</v>
      </c>
      <c r="W1084" s="20">
        <f t="shared" si="51"/>
        <v>591051</v>
      </c>
      <c r="X1084" s="36">
        <v>-75102</v>
      </c>
      <c r="Y1084" s="36">
        <v>-489566</v>
      </c>
      <c r="Z1084" s="36">
        <v>0</v>
      </c>
      <c r="AA1084" s="36">
        <v>-4610</v>
      </c>
      <c r="AB1084" s="36"/>
      <c r="AC1084" s="36"/>
      <c r="AD1084" s="36">
        <v>0</v>
      </c>
      <c r="AE1084" s="36"/>
      <c r="AF1084" s="36"/>
      <c r="AG1084" s="36"/>
      <c r="AH1084" s="36"/>
      <c r="AI1084" s="20">
        <f t="shared" si="49"/>
        <v>-569278</v>
      </c>
      <c r="AJ1084" s="20">
        <f t="shared" si="50"/>
        <v>21773</v>
      </c>
    </row>
    <row r="1085" spans="1:36" x14ac:dyDescent="0.2">
      <c r="A1085" s="17" t="s">
        <v>5679</v>
      </c>
      <c r="B1085" s="17">
        <v>43327</v>
      </c>
      <c r="C1085" s="20">
        <v>0</v>
      </c>
      <c r="D1085" s="20">
        <v>5480</v>
      </c>
      <c r="E1085" s="20">
        <v>5480</v>
      </c>
      <c r="F1085" s="20">
        <v>0</v>
      </c>
      <c r="I1085" s="20">
        <v>10569</v>
      </c>
      <c r="K1085" s="20">
        <v>571457</v>
      </c>
      <c r="L1085" s="20">
        <v>4737</v>
      </c>
      <c r="M1085" s="20">
        <v>370</v>
      </c>
      <c r="W1085" s="20">
        <f t="shared" si="51"/>
        <v>592613</v>
      </c>
      <c r="X1085" s="36">
        <v>-75002</v>
      </c>
      <c r="Y1085" s="36">
        <v>-491426</v>
      </c>
      <c r="Z1085" s="36">
        <v>0</v>
      </c>
      <c r="AA1085" s="36">
        <v>-4694</v>
      </c>
      <c r="AB1085" s="36"/>
      <c r="AC1085" s="36"/>
      <c r="AD1085" s="36">
        <v>0</v>
      </c>
      <c r="AE1085" s="36"/>
      <c r="AF1085" s="36"/>
      <c r="AG1085" s="36"/>
      <c r="AH1085" s="36"/>
      <c r="AI1085" s="20">
        <f t="shared" si="49"/>
        <v>-571122</v>
      </c>
      <c r="AJ1085" s="20">
        <f t="shared" si="50"/>
        <v>21491</v>
      </c>
    </row>
    <row r="1086" spans="1:36" x14ac:dyDescent="0.2">
      <c r="A1086" s="17" t="s">
        <v>5680</v>
      </c>
      <c r="B1086" s="17">
        <v>43334</v>
      </c>
      <c r="C1086" s="20">
        <v>0</v>
      </c>
      <c r="D1086" s="20">
        <v>5480</v>
      </c>
      <c r="E1086" s="20">
        <v>5480</v>
      </c>
      <c r="F1086" s="20">
        <v>0</v>
      </c>
      <c r="I1086" s="20">
        <v>10703</v>
      </c>
      <c r="K1086" s="20">
        <v>571454</v>
      </c>
      <c r="L1086" s="20">
        <v>4650</v>
      </c>
      <c r="M1086" s="20">
        <v>370</v>
      </c>
      <c r="W1086" s="20">
        <f t="shared" si="51"/>
        <v>592657</v>
      </c>
      <c r="X1086" s="36">
        <v>-75201</v>
      </c>
      <c r="Y1086" s="36">
        <v>-488556</v>
      </c>
      <c r="Z1086" s="36">
        <v>0</v>
      </c>
      <c r="AA1086" s="36">
        <v>-4606</v>
      </c>
      <c r="AB1086" s="36"/>
      <c r="AC1086" s="36"/>
      <c r="AD1086" s="36">
        <v>0</v>
      </c>
      <c r="AE1086" s="36"/>
      <c r="AF1086" s="36"/>
      <c r="AG1086" s="36"/>
      <c r="AH1086" s="36"/>
      <c r="AI1086" s="20">
        <f t="shared" si="49"/>
        <v>-568363</v>
      </c>
      <c r="AJ1086" s="20">
        <f t="shared" si="50"/>
        <v>24294</v>
      </c>
    </row>
    <row r="1087" spans="1:36" x14ac:dyDescent="0.2">
      <c r="A1087" s="17" t="s">
        <v>5681</v>
      </c>
      <c r="B1087" s="17">
        <v>43341</v>
      </c>
      <c r="C1087" s="20">
        <v>0</v>
      </c>
      <c r="D1087" s="20">
        <v>5480</v>
      </c>
      <c r="E1087" s="20">
        <v>5480</v>
      </c>
      <c r="F1087" s="20">
        <v>0</v>
      </c>
      <c r="I1087" s="20">
        <v>10786</v>
      </c>
      <c r="K1087" s="20">
        <v>571454</v>
      </c>
      <c r="L1087" s="20">
        <v>4614</v>
      </c>
      <c r="M1087" s="20">
        <v>370</v>
      </c>
      <c r="W1087" s="20">
        <f t="shared" si="51"/>
        <v>592704</v>
      </c>
      <c r="X1087" s="36">
        <v>-75631</v>
      </c>
      <c r="Y1087" s="36">
        <v>-490880</v>
      </c>
      <c r="Z1087" s="36">
        <v>0</v>
      </c>
      <c r="AA1087" s="36">
        <v>-4571</v>
      </c>
      <c r="AB1087" s="36"/>
      <c r="AC1087" s="36"/>
      <c r="AD1087" s="36">
        <v>0</v>
      </c>
      <c r="AE1087" s="36"/>
      <c r="AF1087" s="36"/>
      <c r="AG1087" s="36"/>
      <c r="AH1087" s="36"/>
      <c r="AI1087" s="20">
        <f t="shared" ref="AI1087:AI1150" si="52">SUM(X1087:AA1087)</f>
        <v>-571082</v>
      </c>
      <c r="AJ1087" s="20">
        <f t="shared" ref="AJ1087:AJ1150" si="53">W1087+AI1087</f>
        <v>21622</v>
      </c>
    </row>
    <row r="1088" spans="1:36" x14ac:dyDescent="0.2">
      <c r="A1088" s="17" t="s">
        <v>5682</v>
      </c>
      <c r="B1088" s="17">
        <v>43348</v>
      </c>
      <c r="C1088" s="20">
        <v>0</v>
      </c>
      <c r="D1088" s="20">
        <v>5480</v>
      </c>
      <c r="E1088" s="20">
        <v>5480</v>
      </c>
      <c r="F1088" s="20">
        <v>0</v>
      </c>
      <c r="I1088" s="20">
        <v>10902</v>
      </c>
      <c r="K1088" s="20">
        <v>571454</v>
      </c>
      <c r="L1088" s="20">
        <v>4612</v>
      </c>
      <c r="M1088" s="20">
        <v>370</v>
      </c>
      <c r="W1088" s="20">
        <f t="shared" si="51"/>
        <v>592818</v>
      </c>
      <c r="X1088" s="36">
        <v>-75305</v>
      </c>
      <c r="Y1088" s="36">
        <v>-491073</v>
      </c>
      <c r="Z1088" s="36">
        <v>0</v>
      </c>
      <c r="AA1088" s="36">
        <v>-4588</v>
      </c>
      <c r="AB1088" s="36"/>
      <c r="AC1088" s="36"/>
      <c r="AD1088" s="36">
        <v>0</v>
      </c>
      <c r="AE1088" s="36"/>
      <c r="AF1088" s="36"/>
      <c r="AG1088" s="36"/>
      <c r="AH1088" s="36"/>
      <c r="AI1088" s="20">
        <f t="shared" si="52"/>
        <v>-570966</v>
      </c>
      <c r="AJ1088" s="20">
        <f t="shared" si="53"/>
        <v>21852</v>
      </c>
    </row>
    <row r="1089" spans="1:36" x14ac:dyDescent="0.2">
      <c r="A1089" s="17" t="s">
        <v>5683</v>
      </c>
      <c r="B1089" s="17">
        <v>43355</v>
      </c>
      <c r="C1089" s="20">
        <v>0</v>
      </c>
      <c r="D1089" s="20">
        <v>5908</v>
      </c>
      <c r="E1089" s="20">
        <v>5908</v>
      </c>
      <c r="F1089" s="20">
        <v>0</v>
      </c>
      <c r="I1089" s="20">
        <v>10921</v>
      </c>
      <c r="K1089" s="20">
        <v>571454</v>
      </c>
      <c r="L1089" s="20">
        <v>4573</v>
      </c>
      <c r="M1089" s="20">
        <v>370</v>
      </c>
      <c r="W1089" s="20">
        <f t="shared" si="51"/>
        <v>593226</v>
      </c>
      <c r="X1089" s="36">
        <v>-75121</v>
      </c>
      <c r="Y1089" s="36">
        <v>-487381</v>
      </c>
      <c r="Z1089" s="36">
        <v>0</v>
      </c>
      <c r="AA1089" s="36">
        <v>-4560</v>
      </c>
      <c r="AB1089" s="36"/>
      <c r="AC1089" s="36"/>
      <c r="AD1089" s="36">
        <v>0</v>
      </c>
      <c r="AE1089" s="36"/>
      <c r="AF1089" s="36"/>
      <c r="AG1089" s="36"/>
      <c r="AH1089" s="36"/>
      <c r="AI1089" s="20">
        <f t="shared" si="52"/>
        <v>-567062</v>
      </c>
      <c r="AJ1089" s="20">
        <f t="shared" si="53"/>
        <v>26164</v>
      </c>
    </row>
    <row r="1090" spans="1:36" x14ac:dyDescent="0.2">
      <c r="A1090" s="17" t="s">
        <v>5684</v>
      </c>
      <c r="B1090" s="17">
        <v>43362</v>
      </c>
      <c r="C1090" s="20">
        <v>0</v>
      </c>
      <c r="D1090" s="20">
        <v>5908</v>
      </c>
      <c r="E1090" s="20">
        <v>5908</v>
      </c>
      <c r="F1090" s="20">
        <v>0</v>
      </c>
      <c r="I1090" s="20">
        <v>11082</v>
      </c>
      <c r="K1090" s="20">
        <v>571444</v>
      </c>
      <c r="L1090" s="20">
        <v>4516</v>
      </c>
      <c r="M1090" s="20">
        <v>370</v>
      </c>
      <c r="W1090" s="20">
        <f t="shared" si="51"/>
        <v>593320</v>
      </c>
      <c r="X1090" s="36">
        <v>-75022</v>
      </c>
      <c r="Y1090" s="36">
        <v>-487671</v>
      </c>
      <c r="Z1090" s="36">
        <v>0</v>
      </c>
      <c r="AA1090" s="36">
        <v>-4512</v>
      </c>
      <c r="AB1090" s="36"/>
      <c r="AC1090" s="36"/>
      <c r="AD1090" s="36">
        <v>0</v>
      </c>
      <c r="AE1090" s="36"/>
      <c r="AF1090" s="36"/>
      <c r="AG1090" s="36"/>
      <c r="AH1090" s="36"/>
      <c r="AI1090" s="20">
        <f t="shared" si="52"/>
        <v>-567205</v>
      </c>
      <c r="AJ1090" s="20">
        <f t="shared" si="53"/>
        <v>26115</v>
      </c>
    </row>
    <row r="1091" spans="1:36" x14ac:dyDescent="0.2">
      <c r="A1091" s="17" t="s">
        <v>5685</v>
      </c>
      <c r="B1091" s="17">
        <v>43369</v>
      </c>
      <c r="C1091" s="20">
        <v>0</v>
      </c>
      <c r="D1091" s="20">
        <v>5908</v>
      </c>
      <c r="E1091" s="20">
        <v>5908</v>
      </c>
      <c r="F1091" s="20">
        <v>0</v>
      </c>
      <c r="I1091" s="20">
        <v>11235</v>
      </c>
      <c r="K1091" s="20">
        <v>571444</v>
      </c>
      <c r="L1091" s="20">
        <v>4506</v>
      </c>
      <c r="M1091" s="20">
        <v>370</v>
      </c>
      <c r="W1091" s="20">
        <f t="shared" si="51"/>
        <v>593463</v>
      </c>
      <c r="X1091" s="36">
        <v>-75072</v>
      </c>
      <c r="Y1091" s="36">
        <v>-488810</v>
      </c>
      <c r="Z1091" s="36">
        <v>0</v>
      </c>
      <c r="AA1091" s="36">
        <v>-4500</v>
      </c>
      <c r="AB1091" s="36"/>
      <c r="AC1091" s="36"/>
      <c r="AD1091" s="36">
        <v>0</v>
      </c>
      <c r="AE1091" s="36"/>
      <c r="AF1091" s="36"/>
      <c r="AG1091" s="36"/>
      <c r="AH1091" s="36"/>
      <c r="AI1091" s="20">
        <f t="shared" si="52"/>
        <v>-568382</v>
      </c>
      <c r="AJ1091" s="20">
        <f t="shared" si="53"/>
        <v>25081</v>
      </c>
    </row>
    <row r="1092" spans="1:36" x14ac:dyDescent="0.2">
      <c r="A1092" s="17" t="s">
        <v>5686</v>
      </c>
      <c r="B1092" s="17">
        <v>43376</v>
      </c>
      <c r="C1092" s="20">
        <v>0</v>
      </c>
      <c r="D1092" s="20">
        <v>5908</v>
      </c>
      <c r="E1092" s="20">
        <v>5908</v>
      </c>
      <c r="F1092" s="20">
        <v>0</v>
      </c>
      <c r="I1092" s="20">
        <v>11406</v>
      </c>
      <c r="K1092" s="20">
        <v>571444</v>
      </c>
      <c r="L1092" s="20">
        <v>4570</v>
      </c>
      <c r="M1092" s="20">
        <v>370</v>
      </c>
      <c r="W1092" s="20">
        <f t="shared" si="51"/>
        <v>593698</v>
      </c>
      <c r="X1092" s="36">
        <v>-75096</v>
      </c>
      <c r="Y1092" s="36">
        <v>-489126</v>
      </c>
      <c r="Z1092" s="36">
        <v>0</v>
      </c>
      <c r="AA1092" s="36">
        <v>-4562</v>
      </c>
      <c r="AB1092" s="36"/>
      <c r="AC1092" s="36"/>
      <c r="AD1092" s="36">
        <v>0</v>
      </c>
      <c r="AE1092" s="36"/>
      <c r="AF1092" s="36"/>
      <c r="AG1092" s="36"/>
      <c r="AH1092" s="36"/>
      <c r="AI1092" s="20">
        <f t="shared" si="52"/>
        <v>-568784</v>
      </c>
      <c r="AJ1092" s="20">
        <f t="shared" si="53"/>
        <v>24914</v>
      </c>
    </row>
    <row r="1093" spans="1:36" x14ac:dyDescent="0.2">
      <c r="A1093" s="17" t="s">
        <v>5687</v>
      </c>
      <c r="B1093" s="17">
        <v>43383</v>
      </c>
      <c r="C1093" s="20">
        <v>0</v>
      </c>
      <c r="D1093" s="20">
        <v>5428</v>
      </c>
      <c r="E1093" s="20">
        <v>5428</v>
      </c>
      <c r="F1093" s="20">
        <v>0</v>
      </c>
      <c r="I1093" s="20">
        <v>11553</v>
      </c>
      <c r="K1093" s="20">
        <v>571444</v>
      </c>
      <c r="L1093" s="20">
        <v>4503</v>
      </c>
      <c r="M1093" s="20">
        <v>370</v>
      </c>
      <c r="W1093" s="20">
        <f t="shared" si="51"/>
        <v>593298</v>
      </c>
      <c r="X1093" s="36">
        <v>-74880</v>
      </c>
      <c r="Y1093" s="36">
        <v>-491587</v>
      </c>
      <c r="Z1093" s="36">
        <v>0</v>
      </c>
      <c r="AA1093" s="36">
        <v>-4493</v>
      </c>
      <c r="AB1093" s="36"/>
      <c r="AC1093" s="36"/>
      <c r="AD1093" s="36">
        <v>0</v>
      </c>
      <c r="AE1093" s="36"/>
      <c r="AF1093" s="36"/>
      <c r="AG1093" s="36"/>
      <c r="AH1093" s="36"/>
      <c r="AI1093" s="20">
        <f t="shared" si="52"/>
        <v>-570960</v>
      </c>
      <c r="AJ1093" s="20">
        <f t="shared" si="53"/>
        <v>22338</v>
      </c>
    </row>
    <row r="1094" spans="1:36" x14ac:dyDescent="0.2">
      <c r="A1094" s="17" t="s">
        <v>5688</v>
      </c>
      <c r="B1094" s="17">
        <v>43390</v>
      </c>
      <c r="C1094" s="20">
        <v>0</v>
      </c>
      <c r="D1094" s="20">
        <v>5428</v>
      </c>
      <c r="E1094" s="20">
        <v>5428</v>
      </c>
      <c r="F1094" s="20">
        <v>0</v>
      </c>
      <c r="I1094" s="20">
        <v>11672</v>
      </c>
      <c r="K1094" s="20">
        <v>571444</v>
      </c>
      <c r="L1094" s="20">
        <v>4709</v>
      </c>
      <c r="M1094" s="20">
        <v>370</v>
      </c>
      <c r="W1094" s="20">
        <f t="shared" si="51"/>
        <v>593623</v>
      </c>
      <c r="X1094" s="36">
        <v>-74782</v>
      </c>
      <c r="Y1094" s="36">
        <v>-492930</v>
      </c>
      <c r="Z1094" s="36">
        <v>0</v>
      </c>
      <c r="AA1094" s="36">
        <v>-4518</v>
      </c>
      <c r="AB1094" s="36"/>
      <c r="AC1094" s="36"/>
      <c r="AD1094" s="36">
        <v>0</v>
      </c>
      <c r="AE1094" s="36"/>
      <c r="AF1094" s="36"/>
      <c r="AG1094" s="36"/>
      <c r="AH1094" s="36"/>
      <c r="AI1094" s="20">
        <f t="shared" si="52"/>
        <v>-572230</v>
      </c>
      <c r="AJ1094" s="20">
        <f t="shared" si="53"/>
        <v>21393</v>
      </c>
    </row>
    <row r="1095" spans="1:36" x14ac:dyDescent="0.2">
      <c r="A1095" s="17" t="s">
        <v>5689</v>
      </c>
      <c r="B1095" s="17">
        <v>43397</v>
      </c>
      <c r="C1095" s="20">
        <v>0</v>
      </c>
      <c r="D1095" s="20">
        <v>5428</v>
      </c>
      <c r="E1095" s="20">
        <v>5428</v>
      </c>
      <c r="F1095" s="20">
        <v>0</v>
      </c>
      <c r="I1095" s="20">
        <v>11791</v>
      </c>
      <c r="K1095" s="20">
        <v>571444</v>
      </c>
      <c r="L1095" s="20">
        <v>4791</v>
      </c>
      <c r="M1095" s="20">
        <v>370</v>
      </c>
      <c r="W1095" s="20">
        <f t="shared" si="51"/>
        <v>593824</v>
      </c>
      <c r="X1095" s="36">
        <v>-74884</v>
      </c>
      <c r="Y1095" s="36">
        <v>-492580</v>
      </c>
      <c r="Z1095" s="36">
        <v>0</v>
      </c>
      <c r="AA1095" s="36">
        <v>-4598</v>
      </c>
      <c r="AB1095" s="36"/>
      <c r="AC1095" s="36"/>
      <c r="AD1095" s="36">
        <v>0</v>
      </c>
      <c r="AE1095" s="36"/>
      <c r="AF1095" s="36"/>
      <c r="AG1095" s="36"/>
      <c r="AH1095" s="36"/>
      <c r="AI1095" s="20">
        <f t="shared" si="52"/>
        <v>-572062</v>
      </c>
      <c r="AJ1095" s="20">
        <f t="shared" si="53"/>
        <v>21762</v>
      </c>
    </row>
    <row r="1096" spans="1:36" x14ac:dyDescent="0.2">
      <c r="A1096" s="17" t="s">
        <v>5690</v>
      </c>
      <c r="B1096" s="17">
        <v>43404</v>
      </c>
      <c r="C1096" s="20">
        <v>0</v>
      </c>
      <c r="D1096" s="20">
        <v>5428</v>
      </c>
      <c r="E1096" s="20">
        <v>5428</v>
      </c>
      <c r="F1096" s="20">
        <v>0</v>
      </c>
      <c r="I1096" s="20">
        <v>11878</v>
      </c>
      <c r="K1096" s="20">
        <v>571444</v>
      </c>
      <c r="L1096" s="20">
        <v>4840</v>
      </c>
      <c r="M1096" s="20">
        <v>370</v>
      </c>
      <c r="W1096" s="20">
        <f t="shared" si="51"/>
        <v>593960</v>
      </c>
      <c r="X1096" s="36">
        <v>-74989</v>
      </c>
      <c r="Y1096" s="36">
        <v>-491033</v>
      </c>
      <c r="Z1096" s="36">
        <v>0</v>
      </c>
      <c r="AA1096" s="36">
        <v>-4644</v>
      </c>
      <c r="AB1096" s="36"/>
      <c r="AC1096" s="36"/>
      <c r="AD1096" s="36">
        <v>0</v>
      </c>
      <c r="AE1096" s="36"/>
      <c r="AF1096" s="36"/>
      <c r="AG1096" s="36"/>
      <c r="AH1096" s="36"/>
      <c r="AI1096" s="20">
        <f t="shared" si="52"/>
        <v>-570666</v>
      </c>
      <c r="AJ1096" s="20">
        <f t="shared" si="53"/>
        <v>23294</v>
      </c>
    </row>
    <row r="1097" spans="1:36" x14ac:dyDescent="0.2">
      <c r="A1097" s="17" t="s">
        <v>5691</v>
      </c>
      <c r="B1097" s="17">
        <v>43411</v>
      </c>
      <c r="C1097" s="20">
        <v>0</v>
      </c>
      <c r="D1097" s="20">
        <v>5428</v>
      </c>
      <c r="E1097" s="20">
        <v>5428</v>
      </c>
      <c r="F1097" s="20">
        <v>0</v>
      </c>
      <c r="I1097" s="20">
        <v>11926</v>
      </c>
      <c r="K1097" s="20">
        <v>571444</v>
      </c>
      <c r="L1097" s="20">
        <v>4530</v>
      </c>
      <c r="M1097" s="20">
        <v>370</v>
      </c>
      <c r="W1097" s="20">
        <f t="shared" si="51"/>
        <v>593698</v>
      </c>
      <c r="X1097" s="36">
        <v>-74990</v>
      </c>
      <c r="Y1097" s="36">
        <v>-492628</v>
      </c>
      <c r="Z1097" s="36">
        <v>0</v>
      </c>
      <c r="AA1097" s="36">
        <v>-4514</v>
      </c>
      <c r="AB1097" s="36"/>
      <c r="AC1097" s="36"/>
      <c r="AD1097" s="36">
        <v>0</v>
      </c>
      <c r="AE1097" s="36"/>
      <c r="AF1097" s="36"/>
      <c r="AG1097" s="36"/>
      <c r="AH1097" s="36"/>
      <c r="AI1097" s="20">
        <f t="shared" si="52"/>
        <v>-572132</v>
      </c>
      <c r="AJ1097" s="20">
        <f t="shared" si="53"/>
        <v>21566</v>
      </c>
    </row>
    <row r="1098" spans="1:36" x14ac:dyDescent="0.2">
      <c r="A1098" s="17" t="s">
        <v>5692</v>
      </c>
      <c r="B1098" s="17">
        <v>43418</v>
      </c>
      <c r="C1098" s="20">
        <v>0</v>
      </c>
      <c r="D1098" s="20">
        <v>5830</v>
      </c>
      <c r="E1098" s="20">
        <v>5830</v>
      </c>
      <c r="F1098" s="20">
        <v>0</v>
      </c>
      <c r="I1098" s="20">
        <v>12085</v>
      </c>
      <c r="K1098" s="20">
        <v>566444</v>
      </c>
      <c r="L1098" s="20">
        <v>4583</v>
      </c>
      <c r="M1098" s="20">
        <v>370</v>
      </c>
      <c r="W1098" s="20">
        <f t="shared" si="51"/>
        <v>589312</v>
      </c>
      <c r="X1098" s="36">
        <v>-74974</v>
      </c>
      <c r="Y1098" s="36">
        <v>-487888</v>
      </c>
      <c r="Z1098" s="36">
        <v>0</v>
      </c>
      <c r="AA1098" s="36">
        <v>-4566</v>
      </c>
      <c r="AB1098" s="36"/>
      <c r="AC1098" s="36"/>
      <c r="AD1098" s="36">
        <v>0</v>
      </c>
      <c r="AE1098" s="36"/>
      <c r="AF1098" s="36"/>
      <c r="AG1098" s="36"/>
      <c r="AH1098" s="36"/>
      <c r="AI1098" s="20">
        <f t="shared" si="52"/>
        <v>-567428</v>
      </c>
      <c r="AJ1098" s="20">
        <f t="shared" si="53"/>
        <v>21884</v>
      </c>
    </row>
    <row r="1099" spans="1:36" x14ac:dyDescent="0.2">
      <c r="A1099" s="17" t="s">
        <v>5693</v>
      </c>
      <c r="B1099" s="17">
        <v>43425</v>
      </c>
      <c r="C1099" s="20">
        <v>0</v>
      </c>
      <c r="D1099" s="20">
        <v>5830</v>
      </c>
      <c r="E1099" s="20">
        <v>5830</v>
      </c>
      <c r="F1099" s="20">
        <v>0</v>
      </c>
      <c r="I1099" s="20">
        <v>12179</v>
      </c>
      <c r="K1099" s="20">
        <v>566444</v>
      </c>
      <c r="L1099" s="20">
        <v>4853</v>
      </c>
      <c r="M1099" s="20">
        <v>370</v>
      </c>
      <c r="W1099" s="20">
        <f t="shared" si="51"/>
        <v>589676</v>
      </c>
      <c r="X1099" s="36">
        <v>-74895</v>
      </c>
      <c r="Y1099" s="36">
        <v>-488529</v>
      </c>
      <c r="Z1099" s="36">
        <v>0</v>
      </c>
      <c r="AA1099" s="36">
        <v>-4651</v>
      </c>
      <c r="AB1099" s="36"/>
      <c r="AC1099" s="36"/>
      <c r="AD1099" s="36">
        <v>0</v>
      </c>
      <c r="AE1099" s="36"/>
      <c r="AF1099" s="36"/>
      <c r="AG1099" s="36"/>
      <c r="AH1099" s="36"/>
      <c r="AI1099" s="20">
        <f t="shared" si="52"/>
        <v>-568075</v>
      </c>
      <c r="AJ1099" s="20">
        <f t="shared" si="53"/>
        <v>21601</v>
      </c>
    </row>
    <row r="1100" spans="1:36" x14ac:dyDescent="0.2">
      <c r="A1100" s="17" t="s">
        <v>5694</v>
      </c>
      <c r="B1100" s="17">
        <v>43432</v>
      </c>
      <c r="C1100" s="20">
        <v>0</v>
      </c>
      <c r="D1100" s="20">
        <v>5830</v>
      </c>
      <c r="E1100" s="20">
        <v>5830</v>
      </c>
      <c r="F1100" s="20">
        <v>0</v>
      </c>
      <c r="I1100" s="20">
        <v>12316</v>
      </c>
      <c r="K1100" s="20">
        <v>566444</v>
      </c>
      <c r="L1100" s="20">
        <v>4684</v>
      </c>
      <c r="M1100" s="20">
        <v>370</v>
      </c>
      <c r="W1100" s="20">
        <f t="shared" si="51"/>
        <v>589644</v>
      </c>
      <c r="X1100" s="36">
        <v>-75175</v>
      </c>
      <c r="Y1100" s="36">
        <v>-488938</v>
      </c>
      <c r="Z1100" s="36">
        <v>0</v>
      </c>
      <c r="AA1100" s="36">
        <v>-4663</v>
      </c>
      <c r="AB1100" s="36"/>
      <c r="AC1100" s="36"/>
      <c r="AD1100" s="36">
        <v>0</v>
      </c>
      <c r="AE1100" s="36"/>
      <c r="AF1100" s="36"/>
      <c r="AG1100" s="36"/>
      <c r="AH1100" s="36"/>
      <c r="AI1100" s="20">
        <f t="shared" si="52"/>
        <v>-568776</v>
      </c>
      <c r="AJ1100" s="20">
        <f t="shared" si="53"/>
        <v>20868</v>
      </c>
    </row>
    <row r="1101" spans="1:36" x14ac:dyDescent="0.2">
      <c r="A1101" s="17" t="s">
        <v>5695</v>
      </c>
      <c r="B1101" s="17">
        <v>43439</v>
      </c>
      <c r="C1101" s="20">
        <v>0</v>
      </c>
      <c r="D1101" s="20">
        <v>5830</v>
      </c>
      <c r="E1101" s="20">
        <v>5830</v>
      </c>
      <c r="F1101" s="20">
        <v>0</v>
      </c>
      <c r="I1101" s="20">
        <v>12449</v>
      </c>
      <c r="K1101" s="20">
        <v>566439</v>
      </c>
      <c r="L1101" s="20">
        <v>4690</v>
      </c>
      <c r="M1101" s="20">
        <v>370</v>
      </c>
      <c r="W1101" s="20">
        <f t="shared" si="51"/>
        <v>589778</v>
      </c>
      <c r="X1101" s="36">
        <v>-75476</v>
      </c>
      <c r="Y1101" s="36">
        <v>-487301</v>
      </c>
      <c r="Z1101" s="36">
        <v>0</v>
      </c>
      <c r="AA1101" s="36">
        <v>-4666</v>
      </c>
      <c r="AB1101" s="36"/>
      <c r="AC1101" s="36"/>
      <c r="AD1101" s="36">
        <v>0</v>
      </c>
      <c r="AE1101" s="36"/>
      <c r="AF1101" s="36"/>
      <c r="AG1101" s="36"/>
      <c r="AH1101" s="36"/>
      <c r="AI1101" s="20">
        <f t="shared" si="52"/>
        <v>-567443</v>
      </c>
      <c r="AJ1101" s="20">
        <f t="shared" si="53"/>
        <v>22335</v>
      </c>
    </row>
    <row r="1102" spans="1:36" x14ac:dyDescent="0.2">
      <c r="A1102" s="17" t="s">
        <v>5696</v>
      </c>
      <c r="B1102" s="17">
        <v>43446</v>
      </c>
      <c r="C1102" s="20">
        <v>0</v>
      </c>
      <c r="D1102" s="20">
        <v>7164</v>
      </c>
      <c r="E1102" s="20">
        <v>7164</v>
      </c>
      <c r="F1102" s="20">
        <v>0</v>
      </c>
      <c r="I1102" s="20">
        <v>12445</v>
      </c>
      <c r="K1102" s="20">
        <v>566439</v>
      </c>
      <c r="L1102" s="20">
        <v>4726</v>
      </c>
      <c r="M1102" s="20">
        <v>370</v>
      </c>
      <c r="W1102" s="20">
        <f t="shared" si="51"/>
        <v>591144</v>
      </c>
      <c r="X1102" s="36">
        <v>-75840</v>
      </c>
      <c r="Y1102" s="36">
        <v>-486572</v>
      </c>
      <c r="Z1102" s="36">
        <v>0</v>
      </c>
      <c r="AA1102" s="36">
        <v>-4699</v>
      </c>
      <c r="AB1102" s="36"/>
      <c r="AC1102" s="36"/>
      <c r="AD1102" s="36">
        <v>0</v>
      </c>
      <c r="AE1102" s="36"/>
      <c r="AF1102" s="36"/>
      <c r="AG1102" s="36"/>
      <c r="AH1102" s="36"/>
      <c r="AI1102" s="20">
        <f t="shared" si="52"/>
        <v>-567111</v>
      </c>
      <c r="AJ1102" s="20">
        <f t="shared" si="53"/>
        <v>24033</v>
      </c>
    </row>
    <row r="1103" spans="1:36" x14ac:dyDescent="0.2">
      <c r="A1103" s="17" t="s">
        <v>5697</v>
      </c>
      <c r="B1103" s="17">
        <v>43453</v>
      </c>
      <c r="C1103" s="20">
        <v>0</v>
      </c>
      <c r="D1103" s="20">
        <v>7164</v>
      </c>
      <c r="E1103" s="20">
        <v>7164</v>
      </c>
      <c r="F1103" s="20">
        <v>0</v>
      </c>
      <c r="I1103" s="20">
        <v>12471</v>
      </c>
      <c r="K1103" s="20">
        <v>566439</v>
      </c>
      <c r="L1103" s="20">
        <v>4742</v>
      </c>
      <c r="M1103" s="20">
        <v>370</v>
      </c>
      <c r="W1103" s="20">
        <f t="shared" si="51"/>
        <v>591186</v>
      </c>
      <c r="X1103" s="36">
        <v>-76723</v>
      </c>
      <c r="Y1103" s="36">
        <v>-484932</v>
      </c>
      <c r="Z1103" s="36">
        <v>0</v>
      </c>
      <c r="AA1103" s="36">
        <v>-4714</v>
      </c>
      <c r="AB1103" s="36"/>
      <c r="AC1103" s="36"/>
      <c r="AD1103" s="36">
        <v>0</v>
      </c>
      <c r="AE1103" s="36"/>
      <c r="AF1103" s="36"/>
      <c r="AG1103" s="36"/>
      <c r="AH1103" s="36"/>
      <c r="AI1103" s="20">
        <f t="shared" si="52"/>
        <v>-566369</v>
      </c>
      <c r="AJ1103" s="20">
        <f t="shared" si="53"/>
        <v>24817</v>
      </c>
    </row>
    <row r="1104" spans="1:36" x14ac:dyDescent="0.2">
      <c r="A1104" s="17" t="s">
        <v>5698</v>
      </c>
      <c r="B1104" s="17">
        <v>43460</v>
      </c>
      <c r="C1104" s="20">
        <v>0</v>
      </c>
      <c r="D1104" s="20">
        <v>7164</v>
      </c>
      <c r="E1104" s="20">
        <v>7164</v>
      </c>
      <c r="F1104" s="20">
        <v>0</v>
      </c>
      <c r="I1104" s="20">
        <v>12475</v>
      </c>
      <c r="K1104" s="20">
        <v>566439</v>
      </c>
      <c r="L1104" s="20">
        <v>4743</v>
      </c>
      <c r="M1104" s="20">
        <v>370</v>
      </c>
      <c r="W1104" s="20">
        <f t="shared" si="51"/>
        <v>591191</v>
      </c>
      <c r="X1104" s="36">
        <v>-78188</v>
      </c>
      <c r="Y1104" s="36">
        <v>-484262</v>
      </c>
      <c r="Z1104" s="36">
        <v>0</v>
      </c>
      <c r="AA1104" s="36">
        <v>-4714</v>
      </c>
      <c r="AB1104" s="36"/>
      <c r="AC1104" s="36"/>
      <c r="AD1104" s="36">
        <v>0</v>
      </c>
      <c r="AE1104" s="36"/>
      <c r="AF1104" s="36"/>
      <c r="AG1104" s="36"/>
      <c r="AH1104" s="36"/>
      <c r="AI1104" s="20">
        <f t="shared" si="52"/>
        <v>-567164</v>
      </c>
      <c r="AJ1104" s="20">
        <f t="shared" si="53"/>
        <v>24027</v>
      </c>
    </row>
    <row r="1105" spans="1:36" x14ac:dyDescent="0.2">
      <c r="A1105" s="17" t="s">
        <v>5699</v>
      </c>
      <c r="B1105" s="17">
        <v>43467</v>
      </c>
      <c r="C1105" s="20">
        <v>0</v>
      </c>
      <c r="D1105" s="20">
        <v>7164</v>
      </c>
      <c r="E1105" s="20">
        <v>7164</v>
      </c>
      <c r="F1105" s="20">
        <v>0</v>
      </c>
      <c r="I1105" s="20">
        <v>12479</v>
      </c>
      <c r="K1105" s="20">
        <v>566439</v>
      </c>
      <c r="L1105" s="20">
        <v>4768</v>
      </c>
      <c r="M1105" s="20">
        <v>370</v>
      </c>
      <c r="W1105" s="20">
        <f t="shared" si="51"/>
        <v>591220</v>
      </c>
      <c r="X1105" s="36">
        <v>-77022</v>
      </c>
      <c r="Y1105" s="36">
        <v>-485156</v>
      </c>
      <c r="Z1105" s="36">
        <v>0</v>
      </c>
      <c r="AA1105" s="36">
        <v>-4739</v>
      </c>
      <c r="AB1105" s="36"/>
      <c r="AC1105" s="36"/>
      <c r="AD1105" s="36">
        <v>0</v>
      </c>
      <c r="AE1105" s="36"/>
      <c r="AF1105" s="36"/>
      <c r="AG1105" s="36"/>
      <c r="AH1105" s="36"/>
      <c r="AI1105" s="20">
        <f t="shared" si="52"/>
        <v>-566917</v>
      </c>
      <c r="AJ1105" s="20">
        <f t="shared" si="53"/>
        <v>24303</v>
      </c>
    </row>
    <row r="1106" spans="1:36" x14ac:dyDescent="0.2">
      <c r="A1106" s="17" t="s">
        <v>5700</v>
      </c>
      <c r="B1106" s="17">
        <v>43474</v>
      </c>
      <c r="C1106" s="20">
        <v>0</v>
      </c>
      <c r="D1106" s="20">
        <v>7164</v>
      </c>
      <c r="E1106" s="20">
        <v>7164</v>
      </c>
      <c r="F1106" s="20">
        <v>0</v>
      </c>
      <c r="I1106" s="20">
        <v>12483</v>
      </c>
      <c r="K1106" s="20">
        <v>566439</v>
      </c>
      <c r="L1106" s="20">
        <v>4716</v>
      </c>
      <c r="M1106" s="20">
        <v>370</v>
      </c>
      <c r="W1106" s="20">
        <f t="shared" si="51"/>
        <v>591172</v>
      </c>
      <c r="X1106" s="36">
        <v>-75494</v>
      </c>
      <c r="Y1106" s="36">
        <v>-487445</v>
      </c>
      <c r="Z1106" s="36">
        <v>0</v>
      </c>
      <c r="AA1106" s="36">
        <v>-4684</v>
      </c>
      <c r="AB1106" s="36"/>
      <c r="AC1106" s="36"/>
      <c r="AD1106" s="36">
        <v>0</v>
      </c>
      <c r="AE1106" s="36"/>
      <c r="AF1106" s="36"/>
      <c r="AG1106" s="36"/>
      <c r="AH1106" s="36"/>
      <c r="AI1106" s="20">
        <f t="shared" si="52"/>
        <v>-567623</v>
      </c>
      <c r="AJ1106" s="20">
        <f t="shared" si="53"/>
        <v>23549</v>
      </c>
    </row>
    <row r="1107" spans="1:36" x14ac:dyDescent="0.2">
      <c r="A1107" s="17" t="s">
        <v>5701</v>
      </c>
      <c r="B1107" s="17">
        <v>43481</v>
      </c>
      <c r="C1107" s="20">
        <v>0</v>
      </c>
      <c r="D1107" s="20">
        <v>8134</v>
      </c>
      <c r="E1107" s="20">
        <v>8134</v>
      </c>
      <c r="F1107" s="20">
        <v>0</v>
      </c>
      <c r="I1107" s="20">
        <v>12496</v>
      </c>
      <c r="K1107" s="20">
        <v>566438</v>
      </c>
      <c r="L1107" s="20">
        <v>5312</v>
      </c>
      <c r="M1107" s="20">
        <v>370</v>
      </c>
      <c r="W1107" s="20">
        <f t="shared" si="51"/>
        <v>592750</v>
      </c>
      <c r="X1107" s="36">
        <v>-74577</v>
      </c>
      <c r="Y1107" s="36">
        <v>-489815</v>
      </c>
      <c r="Z1107" s="36">
        <v>0</v>
      </c>
      <c r="AA1107" s="36">
        <v>-4642</v>
      </c>
      <c r="AB1107" s="36"/>
      <c r="AC1107" s="36"/>
      <c r="AD1107" s="36">
        <v>0</v>
      </c>
      <c r="AE1107" s="36"/>
      <c r="AF1107" s="36"/>
      <c r="AG1107" s="36"/>
      <c r="AH1107" s="36"/>
      <c r="AI1107" s="20">
        <f t="shared" si="52"/>
        <v>-569034</v>
      </c>
      <c r="AJ1107" s="20">
        <f t="shared" si="53"/>
        <v>23716</v>
      </c>
    </row>
    <row r="1108" spans="1:36" x14ac:dyDescent="0.2">
      <c r="A1108" s="17" t="s">
        <v>5702</v>
      </c>
      <c r="B1108" s="17">
        <v>43488</v>
      </c>
      <c r="C1108" s="20">
        <v>0</v>
      </c>
      <c r="D1108" s="20">
        <v>8134</v>
      </c>
      <c r="E1108" s="20">
        <v>8134</v>
      </c>
      <c r="F1108" s="20">
        <v>0</v>
      </c>
      <c r="G1108" s="20">
        <v>121442</v>
      </c>
      <c r="I1108" s="20">
        <v>12508</v>
      </c>
      <c r="K1108" s="20">
        <v>444997</v>
      </c>
      <c r="L1108" s="20">
        <v>5232</v>
      </c>
      <c r="M1108" s="20">
        <v>370</v>
      </c>
      <c r="W1108" s="20">
        <f t="shared" si="51"/>
        <v>592683</v>
      </c>
      <c r="X1108" s="36">
        <v>-74178</v>
      </c>
      <c r="Y1108" s="36">
        <v>-487910</v>
      </c>
      <c r="Z1108" s="36">
        <v>0</v>
      </c>
      <c r="AA1108" s="36">
        <v>-4570</v>
      </c>
      <c r="AB1108" s="36"/>
      <c r="AC1108" s="36"/>
      <c r="AD1108" s="36">
        <v>0</v>
      </c>
      <c r="AE1108" s="36"/>
      <c r="AF1108" s="36"/>
      <c r="AG1108" s="36"/>
      <c r="AH1108" s="36"/>
      <c r="AI1108" s="20">
        <f t="shared" si="52"/>
        <v>-566658</v>
      </c>
      <c r="AJ1108" s="20">
        <f t="shared" si="53"/>
        <v>26025</v>
      </c>
    </row>
    <row r="1109" spans="1:36" x14ac:dyDescent="0.2">
      <c r="A1109" s="17" t="s">
        <v>5703</v>
      </c>
      <c r="B1109" s="17">
        <v>43495</v>
      </c>
      <c r="C1109" s="20">
        <v>0</v>
      </c>
      <c r="D1109" s="20">
        <v>8134</v>
      </c>
      <c r="E1109" s="20">
        <v>8134</v>
      </c>
      <c r="F1109" s="20">
        <v>0</v>
      </c>
      <c r="G1109" s="20">
        <v>121422</v>
      </c>
      <c r="I1109" s="20">
        <v>12553</v>
      </c>
      <c r="K1109" s="20">
        <v>444997</v>
      </c>
      <c r="L1109" s="20">
        <v>5230</v>
      </c>
      <c r="M1109" s="20">
        <v>370</v>
      </c>
      <c r="W1109" s="20">
        <f t="shared" si="51"/>
        <v>592706</v>
      </c>
      <c r="X1109" s="36">
        <v>-74178</v>
      </c>
      <c r="Y1109" s="36">
        <v>-488792</v>
      </c>
      <c r="Z1109" s="36">
        <v>0</v>
      </c>
      <c r="AA1109" s="36">
        <v>-4567</v>
      </c>
      <c r="AB1109" s="36"/>
      <c r="AC1109" s="36"/>
      <c r="AD1109" s="36">
        <v>0</v>
      </c>
      <c r="AE1109" s="36"/>
      <c r="AF1109" s="36"/>
      <c r="AG1109" s="36"/>
      <c r="AH1109" s="36"/>
      <c r="AI1109" s="20">
        <f t="shared" si="52"/>
        <v>-567537</v>
      </c>
      <c r="AJ1109" s="20">
        <f t="shared" si="53"/>
        <v>25169</v>
      </c>
    </row>
    <row r="1110" spans="1:36" x14ac:dyDescent="0.2">
      <c r="A1110" s="17" t="s">
        <v>5704</v>
      </c>
      <c r="B1110" s="17">
        <v>43502</v>
      </c>
      <c r="C1110" s="20">
        <v>0</v>
      </c>
      <c r="D1110" s="20">
        <v>8134</v>
      </c>
      <c r="E1110" s="20">
        <v>8134</v>
      </c>
      <c r="F1110" s="20">
        <v>0</v>
      </c>
      <c r="G1110" s="20">
        <v>121422</v>
      </c>
      <c r="I1110" s="20">
        <v>12590</v>
      </c>
      <c r="K1110" s="20">
        <v>444997</v>
      </c>
      <c r="L1110" s="20">
        <v>5279</v>
      </c>
      <c r="M1110" s="20">
        <v>370</v>
      </c>
      <c r="W1110" s="20">
        <f t="shared" si="51"/>
        <v>592792</v>
      </c>
      <c r="X1110" s="36">
        <v>-74074</v>
      </c>
      <c r="Y1110" s="36">
        <v>-488315</v>
      </c>
      <c r="Z1110" s="36">
        <v>0</v>
      </c>
      <c r="AA1110" s="36">
        <v>-4610</v>
      </c>
      <c r="AB1110" s="36"/>
      <c r="AC1110" s="36"/>
      <c r="AD1110" s="36">
        <v>0</v>
      </c>
      <c r="AE1110" s="36"/>
      <c r="AF1110" s="36"/>
      <c r="AG1110" s="36"/>
      <c r="AH1110" s="36"/>
      <c r="AI1110" s="20">
        <f t="shared" si="52"/>
        <v>-566999</v>
      </c>
      <c r="AJ1110" s="20">
        <f t="shared" si="53"/>
        <v>25793</v>
      </c>
    </row>
    <row r="1111" spans="1:36" x14ac:dyDescent="0.2">
      <c r="A1111" s="17" t="s">
        <v>5705</v>
      </c>
      <c r="B1111" s="17">
        <v>43509</v>
      </c>
      <c r="C1111" s="20">
        <v>0</v>
      </c>
      <c r="D1111" s="20">
        <v>9631</v>
      </c>
      <c r="E1111" s="20">
        <v>9631</v>
      </c>
      <c r="F1111" s="20">
        <v>0</v>
      </c>
      <c r="G1111" s="20">
        <v>121422</v>
      </c>
      <c r="I1111" s="20">
        <v>12607</v>
      </c>
      <c r="K1111" s="20">
        <v>444997</v>
      </c>
      <c r="L1111" s="20">
        <v>6858</v>
      </c>
      <c r="M1111" s="20">
        <v>370</v>
      </c>
      <c r="W1111" s="20">
        <f t="shared" si="51"/>
        <v>595885</v>
      </c>
      <c r="X1111" s="36">
        <v>-74021</v>
      </c>
      <c r="Y1111" s="36">
        <v>-491320</v>
      </c>
      <c r="Z1111" s="36">
        <v>0</v>
      </c>
      <c r="AA1111" s="36">
        <v>-6224</v>
      </c>
      <c r="AB1111" s="36"/>
      <c r="AC1111" s="36"/>
      <c r="AD1111" s="36">
        <v>0</v>
      </c>
      <c r="AE1111" s="36"/>
      <c r="AF1111" s="36"/>
      <c r="AG1111" s="36"/>
      <c r="AH1111" s="36"/>
      <c r="AI1111" s="20">
        <f t="shared" si="52"/>
        <v>-571565</v>
      </c>
      <c r="AJ1111" s="20">
        <f t="shared" si="53"/>
        <v>24320</v>
      </c>
    </row>
    <row r="1112" spans="1:36" x14ac:dyDescent="0.2">
      <c r="A1112" s="17" t="s">
        <v>5706</v>
      </c>
      <c r="B1112" s="17">
        <v>43516</v>
      </c>
      <c r="C1112" s="20">
        <v>0</v>
      </c>
      <c r="D1112" s="20">
        <v>9631</v>
      </c>
      <c r="E1112" s="20">
        <v>9631</v>
      </c>
      <c r="F1112" s="20">
        <v>0</v>
      </c>
      <c r="G1112" s="20">
        <v>121422</v>
      </c>
      <c r="I1112" s="20">
        <v>12640</v>
      </c>
      <c r="K1112" s="20">
        <v>444997</v>
      </c>
      <c r="L1112" s="20">
        <v>6933</v>
      </c>
      <c r="M1112" s="20">
        <v>370</v>
      </c>
      <c r="W1112" s="20">
        <f t="shared" si="51"/>
        <v>595993</v>
      </c>
      <c r="X1112" s="36">
        <v>-73969</v>
      </c>
      <c r="Y1112" s="36">
        <v>-491212</v>
      </c>
      <c r="Z1112" s="36">
        <v>0</v>
      </c>
      <c r="AA1112" s="36">
        <v>-6145</v>
      </c>
      <c r="AB1112" s="36"/>
      <c r="AC1112" s="36"/>
      <c r="AD1112" s="36">
        <v>0</v>
      </c>
      <c r="AE1112" s="36"/>
      <c r="AF1112" s="36"/>
      <c r="AG1112" s="36"/>
      <c r="AH1112" s="36"/>
      <c r="AI1112" s="20">
        <f t="shared" si="52"/>
        <v>-571326</v>
      </c>
      <c r="AJ1112" s="20">
        <f t="shared" si="53"/>
        <v>24667</v>
      </c>
    </row>
    <row r="1113" spans="1:36" x14ac:dyDescent="0.2">
      <c r="A1113" s="17" t="s">
        <v>5707</v>
      </c>
      <c r="B1113" s="17">
        <v>43523</v>
      </c>
      <c r="C1113" s="20">
        <v>0</v>
      </c>
      <c r="D1113" s="20">
        <v>9631</v>
      </c>
      <c r="E1113" s="20">
        <v>9631</v>
      </c>
      <c r="F1113" s="20">
        <v>0</v>
      </c>
      <c r="G1113" s="20">
        <v>121401</v>
      </c>
      <c r="I1113" s="20">
        <v>12654</v>
      </c>
      <c r="K1113" s="20">
        <v>444997</v>
      </c>
      <c r="L1113" s="20">
        <v>6767</v>
      </c>
      <c r="M1113" s="20">
        <v>370</v>
      </c>
      <c r="W1113" s="20">
        <f t="shared" si="51"/>
        <v>595820</v>
      </c>
      <c r="X1113" s="36">
        <v>-74019</v>
      </c>
      <c r="Y1113" s="36">
        <v>-491220</v>
      </c>
      <c r="Z1113" s="36">
        <v>0</v>
      </c>
      <c r="AA1113" s="36">
        <v>-6021</v>
      </c>
      <c r="AB1113" s="36"/>
      <c r="AC1113" s="36"/>
      <c r="AD1113" s="36">
        <v>0</v>
      </c>
      <c r="AE1113" s="36"/>
      <c r="AF1113" s="36"/>
      <c r="AG1113" s="36"/>
      <c r="AH1113" s="36"/>
      <c r="AI1113" s="20">
        <f t="shared" si="52"/>
        <v>-571260</v>
      </c>
      <c r="AJ1113" s="20">
        <f t="shared" si="53"/>
        <v>24560</v>
      </c>
    </row>
    <row r="1114" spans="1:36" x14ac:dyDescent="0.2">
      <c r="A1114" s="17" t="s">
        <v>5708</v>
      </c>
      <c r="B1114" s="17">
        <v>43530</v>
      </c>
      <c r="C1114" s="20">
        <v>0</v>
      </c>
      <c r="D1114" s="20">
        <v>9631</v>
      </c>
      <c r="E1114" s="20">
        <v>9631</v>
      </c>
      <c r="F1114" s="20">
        <v>0</v>
      </c>
      <c r="G1114" s="20">
        <v>121401</v>
      </c>
      <c r="I1114" s="20">
        <v>12713</v>
      </c>
      <c r="K1114" s="20">
        <v>444997</v>
      </c>
      <c r="L1114" s="20">
        <v>6830</v>
      </c>
      <c r="M1114" s="20">
        <v>370</v>
      </c>
      <c r="W1114" s="20">
        <f t="shared" si="51"/>
        <v>595942</v>
      </c>
      <c r="X1114" s="36">
        <v>-74190</v>
      </c>
      <c r="Y1114" s="36">
        <v>-471255</v>
      </c>
      <c r="Z1114" s="36">
        <v>0</v>
      </c>
      <c r="AA1114" s="36">
        <v>-6076</v>
      </c>
      <c r="AB1114" s="36"/>
      <c r="AC1114" s="36"/>
      <c r="AD1114" s="36">
        <v>0</v>
      </c>
      <c r="AE1114" s="36"/>
      <c r="AF1114" s="36"/>
      <c r="AG1114" s="36"/>
      <c r="AH1114" s="36"/>
      <c r="AI1114" s="20">
        <f t="shared" si="52"/>
        <v>-551521</v>
      </c>
      <c r="AJ1114" s="20">
        <f t="shared" si="53"/>
        <v>44421</v>
      </c>
    </row>
    <row r="1115" spans="1:36" x14ac:dyDescent="0.2">
      <c r="A1115" s="17" t="s">
        <v>5709</v>
      </c>
      <c r="B1115" s="17">
        <v>43537</v>
      </c>
      <c r="C1115" s="20">
        <v>0</v>
      </c>
      <c r="D1115" s="20">
        <v>11511</v>
      </c>
      <c r="E1115" s="20">
        <v>11511</v>
      </c>
      <c r="F1115" s="20">
        <v>0</v>
      </c>
      <c r="G1115" s="20">
        <v>121401</v>
      </c>
      <c r="I1115" s="20">
        <v>12383</v>
      </c>
      <c r="K1115" s="20">
        <v>444997</v>
      </c>
      <c r="L1115" s="20">
        <v>7011</v>
      </c>
      <c r="M1115" s="20">
        <v>370</v>
      </c>
      <c r="W1115" s="20">
        <f t="shared" si="51"/>
        <v>597673</v>
      </c>
      <c r="X1115" s="36">
        <v>-74194</v>
      </c>
      <c r="Y1115" s="36">
        <v>-473585</v>
      </c>
      <c r="Z1115" s="36">
        <v>0</v>
      </c>
      <c r="AA1115" s="36">
        <v>-6050</v>
      </c>
      <c r="AB1115" s="36"/>
      <c r="AC1115" s="36"/>
      <c r="AD1115" s="36">
        <v>0</v>
      </c>
      <c r="AE1115" s="36"/>
      <c r="AF1115" s="36"/>
      <c r="AG1115" s="36"/>
      <c r="AH1115" s="36"/>
      <c r="AI1115" s="20">
        <f t="shared" si="52"/>
        <v>-553829</v>
      </c>
      <c r="AJ1115" s="20">
        <f t="shared" si="53"/>
        <v>43844</v>
      </c>
    </row>
    <row r="1116" spans="1:36" x14ac:dyDescent="0.2">
      <c r="A1116" s="17" t="s">
        <v>5710</v>
      </c>
      <c r="B1116" s="17">
        <v>43544</v>
      </c>
      <c r="C1116" s="20">
        <v>0</v>
      </c>
      <c r="D1116" s="20">
        <v>11916</v>
      </c>
      <c r="E1116" s="20">
        <v>11916</v>
      </c>
      <c r="F1116" s="20">
        <v>0</v>
      </c>
      <c r="G1116" s="20">
        <v>121401</v>
      </c>
      <c r="I1116" s="20">
        <v>12387</v>
      </c>
      <c r="K1116" s="20">
        <v>444997</v>
      </c>
      <c r="L1116" s="20">
        <v>4886</v>
      </c>
      <c r="M1116" s="20">
        <v>370</v>
      </c>
      <c r="W1116" s="20">
        <f t="shared" si="51"/>
        <v>595957</v>
      </c>
      <c r="X1116" s="36">
        <v>-74089</v>
      </c>
      <c r="Y1116" s="36">
        <v>-476641</v>
      </c>
      <c r="Z1116" s="36">
        <v>0</v>
      </c>
      <c r="AA1116" s="36">
        <v>-4545</v>
      </c>
      <c r="AB1116" s="36"/>
      <c r="AC1116" s="36"/>
      <c r="AD1116" s="36">
        <v>0</v>
      </c>
      <c r="AE1116" s="36"/>
      <c r="AF1116" s="36"/>
      <c r="AG1116" s="36"/>
      <c r="AH1116" s="36"/>
      <c r="AI1116" s="20">
        <f t="shared" si="52"/>
        <v>-555275</v>
      </c>
      <c r="AJ1116" s="20">
        <f t="shared" si="53"/>
        <v>40682</v>
      </c>
    </row>
    <row r="1117" spans="1:36" x14ac:dyDescent="0.2">
      <c r="A1117" s="17" t="s">
        <v>5711</v>
      </c>
      <c r="B1117" s="17">
        <v>43551</v>
      </c>
      <c r="C1117" s="20">
        <v>0</v>
      </c>
      <c r="D1117" s="20">
        <v>12086</v>
      </c>
      <c r="E1117" s="20">
        <v>12086</v>
      </c>
      <c r="F1117" s="20">
        <v>0</v>
      </c>
      <c r="G1117" s="20">
        <v>121401</v>
      </c>
      <c r="I1117" s="20">
        <v>12391</v>
      </c>
      <c r="K1117" s="20">
        <v>444997</v>
      </c>
      <c r="L1117" s="20">
        <v>4886</v>
      </c>
      <c r="M1117" s="20">
        <v>370</v>
      </c>
      <c r="W1117" s="20">
        <f t="shared" si="51"/>
        <v>596131</v>
      </c>
      <c r="X1117" s="36">
        <v>-74326</v>
      </c>
      <c r="Y1117" s="36">
        <v>-478655</v>
      </c>
      <c r="Z1117" s="36">
        <v>0</v>
      </c>
      <c r="AA1117" s="36">
        <v>-4548</v>
      </c>
      <c r="AB1117" s="36"/>
      <c r="AC1117" s="36"/>
      <c r="AD1117" s="36">
        <v>0</v>
      </c>
      <c r="AE1117" s="36"/>
      <c r="AF1117" s="36"/>
      <c r="AG1117" s="36"/>
      <c r="AH1117" s="36"/>
      <c r="AI1117" s="20">
        <f t="shared" si="52"/>
        <v>-557529</v>
      </c>
      <c r="AJ1117" s="20">
        <f t="shared" si="53"/>
        <v>38602</v>
      </c>
    </row>
    <row r="1118" spans="1:36" x14ac:dyDescent="0.2">
      <c r="A1118" s="17" t="s">
        <v>5712</v>
      </c>
      <c r="B1118" s="17">
        <v>43558</v>
      </c>
      <c r="C1118" s="20">
        <v>0</v>
      </c>
      <c r="D1118" s="20">
        <v>12561</v>
      </c>
      <c r="E1118" s="20">
        <v>12561</v>
      </c>
      <c r="F1118" s="20">
        <v>0</v>
      </c>
      <c r="G1118" s="20">
        <v>121250</v>
      </c>
      <c r="I1118" s="20">
        <v>12394</v>
      </c>
      <c r="K1118" s="20">
        <v>444997</v>
      </c>
      <c r="L1118" s="20">
        <v>5470</v>
      </c>
      <c r="M1118" s="20">
        <v>370</v>
      </c>
      <c r="W1118" s="20">
        <f t="shared" si="51"/>
        <v>597042</v>
      </c>
      <c r="X1118" s="36">
        <v>-74493</v>
      </c>
      <c r="Y1118" s="36">
        <v>-482697</v>
      </c>
      <c r="Z1118" s="36">
        <v>0</v>
      </c>
      <c r="AA1118" s="36">
        <v>-4568</v>
      </c>
      <c r="AB1118" s="36"/>
      <c r="AC1118" s="36"/>
      <c r="AD1118" s="36">
        <v>0</v>
      </c>
      <c r="AE1118" s="36"/>
      <c r="AF1118" s="36"/>
      <c r="AG1118" s="36"/>
      <c r="AH1118" s="36"/>
      <c r="AI1118" s="20">
        <f t="shared" si="52"/>
        <v>-561758</v>
      </c>
      <c r="AJ1118" s="20">
        <f t="shared" si="53"/>
        <v>35284</v>
      </c>
    </row>
    <row r="1119" spans="1:36" x14ac:dyDescent="0.2">
      <c r="A1119" s="17" t="s">
        <v>5713</v>
      </c>
      <c r="B1119" s="17">
        <v>43565</v>
      </c>
      <c r="C1119" s="20">
        <v>0</v>
      </c>
      <c r="D1119" s="20">
        <v>12611</v>
      </c>
      <c r="E1119" s="20">
        <v>12611</v>
      </c>
      <c r="F1119" s="20">
        <v>0</v>
      </c>
      <c r="G1119" s="20">
        <v>121250</v>
      </c>
      <c r="I1119" s="20">
        <v>12428</v>
      </c>
      <c r="K1119" s="20">
        <v>444997</v>
      </c>
      <c r="L1119" s="20">
        <v>5198</v>
      </c>
      <c r="M1119" s="20">
        <v>370</v>
      </c>
      <c r="W1119" s="20">
        <f t="shared" si="51"/>
        <v>596854</v>
      </c>
      <c r="X1119" s="36">
        <v>-74529</v>
      </c>
      <c r="Y1119" s="36">
        <v>-489268</v>
      </c>
      <c r="Z1119" s="36">
        <v>0</v>
      </c>
      <c r="AA1119" s="36">
        <v>-4596</v>
      </c>
      <c r="AB1119" s="36"/>
      <c r="AC1119" s="36"/>
      <c r="AD1119" s="36">
        <v>0</v>
      </c>
      <c r="AE1119" s="36"/>
      <c r="AF1119" s="36"/>
      <c r="AG1119" s="36"/>
      <c r="AH1119" s="36"/>
      <c r="AI1119" s="20">
        <f t="shared" si="52"/>
        <v>-568393</v>
      </c>
      <c r="AJ1119" s="20">
        <f t="shared" si="53"/>
        <v>28461</v>
      </c>
    </row>
    <row r="1120" spans="1:36" x14ac:dyDescent="0.2">
      <c r="A1120" s="17" t="s">
        <v>5714</v>
      </c>
      <c r="B1120" s="17">
        <v>43572</v>
      </c>
      <c r="C1120" s="20">
        <v>0</v>
      </c>
      <c r="D1120" s="20">
        <v>12841</v>
      </c>
      <c r="E1120" s="20">
        <v>12841</v>
      </c>
      <c r="F1120" s="20">
        <v>0</v>
      </c>
      <c r="G1120" s="20">
        <v>121250</v>
      </c>
      <c r="I1120" s="20">
        <v>12445</v>
      </c>
      <c r="K1120" s="20">
        <v>444997</v>
      </c>
      <c r="L1120" s="20">
        <v>4631</v>
      </c>
      <c r="M1120" s="20">
        <v>370</v>
      </c>
      <c r="W1120" s="20">
        <f t="shared" si="51"/>
        <v>596534</v>
      </c>
      <c r="X1120" s="36">
        <v>-74982</v>
      </c>
      <c r="Y1120" s="36">
        <v>-491067</v>
      </c>
      <c r="Z1120" s="36">
        <v>0</v>
      </c>
      <c r="AA1120" s="36">
        <v>-4606</v>
      </c>
      <c r="AB1120" s="36"/>
      <c r="AC1120" s="36"/>
      <c r="AD1120" s="36">
        <v>0</v>
      </c>
      <c r="AE1120" s="36"/>
      <c r="AF1120" s="36"/>
      <c r="AG1120" s="36"/>
      <c r="AH1120" s="36"/>
      <c r="AI1120" s="20">
        <f t="shared" si="52"/>
        <v>-570655</v>
      </c>
      <c r="AJ1120" s="20">
        <f t="shared" si="53"/>
        <v>25879</v>
      </c>
    </row>
    <row r="1121" spans="1:36" x14ac:dyDescent="0.2">
      <c r="A1121" s="17" t="s">
        <v>5715</v>
      </c>
      <c r="B1121" s="17">
        <v>43579</v>
      </c>
      <c r="C1121" s="20">
        <v>0</v>
      </c>
      <c r="D1121" s="20">
        <v>12903</v>
      </c>
      <c r="E1121" s="20">
        <v>12903</v>
      </c>
      <c r="F1121" s="20">
        <v>0</v>
      </c>
      <c r="G1121" s="20">
        <v>121250</v>
      </c>
      <c r="I1121" s="20">
        <v>12446</v>
      </c>
      <c r="K1121" s="20">
        <v>444997</v>
      </c>
      <c r="L1121" s="20">
        <v>4672</v>
      </c>
      <c r="M1121" s="20">
        <v>370</v>
      </c>
      <c r="W1121" s="20">
        <f t="shared" si="51"/>
        <v>596638</v>
      </c>
      <c r="X1121" s="36">
        <v>-75368</v>
      </c>
      <c r="Y1121" s="36">
        <v>-492892</v>
      </c>
      <c r="Z1121" s="36">
        <v>0</v>
      </c>
      <c r="AA1121" s="36">
        <v>-4647</v>
      </c>
      <c r="AB1121" s="36"/>
      <c r="AC1121" s="36"/>
      <c r="AD1121" s="36">
        <v>0</v>
      </c>
      <c r="AE1121" s="36"/>
      <c r="AF1121" s="36"/>
      <c r="AG1121" s="36"/>
      <c r="AH1121" s="36"/>
      <c r="AI1121" s="20">
        <f t="shared" si="52"/>
        <v>-572907</v>
      </c>
      <c r="AJ1121" s="20">
        <f t="shared" si="53"/>
        <v>23731</v>
      </c>
    </row>
    <row r="1122" spans="1:36" x14ac:dyDescent="0.2">
      <c r="A1122" s="17" t="s">
        <v>5716</v>
      </c>
      <c r="B1122" s="17">
        <v>43586</v>
      </c>
      <c r="C1122" s="20">
        <v>0</v>
      </c>
      <c r="D1122" s="20">
        <v>12943</v>
      </c>
      <c r="E1122" s="20">
        <v>12943</v>
      </c>
      <c r="F1122" s="20">
        <v>0</v>
      </c>
      <c r="G1122" s="20">
        <v>121249</v>
      </c>
      <c r="I1122" s="20">
        <v>12477</v>
      </c>
      <c r="K1122" s="20">
        <v>444997</v>
      </c>
      <c r="L1122" s="20">
        <v>4633</v>
      </c>
      <c r="M1122" s="20">
        <v>370</v>
      </c>
      <c r="W1122" s="20">
        <f t="shared" si="51"/>
        <v>596669</v>
      </c>
      <c r="X1122" s="36">
        <v>-74889</v>
      </c>
      <c r="Y1122" s="36">
        <v>-495534</v>
      </c>
      <c r="Z1122" s="36">
        <v>0</v>
      </c>
      <c r="AA1122" s="36">
        <v>-4609</v>
      </c>
      <c r="AB1122" s="36"/>
      <c r="AC1122" s="36"/>
      <c r="AD1122" s="36">
        <v>0</v>
      </c>
      <c r="AE1122" s="36"/>
      <c r="AF1122" s="36"/>
      <c r="AG1122" s="36"/>
      <c r="AH1122" s="36"/>
      <c r="AI1122" s="20">
        <f t="shared" si="52"/>
        <v>-575032</v>
      </c>
      <c r="AJ1122" s="20">
        <f t="shared" si="53"/>
        <v>21637</v>
      </c>
    </row>
    <row r="1123" spans="1:36" x14ac:dyDescent="0.2">
      <c r="A1123" s="17" t="s">
        <v>5717</v>
      </c>
      <c r="B1123" s="17">
        <v>43593</v>
      </c>
      <c r="C1123" s="20">
        <v>0</v>
      </c>
      <c r="D1123" s="20">
        <v>12963</v>
      </c>
      <c r="E1123" s="20">
        <v>12963</v>
      </c>
      <c r="F1123" s="20">
        <v>0</v>
      </c>
      <c r="G1123" s="20">
        <v>117239</v>
      </c>
      <c r="I1123" s="20">
        <v>12501</v>
      </c>
      <c r="K1123" s="20">
        <v>444997</v>
      </c>
      <c r="L1123" s="20">
        <v>4664</v>
      </c>
      <c r="M1123" s="20">
        <v>370</v>
      </c>
      <c r="W1123" s="20">
        <f t="shared" si="51"/>
        <v>592734</v>
      </c>
      <c r="X1123" s="36">
        <v>-75029</v>
      </c>
      <c r="Y1123" s="36">
        <v>-491878</v>
      </c>
      <c r="Z1123" s="36">
        <v>0</v>
      </c>
      <c r="AA1123" s="36">
        <v>-4639</v>
      </c>
      <c r="AB1123" s="36"/>
      <c r="AC1123" s="36"/>
      <c r="AD1123" s="36">
        <v>0</v>
      </c>
      <c r="AE1123" s="36"/>
      <c r="AF1123" s="36"/>
      <c r="AG1123" s="36"/>
      <c r="AH1123" s="36"/>
      <c r="AI1123" s="20">
        <f t="shared" si="52"/>
        <v>-571546</v>
      </c>
      <c r="AJ1123" s="20">
        <f t="shared" si="53"/>
        <v>21188</v>
      </c>
    </row>
    <row r="1124" spans="1:36" x14ac:dyDescent="0.2">
      <c r="A1124" s="17" t="s">
        <v>5718</v>
      </c>
      <c r="B1124" s="17">
        <v>43600</v>
      </c>
      <c r="C1124" s="20">
        <v>0</v>
      </c>
      <c r="D1124" s="20">
        <v>12816</v>
      </c>
      <c r="E1124" s="20">
        <v>12816</v>
      </c>
      <c r="F1124" s="20">
        <v>0</v>
      </c>
      <c r="G1124" s="20">
        <v>117239</v>
      </c>
      <c r="I1124" s="20">
        <v>12551</v>
      </c>
      <c r="K1124" s="20">
        <v>444997</v>
      </c>
      <c r="L1124" s="20">
        <v>4877</v>
      </c>
      <c r="M1124" s="20">
        <v>370</v>
      </c>
      <c r="W1124" s="20">
        <f t="shared" si="51"/>
        <v>592850</v>
      </c>
      <c r="X1124" s="36">
        <v>-74673</v>
      </c>
      <c r="Y1124" s="36">
        <v>-491822</v>
      </c>
      <c r="Z1124" s="36">
        <v>0</v>
      </c>
      <c r="AA1124" s="36">
        <v>-4698</v>
      </c>
      <c r="AB1124" s="36"/>
      <c r="AC1124" s="36"/>
      <c r="AD1124" s="36">
        <v>0</v>
      </c>
      <c r="AE1124" s="36"/>
      <c r="AF1124" s="36"/>
      <c r="AG1124" s="36"/>
      <c r="AH1124" s="36"/>
      <c r="AI1124" s="20">
        <f t="shared" si="52"/>
        <v>-571193</v>
      </c>
      <c r="AJ1124" s="20">
        <f t="shared" si="53"/>
        <v>21657</v>
      </c>
    </row>
    <row r="1125" spans="1:36" x14ac:dyDescent="0.2">
      <c r="A1125" s="17" t="s">
        <v>5719</v>
      </c>
      <c r="B1125" s="17">
        <v>43607</v>
      </c>
      <c r="C1125" s="20">
        <v>0</v>
      </c>
      <c r="D1125" s="20">
        <v>13571</v>
      </c>
      <c r="E1125" s="20">
        <v>13571</v>
      </c>
      <c r="F1125" s="20">
        <v>0</v>
      </c>
      <c r="G1125" s="20">
        <v>117239</v>
      </c>
      <c r="I1125" s="20">
        <v>12694</v>
      </c>
      <c r="K1125" s="20">
        <v>444997</v>
      </c>
      <c r="L1125" s="20">
        <v>4954</v>
      </c>
      <c r="M1125" s="20">
        <v>370</v>
      </c>
      <c r="W1125" s="20">
        <f t="shared" si="51"/>
        <v>593825</v>
      </c>
      <c r="X1125" s="36">
        <v>-74706</v>
      </c>
      <c r="Y1125" s="36">
        <v>-490866</v>
      </c>
      <c r="Z1125" s="36">
        <v>0</v>
      </c>
      <c r="AA1125" s="36">
        <v>-4774</v>
      </c>
      <c r="AB1125" s="36"/>
      <c r="AC1125" s="36"/>
      <c r="AD1125" s="36">
        <v>0</v>
      </c>
      <c r="AE1125" s="36"/>
      <c r="AF1125" s="36"/>
      <c r="AG1125" s="36"/>
      <c r="AH1125" s="36"/>
      <c r="AI1125" s="20">
        <f t="shared" si="52"/>
        <v>-570346</v>
      </c>
      <c r="AJ1125" s="20">
        <f t="shared" si="53"/>
        <v>23479</v>
      </c>
    </row>
    <row r="1126" spans="1:36" x14ac:dyDescent="0.2">
      <c r="A1126" s="17" t="s">
        <v>5720</v>
      </c>
      <c r="B1126" s="17">
        <v>43614</v>
      </c>
      <c r="C1126" s="20">
        <v>0</v>
      </c>
      <c r="D1126" s="20">
        <v>13571</v>
      </c>
      <c r="E1126" s="20">
        <v>13571</v>
      </c>
      <c r="F1126" s="20">
        <v>0</v>
      </c>
      <c r="G1126" s="20">
        <v>117238</v>
      </c>
      <c r="I1126" s="20">
        <v>12832</v>
      </c>
      <c r="K1126" s="20">
        <v>444997</v>
      </c>
      <c r="L1126" s="20">
        <v>4977</v>
      </c>
      <c r="M1126" s="20">
        <v>370</v>
      </c>
      <c r="W1126" s="20">
        <f t="shared" si="51"/>
        <v>593985</v>
      </c>
      <c r="X1126" s="36">
        <v>-75156</v>
      </c>
      <c r="Y1126" s="36">
        <v>-491997</v>
      </c>
      <c r="Z1126" s="36">
        <v>0</v>
      </c>
      <c r="AA1126" s="36">
        <v>-4795</v>
      </c>
      <c r="AB1126" s="36"/>
      <c r="AC1126" s="36"/>
      <c r="AD1126" s="36">
        <v>0</v>
      </c>
      <c r="AE1126" s="36"/>
      <c r="AF1126" s="36"/>
      <c r="AG1126" s="36"/>
      <c r="AH1126" s="36"/>
      <c r="AI1126" s="20">
        <f t="shared" si="52"/>
        <v>-571948</v>
      </c>
      <c r="AJ1126" s="20">
        <f t="shared" si="53"/>
        <v>22037</v>
      </c>
    </row>
    <row r="1127" spans="1:36" x14ac:dyDescent="0.2">
      <c r="A1127" s="17" t="s">
        <v>5721</v>
      </c>
      <c r="B1127" s="17">
        <v>43621</v>
      </c>
      <c r="C1127" s="20">
        <v>0</v>
      </c>
      <c r="D1127" s="20">
        <v>13646</v>
      </c>
      <c r="E1127" s="20">
        <v>13646</v>
      </c>
      <c r="F1127" s="20">
        <v>0</v>
      </c>
      <c r="G1127" s="20">
        <v>117238</v>
      </c>
      <c r="I1127" s="20">
        <v>13025</v>
      </c>
      <c r="K1127" s="20">
        <v>444997</v>
      </c>
      <c r="L1127" s="20">
        <v>4961</v>
      </c>
      <c r="M1127" s="20">
        <v>370</v>
      </c>
      <c r="W1127" s="20">
        <f t="shared" si="51"/>
        <v>594237</v>
      </c>
      <c r="X1127" s="36">
        <v>-75174</v>
      </c>
      <c r="Y1127" s="36">
        <v>-492925</v>
      </c>
      <c r="Z1127" s="36">
        <v>0</v>
      </c>
      <c r="AA1127" s="36">
        <v>-4779</v>
      </c>
      <c r="AB1127" s="36"/>
      <c r="AC1127" s="36"/>
      <c r="AD1127" s="36">
        <v>0</v>
      </c>
      <c r="AE1127" s="36"/>
      <c r="AF1127" s="36"/>
      <c r="AG1127" s="36"/>
      <c r="AH1127" s="36"/>
      <c r="AI1127" s="20">
        <f t="shared" si="52"/>
        <v>-572878</v>
      </c>
      <c r="AJ1127" s="20">
        <f t="shared" si="53"/>
        <v>21359</v>
      </c>
    </row>
    <row r="1128" spans="1:36" x14ac:dyDescent="0.2">
      <c r="A1128" s="17" t="s">
        <v>5722</v>
      </c>
      <c r="B1128" s="17">
        <v>43628</v>
      </c>
      <c r="C1128" s="20">
        <v>0</v>
      </c>
      <c r="D1128" s="20">
        <v>12823</v>
      </c>
      <c r="E1128" s="20">
        <v>12823</v>
      </c>
      <c r="F1128" s="20">
        <v>0</v>
      </c>
      <c r="G1128" s="20">
        <v>116943</v>
      </c>
      <c r="I1128" s="20">
        <v>13147</v>
      </c>
      <c r="K1128" s="20">
        <v>444997</v>
      </c>
      <c r="L1128" s="20">
        <v>4807</v>
      </c>
      <c r="M1128" s="20">
        <v>370</v>
      </c>
      <c r="W1128" s="20">
        <f t="shared" si="51"/>
        <v>593087</v>
      </c>
      <c r="X1128" s="36">
        <v>-75167</v>
      </c>
      <c r="Y1128" s="36">
        <v>-487661</v>
      </c>
      <c r="Z1128" s="36">
        <v>0</v>
      </c>
      <c r="AA1128" s="36">
        <v>-4781</v>
      </c>
      <c r="AB1128" s="36"/>
      <c r="AC1128" s="36"/>
      <c r="AD1128" s="36">
        <v>0</v>
      </c>
      <c r="AE1128" s="36"/>
      <c r="AF1128" s="36"/>
      <c r="AG1128" s="36"/>
      <c r="AH1128" s="36"/>
      <c r="AI1128" s="20">
        <f t="shared" si="52"/>
        <v>-567609</v>
      </c>
      <c r="AJ1128" s="20">
        <f t="shared" si="53"/>
        <v>25478</v>
      </c>
    </row>
    <row r="1129" spans="1:36" x14ac:dyDescent="0.2">
      <c r="A1129" s="17" t="s">
        <v>5723</v>
      </c>
      <c r="B1129" s="17">
        <v>43635</v>
      </c>
      <c r="C1129" s="20">
        <v>0</v>
      </c>
      <c r="D1129" s="20">
        <v>13128</v>
      </c>
      <c r="E1129" s="20">
        <v>13128</v>
      </c>
      <c r="F1129" s="20">
        <v>0</v>
      </c>
      <c r="G1129" s="20">
        <v>116943</v>
      </c>
      <c r="I1129" s="20">
        <v>13217</v>
      </c>
      <c r="K1129" s="20">
        <v>444997</v>
      </c>
      <c r="L1129" s="20">
        <v>4842</v>
      </c>
      <c r="M1129" s="20">
        <v>370</v>
      </c>
      <c r="W1129" s="20">
        <f t="shared" si="51"/>
        <v>593497</v>
      </c>
      <c r="X1129" s="36">
        <v>-75256</v>
      </c>
      <c r="Y1129" s="36">
        <v>-488356</v>
      </c>
      <c r="Z1129" s="36">
        <v>0</v>
      </c>
      <c r="AA1129" s="36">
        <v>-4816</v>
      </c>
      <c r="AB1129" s="36"/>
      <c r="AC1129" s="36"/>
      <c r="AD1129" s="36">
        <v>0</v>
      </c>
      <c r="AE1129" s="36"/>
      <c r="AF1129" s="36"/>
      <c r="AG1129" s="36"/>
      <c r="AH1129" s="36"/>
      <c r="AI1129" s="20">
        <f t="shared" si="52"/>
        <v>-568428</v>
      </c>
      <c r="AJ1129" s="20">
        <f t="shared" si="53"/>
        <v>25069</v>
      </c>
    </row>
    <row r="1130" spans="1:36" x14ac:dyDescent="0.2">
      <c r="A1130" s="17" t="s">
        <v>5724</v>
      </c>
      <c r="B1130" s="17">
        <v>43642</v>
      </c>
      <c r="C1130" s="20">
        <v>0</v>
      </c>
      <c r="D1130" s="20">
        <v>13228</v>
      </c>
      <c r="E1130" s="20">
        <v>13228</v>
      </c>
      <c r="F1130" s="20">
        <v>0</v>
      </c>
      <c r="G1130" s="20">
        <v>116742</v>
      </c>
      <c r="I1130" s="20">
        <v>13298</v>
      </c>
      <c r="K1130" s="20">
        <v>444997</v>
      </c>
      <c r="L1130" s="20">
        <v>4836</v>
      </c>
      <c r="M1130" s="20">
        <v>370</v>
      </c>
      <c r="W1130" s="20">
        <f t="shared" si="51"/>
        <v>593471</v>
      </c>
      <c r="X1130" s="36">
        <v>-75510</v>
      </c>
      <c r="Y1130" s="36">
        <v>-489961</v>
      </c>
      <c r="Z1130" s="36">
        <v>0</v>
      </c>
      <c r="AA1130" s="36">
        <v>-4808</v>
      </c>
      <c r="AB1130" s="36"/>
      <c r="AC1130" s="36"/>
      <c r="AD1130" s="36">
        <v>0</v>
      </c>
      <c r="AE1130" s="36"/>
      <c r="AF1130" s="36"/>
      <c r="AG1130" s="36"/>
      <c r="AH1130" s="36"/>
      <c r="AI1130" s="20">
        <f t="shared" si="52"/>
        <v>-570279</v>
      </c>
      <c r="AJ1130" s="20">
        <f t="shared" si="53"/>
        <v>23192</v>
      </c>
    </row>
    <row r="1131" spans="1:36" x14ac:dyDescent="0.2">
      <c r="A1131" s="17" t="s">
        <v>5725</v>
      </c>
      <c r="B1131" s="17">
        <v>43649</v>
      </c>
      <c r="C1131" s="20">
        <v>0</v>
      </c>
      <c r="D1131" s="20">
        <v>12528</v>
      </c>
      <c r="E1131" s="20">
        <v>12528</v>
      </c>
      <c r="F1131" s="20">
        <v>0</v>
      </c>
      <c r="G1131" s="20">
        <v>116742</v>
      </c>
      <c r="I1131" s="20">
        <v>13520</v>
      </c>
      <c r="K1131" s="20">
        <v>444997</v>
      </c>
      <c r="L1131" s="20">
        <v>4875</v>
      </c>
      <c r="M1131" s="20">
        <v>370</v>
      </c>
      <c r="W1131" s="20">
        <f t="shared" si="51"/>
        <v>593032</v>
      </c>
      <c r="X1131" s="36">
        <v>-75719</v>
      </c>
      <c r="Y1131" s="36">
        <v>-489015</v>
      </c>
      <c r="Z1131" s="36">
        <v>0</v>
      </c>
      <c r="AA1131" s="36">
        <v>-4850</v>
      </c>
      <c r="AB1131" s="36"/>
      <c r="AC1131" s="36"/>
      <c r="AD1131" s="36">
        <v>0</v>
      </c>
      <c r="AE1131" s="36"/>
      <c r="AF1131" s="36"/>
      <c r="AG1131" s="36"/>
      <c r="AH1131" s="36"/>
      <c r="AI1131" s="20">
        <f t="shared" si="52"/>
        <v>-569584</v>
      </c>
      <c r="AJ1131" s="20">
        <f t="shared" si="53"/>
        <v>23448</v>
      </c>
    </row>
    <row r="1132" spans="1:36" x14ac:dyDescent="0.2">
      <c r="A1132" s="17" t="s">
        <v>5726</v>
      </c>
      <c r="B1132" s="17">
        <v>43656</v>
      </c>
      <c r="C1132" s="20">
        <v>0</v>
      </c>
      <c r="D1132" s="20">
        <v>12778</v>
      </c>
      <c r="E1132" s="20">
        <v>12778</v>
      </c>
      <c r="F1132" s="20">
        <v>0</v>
      </c>
      <c r="G1132" s="20">
        <v>116742</v>
      </c>
      <c r="I1132" s="20">
        <v>13698</v>
      </c>
      <c r="K1132" s="20">
        <v>444997</v>
      </c>
      <c r="L1132" s="20">
        <v>4902</v>
      </c>
      <c r="M1132" s="20">
        <v>370</v>
      </c>
      <c r="W1132" s="20">
        <f t="shared" si="51"/>
        <v>593487</v>
      </c>
      <c r="X1132" s="36">
        <v>-75775</v>
      </c>
      <c r="Y1132" s="36">
        <v>-487373</v>
      </c>
      <c r="Z1132" s="36">
        <v>0</v>
      </c>
      <c r="AA1132" s="36">
        <v>-4877</v>
      </c>
      <c r="AB1132" s="36"/>
      <c r="AC1132" s="36"/>
      <c r="AD1132" s="36">
        <v>0</v>
      </c>
      <c r="AE1132" s="36"/>
      <c r="AF1132" s="36"/>
      <c r="AG1132" s="36"/>
      <c r="AH1132" s="36"/>
      <c r="AI1132" s="20">
        <f t="shared" si="52"/>
        <v>-568025</v>
      </c>
      <c r="AJ1132" s="20">
        <f t="shared" si="53"/>
        <v>25462</v>
      </c>
    </row>
    <row r="1133" spans="1:36" x14ac:dyDescent="0.2">
      <c r="A1133" s="17" t="s">
        <v>5727</v>
      </c>
      <c r="B1133" s="17">
        <v>43663</v>
      </c>
      <c r="C1133" s="20">
        <v>0</v>
      </c>
      <c r="D1133" s="20">
        <v>11858</v>
      </c>
      <c r="E1133" s="20">
        <v>11858</v>
      </c>
      <c r="F1133" s="20">
        <v>0</v>
      </c>
      <c r="G1133" s="20">
        <v>116742</v>
      </c>
      <c r="I1133" s="20">
        <v>13858</v>
      </c>
      <c r="K1133" s="20">
        <v>444997</v>
      </c>
      <c r="L1133" s="20">
        <v>4900</v>
      </c>
      <c r="M1133" s="20">
        <v>370</v>
      </c>
      <c r="W1133" s="20">
        <f t="shared" si="51"/>
        <v>592725</v>
      </c>
      <c r="X1133" s="36">
        <v>-75920</v>
      </c>
      <c r="Y1133" s="36">
        <v>-480773</v>
      </c>
      <c r="Z1133" s="36">
        <v>0</v>
      </c>
      <c r="AA1133" s="36">
        <v>-4904</v>
      </c>
      <c r="AB1133" s="36"/>
      <c r="AC1133" s="36"/>
      <c r="AD1133" s="36">
        <v>0</v>
      </c>
      <c r="AE1133" s="36"/>
      <c r="AF1133" s="36"/>
      <c r="AG1133" s="36"/>
      <c r="AH1133" s="36"/>
      <c r="AI1133" s="20">
        <f t="shared" si="52"/>
        <v>-561597</v>
      </c>
      <c r="AJ1133" s="20">
        <f t="shared" si="53"/>
        <v>31128</v>
      </c>
    </row>
    <row r="1134" spans="1:36" x14ac:dyDescent="0.2">
      <c r="A1134" s="17" t="s">
        <v>5728</v>
      </c>
      <c r="B1134" s="17">
        <v>43670</v>
      </c>
      <c r="C1134" s="20">
        <v>0</v>
      </c>
      <c r="D1134" s="20">
        <v>13438</v>
      </c>
      <c r="E1134" s="20">
        <v>13438</v>
      </c>
      <c r="F1134" s="20">
        <v>0</v>
      </c>
      <c r="G1134" s="20">
        <v>116742</v>
      </c>
      <c r="I1134" s="20">
        <v>13877</v>
      </c>
      <c r="K1134" s="20">
        <v>444997</v>
      </c>
      <c r="L1134" s="20">
        <v>4876</v>
      </c>
      <c r="M1134" s="20">
        <v>370</v>
      </c>
      <c r="W1134" s="20">
        <f t="shared" si="51"/>
        <v>594300</v>
      </c>
      <c r="X1134" s="36">
        <v>-76021</v>
      </c>
      <c r="Y1134" s="36">
        <v>-487025</v>
      </c>
      <c r="Z1134" s="36">
        <v>0</v>
      </c>
      <c r="AA1134" s="36">
        <v>-4881</v>
      </c>
      <c r="AB1134" s="36"/>
      <c r="AC1134" s="36"/>
      <c r="AD1134" s="36">
        <v>0</v>
      </c>
      <c r="AE1134" s="36"/>
      <c r="AF1134" s="36"/>
      <c r="AG1134" s="36"/>
      <c r="AH1134" s="36"/>
      <c r="AI1134" s="20">
        <f t="shared" si="52"/>
        <v>-567927</v>
      </c>
      <c r="AJ1134" s="20">
        <f t="shared" si="53"/>
        <v>26373</v>
      </c>
    </row>
    <row r="1135" spans="1:36" x14ac:dyDescent="0.2">
      <c r="A1135" s="17" t="s">
        <v>5729</v>
      </c>
      <c r="B1135" s="17">
        <v>43677</v>
      </c>
      <c r="C1135" s="20">
        <v>0</v>
      </c>
      <c r="D1135" s="20">
        <v>13538</v>
      </c>
      <c r="E1135" s="20">
        <v>13538</v>
      </c>
      <c r="F1135" s="20">
        <v>0</v>
      </c>
      <c r="G1135" s="20">
        <v>116742</v>
      </c>
      <c r="I1135" s="20">
        <v>13905</v>
      </c>
      <c r="K1135" s="20">
        <v>444997</v>
      </c>
      <c r="L1135" s="20">
        <v>5141</v>
      </c>
      <c r="M1135" s="20">
        <v>370</v>
      </c>
      <c r="W1135" s="20">
        <f t="shared" si="51"/>
        <v>594693</v>
      </c>
      <c r="X1135" s="36">
        <v>-76168</v>
      </c>
      <c r="Y1135" s="36">
        <v>-486936</v>
      </c>
      <c r="Z1135" s="36">
        <v>0</v>
      </c>
      <c r="AA1135" s="36">
        <v>-4986</v>
      </c>
      <c r="AB1135" s="36"/>
      <c r="AC1135" s="36"/>
      <c r="AD1135" s="36">
        <v>0</v>
      </c>
      <c r="AE1135" s="36"/>
      <c r="AF1135" s="36"/>
      <c r="AG1135" s="36"/>
      <c r="AH1135" s="36"/>
      <c r="AI1135" s="20">
        <f t="shared" si="52"/>
        <v>-568090</v>
      </c>
      <c r="AJ1135" s="20">
        <f t="shared" si="53"/>
        <v>26603</v>
      </c>
    </row>
    <row r="1136" spans="1:36" x14ac:dyDescent="0.2">
      <c r="A1136" s="17" t="s">
        <v>5730</v>
      </c>
      <c r="B1136" s="17">
        <v>43684</v>
      </c>
      <c r="C1136" s="20">
        <v>0</v>
      </c>
      <c r="D1136" s="20">
        <v>13823</v>
      </c>
      <c r="E1136" s="20">
        <v>13823</v>
      </c>
      <c r="F1136" s="20">
        <v>0</v>
      </c>
      <c r="G1136" s="20">
        <v>116742</v>
      </c>
      <c r="I1136" s="20">
        <v>13933</v>
      </c>
      <c r="K1136" s="20">
        <v>444997</v>
      </c>
      <c r="L1136" s="20">
        <v>5206</v>
      </c>
      <c r="M1136" s="20">
        <v>370</v>
      </c>
      <c r="W1136" s="20">
        <f t="shared" si="51"/>
        <v>595071</v>
      </c>
      <c r="X1136" s="36">
        <v>-76302</v>
      </c>
      <c r="Y1136" s="36">
        <v>-487676</v>
      </c>
      <c r="Z1136" s="36">
        <v>0</v>
      </c>
      <c r="AA1136" s="36">
        <v>-5045</v>
      </c>
      <c r="AB1136" s="36"/>
      <c r="AC1136" s="36"/>
      <c r="AD1136" s="36">
        <v>0</v>
      </c>
      <c r="AE1136" s="36"/>
      <c r="AF1136" s="36"/>
      <c r="AG1136" s="36"/>
      <c r="AH1136" s="36"/>
      <c r="AI1136" s="20">
        <f t="shared" si="52"/>
        <v>-569023</v>
      </c>
      <c r="AJ1136" s="20">
        <f t="shared" si="53"/>
        <v>26048</v>
      </c>
    </row>
    <row r="1137" spans="1:36" x14ac:dyDescent="0.2">
      <c r="A1137" s="17" t="s">
        <v>5731</v>
      </c>
      <c r="B1137" s="17">
        <v>43691</v>
      </c>
      <c r="C1137" s="20">
        <v>0</v>
      </c>
      <c r="D1137" s="20">
        <v>11743</v>
      </c>
      <c r="E1137" s="20">
        <v>11743</v>
      </c>
      <c r="F1137" s="20">
        <v>0</v>
      </c>
      <c r="G1137" s="20">
        <v>116742</v>
      </c>
      <c r="I1137" s="20">
        <v>13967</v>
      </c>
      <c r="K1137" s="20">
        <v>444997</v>
      </c>
      <c r="L1137" s="20">
        <v>5244</v>
      </c>
      <c r="M1137" s="20">
        <v>370</v>
      </c>
      <c r="W1137" s="20">
        <f t="shared" si="51"/>
        <v>593063</v>
      </c>
      <c r="X1137" s="36">
        <v>-76265</v>
      </c>
      <c r="Y1137" s="36">
        <v>-487144</v>
      </c>
      <c r="Z1137" s="36">
        <v>0</v>
      </c>
      <c r="AA1137" s="36">
        <v>-5083</v>
      </c>
      <c r="AB1137" s="36"/>
      <c r="AC1137" s="36"/>
      <c r="AD1137" s="36">
        <v>0</v>
      </c>
      <c r="AE1137" s="36"/>
      <c r="AF1137" s="36"/>
      <c r="AG1137" s="36"/>
      <c r="AH1137" s="36"/>
      <c r="AI1137" s="20">
        <f t="shared" si="52"/>
        <v>-568492</v>
      </c>
      <c r="AJ1137" s="20">
        <f t="shared" si="53"/>
        <v>24571</v>
      </c>
    </row>
    <row r="1138" spans="1:36" x14ac:dyDescent="0.2">
      <c r="A1138" s="17" t="s">
        <v>5732</v>
      </c>
      <c r="B1138" s="17">
        <v>43698</v>
      </c>
      <c r="C1138" s="20">
        <v>0</v>
      </c>
      <c r="D1138" s="20">
        <v>11768</v>
      </c>
      <c r="E1138" s="20">
        <v>11768</v>
      </c>
      <c r="F1138" s="20">
        <v>0</v>
      </c>
      <c r="G1138" s="20">
        <v>116726</v>
      </c>
      <c r="I1138" s="20">
        <v>13986</v>
      </c>
      <c r="K1138" s="20">
        <v>444997</v>
      </c>
      <c r="L1138" s="20">
        <v>5221</v>
      </c>
      <c r="M1138" s="20">
        <v>370</v>
      </c>
      <c r="W1138" s="20">
        <f t="shared" si="51"/>
        <v>593068</v>
      </c>
      <c r="X1138" s="36">
        <v>-76358</v>
      </c>
      <c r="Y1138" s="36">
        <v>-486850</v>
      </c>
      <c r="Z1138" s="36">
        <v>0</v>
      </c>
      <c r="AA1138" s="36">
        <v>-5057</v>
      </c>
      <c r="AB1138" s="36"/>
      <c r="AC1138" s="36"/>
      <c r="AD1138" s="36">
        <v>0</v>
      </c>
      <c r="AE1138" s="36"/>
      <c r="AF1138" s="36"/>
      <c r="AG1138" s="36"/>
      <c r="AH1138" s="36"/>
      <c r="AI1138" s="20">
        <f t="shared" si="52"/>
        <v>-568265</v>
      </c>
      <c r="AJ1138" s="20">
        <f t="shared" si="53"/>
        <v>24803</v>
      </c>
    </row>
    <row r="1139" spans="1:36" x14ac:dyDescent="0.2">
      <c r="A1139" s="17" t="s">
        <v>5733</v>
      </c>
      <c r="B1139" s="17">
        <v>43705</v>
      </c>
      <c r="C1139" s="20">
        <v>0</v>
      </c>
      <c r="D1139" s="20">
        <v>11873</v>
      </c>
      <c r="E1139" s="20">
        <v>11873</v>
      </c>
      <c r="F1139" s="20">
        <v>0</v>
      </c>
      <c r="G1139" s="20">
        <v>116276</v>
      </c>
      <c r="I1139" s="20">
        <v>14001</v>
      </c>
      <c r="K1139" s="20">
        <v>444997</v>
      </c>
      <c r="L1139" s="20">
        <v>5164</v>
      </c>
      <c r="M1139" s="20">
        <v>370</v>
      </c>
      <c r="W1139" s="20">
        <f t="shared" si="51"/>
        <v>592681</v>
      </c>
      <c r="X1139" s="36">
        <v>-76559</v>
      </c>
      <c r="Y1139" s="36">
        <v>-477604</v>
      </c>
      <c r="Z1139" s="36">
        <v>0</v>
      </c>
      <c r="AA1139" s="36">
        <v>-5004</v>
      </c>
      <c r="AB1139" s="36"/>
      <c r="AC1139" s="36"/>
      <c r="AD1139" s="36">
        <v>0</v>
      </c>
      <c r="AE1139" s="36"/>
      <c r="AF1139" s="36"/>
      <c r="AG1139" s="36"/>
      <c r="AH1139" s="36"/>
      <c r="AI1139" s="20">
        <f t="shared" si="52"/>
        <v>-559167</v>
      </c>
      <c r="AJ1139" s="20">
        <f t="shared" si="53"/>
        <v>33514</v>
      </c>
    </row>
    <row r="1140" spans="1:36" x14ac:dyDescent="0.2">
      <c r="A1140" s="17" t="s">
        <v>5734</v>
      </c>
      <c r="B1140" s="17">
        <v>43712</v>
      </c>
      <c r="C1140" s="20">
        <v>0</v>
      </c>
      <c r="D1140" s="20">
        <v>11893</v>
      </c>
      <c r="E1140" s="20">
        <v>11893</v>
      </c>
      <c r="F1140" s="20">
        <v>0</v>
      </c>
      <c r="G1140" s="20">
        <v>116266</v>
      </c>
      <c r="I1140" s="20">
        <v>14053</v>
      </c>
      <c r="K1140" s="20">
        <v>444997</v>
      </c>
      <c r="L1140" s="20">
        <v>5180</v>
      </c>
      <c r="M1140" s="20">
        <v>370</v>
      </c>
      <c r="W1140" s="20">
        <f t="shared" ref="W1140:W1203" si="54">SUM(C1140:D1140,G1140:M1140)</f>
        <v>592759</v>
      </c>
      <c r="X1140" s="36">
        <v>-76451</v>
      </c>
      <c r="Y1140" s="36">
        <v>-466583</v>
      </c>
      <c r="Z1140" s="36">
        <v>0</v>
      </c>
      <c r="AA1140" s="36">
        <v>-5020</v>
      </c>
      <c r="AB1140" s="36"/>
      <c r="AC1140" s="36"/>
      <c r="AD1140" s="36">
        <v>0</v>
      </c>
      <c r="AE1140" s="36"/>
      <c r="AF1140" s="36"/>
      <c r="AG1140" s="36"/>
      <c r="AH1140" s="36"/>
      <c r="AI1140" s="20">
        <f t="shared" si="52"/>
        <v>-548054</v>
      </c>
      <c r="AJ1140" s="20">
        <f t="shared" si="53"/>
        <v>44705</v>
      </c>
    </row>
    <row r="1141" spans="1:36" x14ac:dyDescent="0.2">
      <c r="A1141" s="17" t="s">
        <v>5735</v>
      </c>
      <c r="B1141" s="17">
        <v>43719</v>
      </c>
      <c r="C1141" s="20">
        <v>0</v>
      </c>
      <c r="D1141" s="20">
        <v>8892</v>
      </c>
      <c r="E1141" s="20">
        <v>8892</v>
      </c>
      <c r="F1141" s="20">
        <v>0</v>
      </c>
      <c r="G1141" s="20">
        <v>116266</v>
      </c>
      <c r="I1141" s="20">
        <v>13768</v>
      </c>
      <c r="K1141" s="20">
        <v>444997</v>
      </c>
      <c r="L1141" s="20">
        <v>5076</v>
      </c>
      <c r="M1141" s="20">
        <v>370</v>
      </c>
      <c r="W1141" s="20">
        <f t="shared" si="54"/>
        <v>589369</v>
      </c>
      <c r="X1141" s="36">
        <v>-76300</v>
      </c>
      <c r="Y1141" s="36">
        <v>-468687</v>
      </c>
      <c r="Z1141" s="36">
        <v>0</v>
      </c>
      <c r="AA1141" s="36">
        <v>-4917</v>
      </c>
      <c r="AB1141" s="36"/>
      <c r="AC1141" s="36"/>
      <c r="AD1141" s="36">
        <v>0</v>
      </c>
      <c r="AE1141" s="36"/>
      <c r="AF1141" s="36"/>
      <c r="AG1141" s="36"/>
      <c r="AH1141" s="36"/>
      <c r="AI1141" s="20">
        <f t="shared" si="52"/>
        <v>-549904</v>
      </c>
      <c r="AJ1141" s="20">
        <f t="shared" si="53"/>
        <v>39465</v>
      </c>
    </row>
    <row r="1142" spans="1:36" x14ac:dyDescent="0.2">
      <c r="A1142" s="17" t="s">
        <v>5736</v>
      </c>
      <c r="B1142" s="17">
        <v>43726</v>
      </c>
      <c r="C1142" s="20">
        <v>0</v>
      </c>
      <c r="D1142" s="20">
        <v>8917</v>
      </c>
      <c r="E1142" s="20">
        <v>8917</v>
      </c>
      <c r="F1142" s="20">
        <v>0</v>
      </c>
      <c r="G1142" s="20">
        <v>116156</v>
      </c>
      <c r="I1142" s="20">
        <v>13794</v>
      </c>
      <c r="K1142" s="20">
        <v>444997</v>
      </c>
      <c r="L1142" s="20">
        <v>5013</v>
      </c>
      <c r="M1142" s="20">
        <v>370</v>
      </c>
      <c r="W1142" s="20">
        <f t="shared" si="54"/>
        <v>589247</v>
      </c>
      <c r="X1142" s="36">
        <v>-76154</v>
      </c>
      <c r="Y1142" s="36">
        <v>-472920</v>
      </c>
      <c r="Z1142" s="36">
        <v>0</v>
      </c>
      <c r="AA1142" s="36">
        <v>-4855</v>
      </c>
      <c r="AB1142" s="36"/>
      <c r="AC1142" s="36"/>
      <c r="AD1142" s="36">
        <v>0</v>
      </c>
      <c r="AE1142" s="36"/>
      <c r="AF1142" s="36"/>
      <c r="AG1142" s="36"/>
      <c r="AH1142" s="36"/>
      <c r="AI1142" s="20">
        <f t="shared" si="52"/>
        <v>-553929</v>
      </c>
      <c r="AJ1142" s="20">
        <f t="shared" si="53"/>
        <v>35318</v>
      </c>
    </row>
    <row r="1143" spans="1:36" x14ac:dyDescent="0.2">
      <c r="A1143" s="17" t="s">
        <v>5737</v>
      </c>
      <c r="B1143" s="17">
        <v>43733</v>
      </c>
      <c r="C1143" s="20">
        <v>0</v>
      </c>
      <c r="D1143" s="20">
        <v>8917</v>
      </c>
      <c r="E1143" s="20">
        <v>8917</v>
      </c>
      <c r="F1143" s="20">
        <v>0</v>
      </c>
      <c r="G1143" s="20">
        <v>115292</v>
      </c>
      <c r="I1143" s="20">
        <v>13822</v>
      </c>
      <c r="K1143" s="20">
        <v>444997</v>
      </c>
      <c r="L1143" s="20">
        <v>5061</v>
      </c>
      <c r="M1143" s="20">
        <v>370</v>
      </c>
      <c r="W1143" s="20">
        <f t="shared" si="54"/>
        <v>588459</v>
      </c>
      <c r="X1143" s="36">
        <v>-76128</v>
      </c>
      <c r="Y1143" s="36">
        <v>-476654</v>
      </c>
      <c r="Z1143" s="36">
        <v>0</v>
      </c>
      <c r="AA1143" s="36">
        <v>-4901</v>
      </c>
      <c r="AB1143" s="36"/>
      <c r="AC1143" s="36"/>
      <c r="AD1143" s="36">
        <v>0</v>
      </c>
      <c r="AE1143" s="36"/>
      <c r="AF1143" s="36"/>
      <c r="AG1143" s="36"/>
      <c r="AH1143" s="36"/>
      <c r="AI1143" s="20">
        <f t="shared" si="52"/>
        <v>-557683</v>
      </c>
      <c r="AJ1143" s="20">
        <f t="shared" si="53"/>
        <v>30776</v>
      </c>
    </row>
    <row r="1144" spans="1:36" x14ac:dyDescent="0.2">
      <c r="A1144" s="17" t="s">
        <v>5738</v>
      </c>
      <c r="B1144" s="17">
        <v>43740</v>
      </c>
      <c r="C1144" s="20">
        <v>0</v>
      </c>
      <c r="D1144" s="20">
        <v>8997</v>
      </c>
      <c r="E1144" s="20">
        <v>8997</v>
      </c>
      <c r="F1144" s="20">
        <v>0</v>
      </c>
      <c r="G1144" s="20">
        <v>114453</v>
      </c>
      <c r="I1144" s="20">
        <v>13856</v>
      </c>
      <c r="K1144" s="20">
        <v>444997</v>
      </c>
      <c r="L1144" s="20">
        <v>5101</v>
      </c>
      <c r="M1144" s="20">
        <v>370</v>
      </c>
      <c r="W1144" s="20">
        <f t="shared" si="54"/>
        <v>587774</v>
      </c>
      <c r="X1144" s="36">
        <v>-76143</v>
      </c>
      <c r="Y1144" s="36">
        <v>-480443</v>
      </c>
      <c r="Z1144" s="36">
        <v>0</v>
      </c>
      <c r="AA1144" s="36">
        <v>-4942</v>
      </c>
      <c r="AB1144" s="36"/>
      <c r="AC1144" s="36"/>
      <c r="AD1144" s="36">
        <v>0</v>
      </c>
      <c r="AE1144" s="36"/>
      <c r="AF1144" s="36"/>
      <c r="AG1144" s="36"/>
      <c r="AH1144" s="36"/>
      <c r="AI1144" s="20">
        <f t="shared" si="52"/>
        <v>-561528</v>
      </c>
      <c r="AJ1144" s="20">
        <f t="shared" si="53"/>
        <v>26246</v>
      </c>
    </row>
    <row r="1145" spans="1:36" x14ac:dyDescent="0.2">
      <c r="A1145" s="17" t="s">
        <v>5739</v>
      </c>
      <c r="B1145" s="17">
        <v>43747</v>
      </c>
      <c r="C1145" s="20">
        <v>0</v>
      </c>
      <c r="D1145" s="20">
        <v>8673</v>
      </c>
      <c r="E1145" s="20">
        <v>8673</v>
      </c>
      <c r="F1145" s="20">
        <v>0</v>
      </c>
      <c r="G1145" s="20">
        <v>114453</v>
      </c>
      <c r="I1145" s="20">
        <v>13882</v>
      </c>
      <c r="K1145" s="20">
        <v>444997</v>
      </c>
      <c r="L1145" s="20">
        <v>5143</v>
      </c>
      <c r="M1145" s="20">
        <v>370</v>
      </c>
      <c r="W1145" s="20">
        <f t="shared" si="54"/>
        <v>587518</v>
      </c>
      <c r="X1145" s="36">
        <v>-76040</v>
      </c>
      <c r="Y1145" s="36">
        <v>-484757</v>
      </c>
      <c r="Z1145" s="36">
        <v>0</v>
      </c>
      <c r="AA1145" s="36">
        <v>-4982</v>
      </c>
      <c r="AB1145" s="36"/>
      <c r="AC1145" s="36"/>
      <c r="AD1145" s="36">
        <v>0</v>
      </c>
      <c r="AE1145" s="36"/>
      <c r="AF1145" s="36"/>
      <c r="AG1145" s="36"/>
      <c r="AH1145" s="36"/>
      <c r="AI1145" s="20">
        <f t="shared" si="52"/>
        <v>-565779</v>
      </c>
      <c r="AJ1145" s="20">
        <f t="shared" si="53"/>
        <v>21739</v>
      </c>
    </row>
    <row r="1146" spans="1:36" x14ac:dyDescent="0.2">
      <c r="A1146" s="17" t="s">
        <v>5740</v>
      </c>
      <c r="B1146" s="17">
        <v>43754</v>
      </c>
      <c r="C1146" s="20">
        <v>0</v>
      </c>
      <c r="D1146" s="20">
        <v>9033</v>
      </c>
      <c r="E1146" s="20">
        <v>9033</v>
      </c>
      <c r="F1146" s="20">
        <v>0</v>
      </c>
      <c r="G1146" s="20">
        <v>114453</v>
      </c>
      <c r="I1146" s="20">
        <v>13920</v>
      </c>
      <c r="K1146" s="20">
        <v>444997</v>
      </c>
      <c r="L1146" s="20">
        <v>4902</v>
      </c>
      <c r="M1146" s="20">
        <v>370</v>
      </c>
      <c r="W1146" s="20">
        <f t="shared" si="54"/>
        <v>587675</v>
      </c>
      <c r="X1146" s="36">
        <v>-76000</v>
      </c>
      <c r="Y1146" s="36">
        <v>-484528</v>
      </c>
      <c r="Z1146" s="36">
        <v>0</v>
      </c>
      <c r="AA1146" s="36">
        <v>-4747</v>
      </c>
      <c r="AB1146" s="36"/>
      <c r="AC1146" s="36"/>
      <c r="AD1146" s="36">
        <v>0</v>
      </c>
      <c r="AE1146" s="36"/>
      <c r="AF1146" s="36"/>
      <c r="AG1146" s="36"/>
      <c r="AH1146" s="36"/>
      <c r="AI1146" s="20">
        <f t="shared" si="52"/>
        <v>-565275</v>
      </c>
      <c r="AJ1146" s="20">
        <f t="shared" si="53"/>
        <v>22400</v>
      </c>
    </row>
    <row r="1147" spans="1:36" x14ac:dyDescent="0.2">
      <c r="A1147" s="17" t="s">
        <v>5741</v>
      </c>
      <c r="B1147" s="17">
        <v>43761</v>
      </c>
      <c r="C1147" s="20">
        <v>0</v>
      </c>
      <c r="D1147" s="20">
        <v>9398</v>
      </c>
      <c r="E1147" s="20">
        <v>9398</v>
      </c>
      <c r="F1147" s="20">
        <v>0</v>
      </c>
      <c r="G1147" s="20">
        <v>114439</v>
      </c>
      <c r="I1147" s="20">
        <v>13935</v>
      </c>
      <c r="K1147" s="20">
        <v>444997</v>
      </c>
      <c r="L1147" s="20">
        <v>4960</v>
      </c>
      <c r="M1147" s="20">
        <v>370</v>
      </c>
      <c r="W1147" s="20">
        <f t="shared" si="54"/>
        <v>588099</v>
      </c>
      <c r="X1147" s="36">
        <v>-75994</v>
      </c>
      <c r="Y1147" s="36">
        <v>-484366</v>
      </c>
      <c r="Z1147" s="36">
        <v>0</v>
      </c>
      <c r="AA1147" s="36">
        <v>-4718</v>
      </c>
      <c r="AB1147" s="36"/>
      <c r="AC1147" s="36"/>
      <c r="AD1147" s="36">
        <v>0</v>
      </c>
      <c r="AE1147" s="36"/>
      <c r="AF1147" s="36"/>
      <c r="AG1147" s="36"/>
      <c r="AH1147" s="36"/>
      <c r="AI1147" s="20">
        <f t="shared" si="52"/>
        <v>-565078</v>
      </c>
      <c r="AJ1147" s="20">
        <f t="shared" si="53"/>
        <v>23021</v>
      </c>
    </row>
    <row r="1148" spans="1:36" x14ac:dyDescent="0.2">
      <c r="A1148" s="17" t="s">
        <v>5742</v>
      </c>
      <c r="B1148" s="17">
        <v>43768</v>
      </c>
      <c r="C1148" s="20">
        <v>0</v>
      </c>
      <c r="D1148" s="20">
        <v>10038</v>
      </c>
      <c r="E1148" s="20">
        <v>10038</v>
      </c>
      <c r="F1148" s="20">
        <v>0</v>
      </c>
      <c r="G1148" s="20">
        <v>114429</v>
      </c>
      <c r="I1148" s="20">
        <v>13961</v>
      </c>
      <c r="K1148" s="20">
        <v>444997</v>
      </c>
      <c r="L1148" s="20">
        <v>5106</v>
      </c>
      <c r="M1148" s="20">
        <v>370</v>
      </c>
      <c r="W1148" s="20">
        <f t="shared" si="54"/>
        <v>588901</v>
      </c>
      <c r="X1148" s="36">
        <v>-75937</v>
      </c>
      <c r="Y1148" s="36">
        <v>-485886</v>
      </c>
      <c r="Z1148" s="36">
        <v>0</v>
      </c>
      <c r="AA1148" s="36">
        <v>-4721</v>
      </c>
      <c r="AB1148" s="36"/>
      <c r="AC1148" s="36"/>
      <c r="AD1148" s="36">
        <v>0</v>
      </c>
      <c r="AE1148" s="36"/>
      <c r="AF1148" s="36"/>
      <c r="AG1148" s="36"/>
      <c r="AH1148" s="36"/>
      <c r="AI1148" s="20">
        <f t="shared" si="52"/>
        <v>-566544</v>
      </c>
      <c r="AJ1148" s="20">
        <f t="shared" si="53"/>
        <v>22357</v>
      </c>
    </row>
    <row r="1149" spans="1:36" x14ac:dyDescent="0.2">
      <c r="A1149" s="17" t="s">
        <v>5743</v>
      </c>
      <c r="B1149" s="17">
        <v>43775</v>
      </c>
      <c r="C1149" s="20">
        <v>0</v>
      </c>
      <c r="D1149" s="20">
        <v>10188</v>
      </c>
      <c r="E1149" s="20">
        <v>10188</v>
      </c>
      <c r="F1149" s="20">
        <v>0</v>
      </c>
      <c r="G1149" s="20">
        <v>114429</v>
      </c>
      <c r="I1149" s="20">
        <v>13980</v>
      </c>
      <c r="K1149" s="20">
        <v>444997</v>
      </c>
      <c r="L1149" s="20">
        <v>4966</v>
      </c>
      <c r="M1149" s="20">
        <v>370</v>
      </c>
      <c r="W1149" s="20">
        <f t="shared" si="54"/>
        <v>588930</v>
      </c>
      <c r="X1149" s="36">
        <v>-75779</v>
      </c>
      <c r="Y1149" s="36">
        <v>-487077</v>
      </c>
      <c r="Z1149" s="36">
        <v>0</v>
      </c>
      <c r="AA1149" s="36">
        <v>-4723</v>
      </c>
      <c r="AB1149" s="36"/>
      <c r="AC1149" s="36"/>
      <c r="AD1149" s="36">
        <v>0</v>
      </c>
      <c r="AE1149" s="36"/>
      <c r="AF1149" s="36"/>
      <c r="AG1149" s="36"/>
      <c r="AH1149" s="36"/>
      <c r="AI1149" s="20">
        <f t="shared" si="52"/>
        <v>-567579</v>
      </c>
      <c r="AJ1149" s="20">
        <f t="shared" si="53"/>
        <v>21351</v>
      </c>
    </row>
    <row r="1150" spans="1:36" x14ac:dyDescent="0.2">
      <c r="A1150" s="17" t="s">
        <v>5744</v>
      </c>
      <c r="B1150" s="17">
        <v>43782</v>
      </c>
      <c r="C1150" s="20">
        <v>0</v>
      </c>
      <c r="D1150" s="20">
        <v>9093</v>
      </c>
      <c r="E1150" s="20">
        <v>9093</v>
      </c>
      <c r="F1150" s="20">
        <v>0</v>
      </c>
      <c r="G1150" s="20">
        <v>114429</v>
      </c>
      <c r="I1150" s="20">
        <v>14015</v>
      </c>
      <c r="K1150" s="20">
        <v>444997</v>
      </c>
      <c r="L1150" s="20">
        <v>4978</v>
      </c>
      <c r="M1150" s="20">
        <v>370</v>
      </c>
      <c r="W1150" s="20">
        <f t="shared" si="54"/>
        <v>587882</v>
      </c>
      <c r="X1150" s="36">
        <v>-75644</v>
      </c>
      <c r="Y1150" s="36">
        <v>-485724</v>
      </c>
      <c r="Z1150" s="36">
        <v>0</v>
      </c>
      <c r="AA1150" s="36">
        <v>-4734</v>
      </c>
      <c r="AB1150" s="36"/>
      <c r="AC1150" s="36"/>
      <c r="AD1150" s="36">
        <v>0</v>
      </c>
      <c r="AE1150" s="36"/>
      <c r="AF1150" s="36"/>
      <c r="AG1150" s="36"/>
      <c r="AH1150" s="36"/>
      <c r="AI1150" s="20">
        <f t="shared" si="52"/>
        <v>-566102</v>
      </c>
      <c r="AJ1150" s="20">
        <f t="shared" si="53"/>
        <v>21780</v>
      </c>
    </row>
    <row r="1151" spans="1:36" x14ac:dyDescent="0.2">
      <c r="A1151" s="17" t="s">
        <v>5745</v>
      </c>
      <c r="B1151" s="17">
        <v>43789</v>
      </c>
      <c r="C1151" s="20">
        <v>0</v>
      </c>
      <c r="D1151" s="20">
        <v>9093</v>
      </c>
      <c r="E1151" s="20">
        <v>9093</v>
      </c>
      <c r="F1151" s="20">
        <v>0</v>
      </c>
      <c r="G1151" s="20">
        <v>112864</v>
      </c>
      <c r="I1151" s="20">
        <v>14043</v>
      </c>
      <c r="K1151" s="20">
        <v>444997</v>
      </c>
      <c r="L1151" s="20">
        <v>4958</v>
      </c>
      <c r="M1151" s="20">
        <v>370</v>
      </c>
      <c r="W1151" s="20">
        <f t="shared" si="54"/>
        <v>586325</v>
      </c>
      <c r="X1151" s="36">
        <v>-75685</v>
      </c>
      <c r="Y1151" s="36">
        <v>-483761</v>
      </c>
      <c r="Z1151" s="36">
        <v>0</v>
      </c>
      <c r="AA1151" s="36">
        <v>-4714</v>
      </c>
      <c r="AB1151" s="36"/>
      <c r="AC1151" s="36"/>
      <c r="AD1151" s="36">
        <v>0</v>
      </c>
      <c r="AE1151" s="36"/>
      <c r="AF1151" s="36"/>
      <c r="AG1151" s="36"/>
      <c r="AH1151" s="36"/>
      <c r="AI1151" s="20">
        <f t="shared" ref="AI1151:AI1209" si="55">SUM(X1151:AA1151)</f>
        <v>-564160</v>
      </c>
      <c r="AJ1151" s="20">
        <f t="shared" ref="AJ1151:AJ1209" si="56">W1151+AI1151</f>
        <v>22165</v>
      </c>
    </row>
    <row r="1152" spans="1:36" x14ac:dyDescent="0.2">
      <c r="A1152" s="17" t="s">
        <v>5746</v>
      </c>
      <c r="B1152" s="17">
        <v>43796</v>
      </c>
      <c r="C1152" s="20">
        <v>0</v>
      </c>
      <c r="D1152" s="20">
        <v>9093</v>
      </c>
      <c r="E1152" s="20">
        <v>9093</v>
      </c>
      <c r="F1152" s="20">
        <v>0</v>
      </c>
      <c r="G1152" s="20">
        <v>112731</v>
      </c>
      <c r="I1152" s="20">
        <v>14057</v>
      </c>
      <c r="K1152" s="20">
        <v>444997</v>
      </c>
      <c r="L1152" s="20">
        <v>4885</v>
      </c>
      <c r="M1152" s="20">
        <v>370</v>
      </c>
      <c r="W1152" s="20">
        <f t="shared" si="54"/>
        <v>586133</v>
      </c>
      <c r="X1152" s="36">
        <v>-75788</v>
      </c>
      <c r="Y1152" s="36">
        <v>-483356</v>
      </c>
      <c r="Z1152" s="36">
        <v>0</v>
      </c>
      <c r="AA1152" s="36">
        <v>-4728</v>
      </c>
      <c r="AB1152" s="36"/>
      <c r="AC1152" s="36"/>
      <c r="AD1152" s="36">
        <v>0</v>
      </c>
      <c r="AE1152" s="36"/>
      <c r="AF1152" s="36"/>
      <c r="AG1152" s="36"/>
      <c r="AH1152" s="36"/>
      <c r="AI1152" s="20">
        <f t="shared" si="55"/>
        <v>-563872</v>
      </c>
      <c r="AJ1152" s="20">
        <f t="shared" si="56"/>
        <v>22261</v>
      </c>
    </row>
    <row r="1153" spans="1:36" x14ac:dyDescent="0.2">
      <c r="A1153" s="17" t="s">
        <v>5747</v>
      </c>
      <c r="B1153" s="17">
        <v>43803</v>
      </c>
      <c r="C1153" s="20">
        <v>0</v>
      </c>
      <c r="D1153" s="20">
        <v>9703</v>
      </c>
      <c r="E1153" s="20">
        <v>9703</v>
      </c>
      <c r="F1153" s="20">
        <v>0</v>
      </c>
      <c r="G1153" s="20">
        <v>112690</v>
      </c>
      <c r="I1153" s="20">
        <v>14026</v>
      </c>
      <c r="K1153" s="20">
        <v>444997</v>
      </c>
      <c r="L1153" s="20">
        <v>4647</v>
      </c>
      <c r="M1153" s="20">
        <v>370</v>
      </c>
      <c r="W1153" s="20">
        <f t="shared" si="54"/>
        <v>586433</v>
      </c>
      <c r="X1153" s="36">
        <v>-76038</v>
      </c>
      <c r="Y1153" s="36">
        <v>-484171</v>
      </c>
      <c r="Z1153" s="36">
        <v>0</v>
      </c>
      <c r="AA1153" s="36">
        <v>-4646</v>
      </c>
      <c r="AB1153" s="36"/>
      <c r="AC1153" s="36"/>
      <c r="AD1153" s="36">
        <v>0</v>
      </c>
      <c r="AE1153" s="36"/>
      <c r="AF1153" s="36"/>
      <c r="AG1153" s="36"/>
      <c r="AH1153" s="36"/>
      <c r="AI1153" s="20">
        <f t="shared" si="55"/>
        <v>-564855</v>
      </c>
      <c r="AJ1153" s="20">
        <f t="shared" si="56"/>
        <v>21578</v>
      </c>
    </row>
    <row r="1154" spans="1:36" x14ac:dyDescent="0.2">
      <c r="A1154" s="17" t="s">
        <v>5748</v>
      </c>
      <c r="B1154" s="17">
        <v>43810</v>
      </c>
      <c r="C1154" s="20">
        <v>0</v>
      </c>
      <c r="D1154" s="20">
        <v>7932</v>
      </c>
      <c r="E1154" s="20">
        <v>7932</v>
      </c>
      <c r="F1154" s="20">
        <v>0</v>
      </c>
      <c r="G1154" s="20">
        <v>112690</v>
      </c>
      <c r="I1154" s="20">
        <v>14092</v>
      </c>
      <c r="K1154" s="20">
        <v>444997</v>
      </c>
      <c r="L1154" s="20">
        <v>4920</v>
      </c>
      <c r="M1154" s="20">
        <v>370</v>
      </c>
      <c r="W1154" s="20">
        <f t="shared" si="54"/>
        <v>585001</v>
      </c>
      <c r="X1154" s="36">
        <v>-76229</v>
      </c>
      <c r="Y1154" s="36">
        <v>-479192</v>
      </c>
      <c r="Z1154" s="36">
        <v>0</v>
      </c>
      <c r="AA1154" s="36">
        <v>-4620</v>
      </c>
      <c r="AB1154" s="36"/>
      <c r="AC1154" s="36"/>
      <c r="AD1154" s="36">
        <v>0</v>
      </c>
      <c r="AE1154" s="36"/>
      <c r="AF1154" s="36"/>
      <c r="AG1154" s="36"/>
      <c r="AH1154" s="36"/>
      <c r="AI1154" s="20">
        <f t="shared" si="55"/>
        <v>-560041</v>
      </c>
      <c r="AJ1154" s="20">
        <f t="shared" si="56"/>
        <v>24960</v>
      </c>
    </row>
    <row r="1155" spans="1:36" x14ac:dyDescent="0.2">
      <c r="A1155" s="17" t="s">
        <v>5749</v>
      </c>
      <c r="B1155" s="17">
        <v>43817</v>
      </c>
      <c r="C1155" s="20">
        <v>0</v>
      </c>
      <c r="D1155" s="20">
        <v>8472</v>
      </c>
      <c r="E1155" s="20">
        <v>8472</v>
      </c>
      <c r="F1155" s="20">
        <v>0</v>
      </c>
      <c r="G1155" s="20">
        <v>110175</v>
      </c>
      <c r="I1155" s="20">
        <v>14096</v>
      </c>
      <c r="K1155" s="20">
        <v>444997</v>
      </c>
      <c r="L1155" s="20">
        <v>4959</v>
      </c>
      <c r="M1155" s="20">
        <v>370</v>
      </c>
      <c r="W1155" s="20">
        <f t="shared" si="54"/>
        <v>583069</v>
      </c>
      <c r="X1155" s="36">
        <v>-77010</v>
      </c>
      <c r="Y1155" s="36">
        <v>-476327</v>
      </c>
      <c r="Z1155" s="36">
        <v>0</v>
      </c>
      <c r="AA1155" s="36">
        <v>-4656</v>
      </c>
      <c r="AB1155" s="36"/>
      <c r="AC1155" s="36"/>
      <c r="AD1155" s="36">
        <v>0</v>
      </c>
      <c r="AE1155" s="36"/>
      <c r="AF1155" s="36"/>
      <c r="AG1155" s="36"/>
      <c r="AH1155" s="36"/>
      <c r="AI1155" s="20">
        <f t="shared" si="55"/>
        <v>-557993</v>
      </c>
      <c r="AJ1155" s="20">
        <f t="shared" si="56"/>
        <v>25076</v>
      </c>
    </row>
    <row r="1156" spans="1:36" x14ac:dyDescent="0.2">
      <c r="A1156" s="17" t="s">
        <v>5750</v>
      </c>
      <c r="B1156" s="17">
        <v>43824</v>
      </c>
      <c r="C1156" s="20">
        <v>0</v>
      </c>
      <c r="D1156" s="20">
        <v>8502</v>
      </c>
      <c r="E1156" s="20">
        <v>8502</v>
      </c>
      <c r="F1156" s="20">
        <v>0</v>
      </c>
      <c r="G1156" s="20">
        <v>110164</v>
      </c>
      <c r="I1156" s="20">
        <v>14100</v>
      </c>
      <c r="K1156" s="20">
        <v>444997</v>
      </c>
      <c r="L1156" s="20">
        <v>5015</v>
      </c>
      <c r="M1156" s="20">
        <v>370</v>
      </c>
      <c r="W1156" s="20">
        <f t="shared" si="54"/>
        <v>583148</v>
      </c>
      <c r="X1156" s="36">
        <v>-78004</v>
      </c>
      <c r="Y1156" s="36">
        <v>-475579</v>
      </c>
      <c r="Z1156" s="36">
        <v>0</v>
      </c>
      <c r="AA1156" s="36">
        <v>-4709</v>
      </c>
      <c r="AB1156" s="36"/>
      <c r="AC1156" s="36"/>
      <c r="AD1156" s="36">
        <v>0</v>
      </c>
      <c r="AE1156" s="36"/>
      <c r="AF1156" s="36"/>
      <c r="AG1156" s="36"/>
      <c r="AH1156" s="36"/>
      <c r="AI1156" s="20">
        <f t="shared" si="55"/>
        <v>-558292</v>
      </c>
      <c r="AJ1156" s="20">
        <f t="shared" si="56"/>
        <v>24856</v>
      </c>
    </row>
    <row r="1157" spans="1:36" x14ac:dyDescent="0.2">
      <c r="A1157" s="17" t="s">
        <v>5751</v>
      </c>
      <c r="B1157" s="17">
        <v>43831</v>
      </c>
      <c r="C1157" s="20">
        <v>0</v>
      </c>
      <c r="D1157" s="20">
        <v>8502</v>
      </c>
      <c r="E1157" s="20">
        <v>8502</v>
      </c>
      <c r="F1157" s="20">
        <v>0</v>
      </c>
      <c r="G1157" s="20">
        <v>108164</v>
      </c>
      <c r="I1157" s="20">
        <v>14104</v>
      </c>
      <c r="K1157" s="20">
        <v>444997</v>
      </c>
      <c r="L1157" s="20">
        <v>4927</v>
      </c>
      <c r="M1157" s="20">
        <v>370</v>
      </c>
      <c r="W1157" s="20">
        <f t="shared" si="54"/>
        <v>581064</v>
      </c>
      <c r="X1157" s="36">
        <v>-77669</v>
      </c>
      <c r="Y1157" s="36">
        <v>-473150</v>
      </c>
      <c r="Z1157" s="36">
        <v>0</v>
      </c>
      <c r="AA1157" s="36">
        <v>-4622</v>
      </c>
      <c r="AB1157" s="36"/>
      <c r="AC1157" s="36"/>
      <c r="AD1157" s="36">
        <v>0</v>
      </c>
      <c r="AE1157" s="36"/>
      <c r="AF1157" s="36"/>
      <c r="AG1157" s="36"/>
      <c r="AH1157" s="36"/>
      <c r="AI1157" s="20">
        <f t="shared" si="55"/>
        <v>-555441</v>
      </c>
      <c r="AJ1157" s="20">
        <f t="shared" si="56"/>
        <v>25623</v>
      </c>
    </row>
    <row r="1158" spans="1:36" x14ac:dyDescent="0.2">
      <c r="A1158" s="17" t="s">
        <v>5752</v>
      </c>
      <c r="B1158" s="17">
        <v>43838</v>
      </c>
      <c r="C1158" s="20">
        <v>0</v>
      </c>
      <c r="D1158" s="20">
        <v>8502</v>
      </c>
      <c r="E1158" s="20">
        <v>8502</v>
      </c>
      <c r="F1158" s="20">
        <v>0</v>
      </c>
      <c r="G1158" s="20">
        <v>108164</v>
      </c>
      <c r="I1158" s="20">
        <v>14108</v>
      </c>
      <c r="K1158" s="20">
        <v>444997</v>
      </c>
      <c r="L1158" s="20">
        <v>4961</v>
      </c>
      <c r="M1158" s="20">
        <v>370</v>
      </c>
      <c r="W1158" s="20">
        <f t="shared" si="54"/>
        <v>581102</v>
      </c>
      <c r="X1158" s="36">
        <v>-75665</v>
      </c>
      <c r="Y1158" s="36">
        <v>-475642</v>
      </c>
      <c r="Z1158" s="36">
        <v>0</v>
      </c>
      <c r="AA1158" s="36">
        <v>-4658</v>
      </c>
      <c r="AB1158" s="36"/>
      <c r="AC1158" s="36"/>
      <c r="AD1158" s="36">
        <v>0</v>
      </c>
      <c r="AE1158" s="36"/>
      <c r="AF1158" s="36"/>
      <c r="AG1158" s="36"/>
      <c r="AH1158" s="36"/>
      <c r="AI1158" s="20">
        <f t="shared" si="55"/>
        <v>-555965</v>
      </c>
      <c r="AJ1158" s="20">
        <f t="shared" si="56"/>
        <v>25137</v>
      </c>
    </row>
    <row r="1159" spans="1:36" x14ac:dyDescent="0.2">
      <c r="A1159" s="17" t="s">
        <v>5753</v>
      </c>
      <c r="B1159" s="17">
        <v>43845</v>
      </c>
      <c r="C1159" s="20">
        <v>0</v>
      </c>
      <c r="D1159" s="20">
        <v>7442</v>
      </c>
      <c r="E1159" s="20">
        <v>7442</v>
      </c>
      <c r="F1159" s="20">
        <v>0</v>
      </c>
      <c r="G1159" s="20">
        <v>107954</v>
      </c>
      <c r="I1159" s="20">
        <v>14170</v>
      </c>
      <c r="K1159" s="20">
        <v>444997</v>
      </c>
      <c r="L1159" s="20">
        <v>4618</v>
      </c>
      <c r="M1159" s="20">
        <v>370</v>
      </c>
      <c r="W1159" s="20">
        <f t="shared" si="54"/>
        <v>579551</v>
      </c>
      <c r="X1159" s="36">
        <v>-74695</v>
      </c>
      <c r="Y1159" s="36">
        <v>-474291</v>
      </c>
      <c r="Z1159" s="36">
        <v>0</v>
      </c>
      <c r="AA1159" s="36">
        <v>-4687</v>
      </c>
      <c r="AB1159" s="36"/>
      <c r="AC1159" s="36"/>
      <c r="AD1159" s="36">
        <v>0</v>
      </c>
      <c r="AE1159" s="36"/>
      <c r="AF1159" s="36"/>
      <c r="AG1159" s="36"/>
      <c r="AH1159" s="36"/>
      <c r="AI1159" s="20">
        <f t="shared" si="55"/>
        <v>-553673</v>
      </c>
      <c r="AJ1159" s="20">
        <f t="shared" si="56"/>
        <v>25878</v>
      </c>
    </row>
    <row r="1160" spans="1:36" x14ac:dyDescent="0.2">
      <c r="A1160" s="17" t="s">
        <v>5754</v>
      </c>
      <c r="B1160" s="17">
        <v>43852</v>
      </c>
      <c r="C1160" s="20">
        <v>0</v>
      </c>
      <c r="D1160" s="20">
        <v>7992</v>
      </c>
      <c r="E1160" s="20">
        <v>7992</v>
      </c>
      <c r="F1160" s="20">
        <v>0</v>
      </c>
      <c r="G1160" s="20">
        <v>107924</v>
      </c>
      <c r="I1160" s="20">
        <v>14222</v>
      </c>
      <c r="K1160" s="20">
        <v>444997</v>
      </c>
      <c r="L1160" s="20">
        <v>4649</v>
      </c>
      <c r="M1160" s="20">
        <v>370</v>
      </c>
      <c r="W1160" s="20">
        <f t="shared" si="54"/>
        <v>580154</v>
      </c>
      <c r="X1160" s="36">
        <v>-74488</v>
      </c>
      <c r="Y1160" s="36">
        <v>-473473</v>
      </c>
      <c r="Z1160" s="36">
        <v>0</v>
      </c>
      <c r="AA1160" s="36">
        <v>-4648</v>
      </c>
      <c r="AB1160" s="36"/>
      <c r="AC1160" s="36"/>
      <c r="AD1160" s="36">
        <v>0</v>
      </c>
      <c r="AE1160" s="36"/>
      <c r="AF1160" s="36"/>
      <c r="AG1160" s="36"/>
      <c r="AH1160" s="36"/>
      <c r="AI1160" s="20">
        <f t="shared" si="55"/>
        <v>-552609</v>
      </c>
      <c r="AJ1160" s="20">
        <f t="shared" si="56"/>
        <v>27545</v>
      </c>
    </row>
    <row r="1161" spans="1:36" x14ac:dyDescent="0.2">
      <c r="A1161" s="17" t="s">
        <v>5755</v>
      </c>
      <c r="B1161" s="17">
        <v>43859</v>
      </c>
      <c r="C1161" s="20">
        <v>0</v>
      </c>
      <c r="D1161" s="20">
        <v>8252</v>
      </c>
      <c r="E1161" s="20">
        <v>8252</v>
      </c>
      <c r="F1161" s="20">
        <v>0</v>
      </c>
      <c r="G1161" s="20">
        <v>107704</v>
      </c>
      <c r="I1161" s="20">
        <v>14260</v>
      </c>
      <c r="K1161" s="20">
        <v>444997</v>
      </c>
      <c r="L1161" s="20">
        <v>4700</v>
      </c>
      <c r="M1161" s="20">
        <v>370</v>
      </c>
      <c r="W1161" s="20">
        <f t="shared" si="54"/>
        <v>580283</v>
      </c>
      <c r="X1161" s="36">
        <v>-74271</v>
      </c>
      <c r="Y1161" s="36">
        <v>-475796</v>
      </c>
      <c r="Z1161" s="36">
        <v>0</v>
      </c>
      <c r="AA1161" s="36">
        <v>-4701</v>
      </c>
      <c r="AB1161" s="36"/>
      <c r="AC1161" s="36"/>
      <c r="AD1161" s="36">
        <v>0</v>
      </c>
      <c r="AE1161" s="36"/>
      <c r="AF1161" s="36"/>
      <c r="AG1161" s="36"/>
      <c r="AH1161" s="36"/>
      <c r="AI1161" s="20">
        <f t="shared" si="55"/>
        <v>-554768</v>
      </c>
      <c r="AJ1161" s="20">
        <f t="shared" si="56"/>
        <v>25515</v>
      </c>
    </row>
    <row r="1162" spans="1:36" x14ac:dyDescent="0.2">
      <c r="A1162" s="17" t="s">
        <v>5756</v>
      </c>
      <c r="B1162" s="17">
        <v>43866</v>
      </c>
      <c r="C1162" s="20">
        <v>0</v>
      </c>
      <c r="D1162" s="20">
        <v>8357</v>
      </c>
      <c r="E1162" s="20">
        <v>8357</v>
      </c>
      <c r="F1162" s="20">
        <v>0</v>
      </c>
      <c r="G1162" s="20">
        <v>107659</v>
      </c>
      <c r="I1162" s="20">
        <v>14264</v>
      </c>
      <c r="K1162" s="20">
        <v>444997</v>
      </c>
      <c r="L1162" s="20">
        <v>4704</v>
      </c>
      <c r="M1162" s="20">
        <v>370</v>
      </c>
      <c r="W1162" s="20">
        <f t="shared" si="54"/>
        <v>580351</v>
      </c>
      <c r="X1162" s="36">
        <v>-74190</v>
      </c>
      <c r="Y1162" s="36">
        <v>-475770</v>
      </c>
      <c r="Z1162" s="36">
        <v>0</v>
      </c>
      <c r="AA1162" s="36">
        <v>-4705</v>
      </c>
      <c r="AB1162" s="36"/>
      <c r="AC1162" s="36"/>
      <c r="AD1162" s="36">
        <v>0</v>
      </c>
      <c r="AE1162" s="36"/>
      <c r="AF1162" s="36"/>
      <c r="AG1162" s="36"/>
      <c r="AH1162" s="36"/>
      <c r="AI1162" s="20">
        <f t="shared" si="55"/>
        <v>-554665</v>
      </c>
      <c r="AJ1162" s="20">
        <f t="shared" si="56"/>
        <v>25686</v>
      </c>
    </row>
    <row r="1163" spans="1:36" x14ac:dyDescent="0.2">
      <c r="A1163" s="17" t="s">
        <v>5757</v>
      </c>
      <c r="B1163" s="17">
        <v>43873</v>
      </c>
      <c r="C1163" s="20">
        <v>0</v>
      </c>
      <c r="D1163" s="20">
        <v>8137</v>
      </c>
      <c r="E1163" s="20">
        <v>8137</v>
      </c>
      <c r="F1163" s="20">
        <v>0</v>
      </c>
      <c r="G1163" s="20">
        <v>107659</v>
      </c>
      <c r="I1163" s="20">
        <v>14332</v>
      </c>
      <c r="K1163" s="20">
        <v>444997</v>
      </c>
      <c r="L1163" s="20">
        <v>4716</v>
      </c>
      <c r="M1163" s="20">
        <v>370</v>
      </c>
      <c r="W1163" s="20">
        <f t="shared" si="54"/>
        <v>580211</v>
      </c>
      <c r="X1163" s="36">
        <v>-73925</v>
      </c>
      <c r="Y1163" s="36">
        <v>-476201</v>
      </c>
      <c r="Z1163" s="36">
        <v>0</v>
      </c>
      <c r="AA1163" s="36">
        <v>-4715</v>
      </c>
      <c r="AB1163" s="36"/>
      <c r="AC1163" s="36"/>
      <c r="AD1163" s="36">
        <v>0</v>
      </c>
      <c r="AE1163" s="36"/>
      <c r="AF1163" s="36"/>
      <c r="AG1163" s="36"/>
      <c r="AH1163" s="36"/>
      <c r="AI1163" s="20">
        <f t="shared" si="55"/>
        <v>-554841</v>
      </c>
      <c r="AJ1163" s="20">
        <f t="shared" si="56"/>
        <v>25370</v>
      </c>
    </row>
    <row r="1164" spans="1:36" x14ac:dyDescent="0.2">
      <c r="A1164" s="17" t="s">
        <v>5758</v>
      </c>
      <c r="B1164" s="17">
        <v>43880</v>
      </c>
      <c r="C1164" s="20">
        <v>0</v>
      </c>
      <c r="D1164" s="20">
        <v>8147</v>
      </c>
      <c r="E1164" s="20">
        <v>8147</v>
      </c>
      <c r="F1164" s="20">
        <v>0</v>
      </c>
      <c r="G1164" s="20">
        <v>107649</v>
      </c>
      <c r="I1164" s="20">
        <v>14366</v>
      </c>
      <c r="K1164" s="20">
        <v>444997</v>
      </c>
      <c r="L1164" s="20">
        <v>4727</v>
      </c>
      <c r="M1164" s="20">
        <v>370</v>
      </c>
      <c r="W1164" s="20">
        <f t="shared" si="54"/>
        <v>580256</v>
      </c>
      <c r="X1164" s="36">
        <v>-73876</v>
      </c>
      <c r="Y1164" s="36">
        <v>-477016</v>
      </c>
      <c r="Z1164" s="36">
        <v>0</v>
      </c>
      <c r="AA1164" s="36">
        <v>-4727</v>
      </c>
      <c r="AB1164" s="36"/>
      <c r="AC1164" s="36"/>
      <c r="AD1164" s="36">
        <v>0</v>
      </c>
      <c r="AE1164" s="36"/>
      <c r="AF1164" s="36"/>
      <c r="AG1164" s="36"/>
      <c r="AH1164" s="36"/>
      <c r="AI1164" s="20">
        <f t="shared" si="55"/>
        <v>-555619</v>
      </c>
      <c r="AJ1164" s="20">
        <f t="shared" si="56"/>
        <v>24637</v>
      </c>
    </row>
    <row r="1165" spans="1:36" x14ac:dyDescent="0.2">
      <c r="A1165" s="17" t="s">
        <v>5759</v>
      </c>
      <c r="B1165" s="17">
        <v>43887</v>
      </c>
      <c r="C1165" s="20">
        <v>0</v>
      </c>
      <c r="D1165" s="20">
        <v>8172</v>
      </c>
      <c r="E1165" s="20">
        <v>8172</v>
      </c>
      <c r="F1165" s="20">
        <v>0</v>
      </c>
      <c r="G1165" s="20">
        <v>107249</v>
      </c>
      <c r="I1165" s="20">
        <v>14394</v>
      </c>
      <c r="K1165" s="20">
        <v>444997</v>
      </c>
      <c r="L1165" s="20">
        <v>4729</v>
      </c>
      <c r="M1165" s="20">
        <v>370</v>
      </c>
      <c r="W1165" s="20">
        <f t="shared" si="54"/>
        <v>579911</v>
      </c>
      <c r="X1165" s="36">
        <v>-74072</v>
      </c>
      <c r="Y1165" s="36">
        <v>-474973</v>
      </c>
      <c r="Z1165" s="36">
        <v>0</v>
      </c>
      <c r="AA1165" s="36">
        <v>-4730</v>
      </c>
      <c r="AB1165" s="36"/>
      <c r="AC1165" s="36"/>
      <c r="AD1165" s="36">
        <v>0</v>
      </c>
      <c r="AE1165" s="36"/>
      <c r="AF1165" s="36"/>
      <c r="AG1165" s="36"/>
      <c r="AH1165" s="36"/>
      <c r="AI1165" s="20">
        <f t="shared" si="55"/>
        <v>-553775</v>
      </c>
      <c r="AJ1165" s="20">
        <f t="shared" si="56"/>
        <v>26136</v>
      </c>
    </row>
    <row r="1166" spans="1:36" x14ac:dyDescent="0.2">
      <c r="A1166" s="17" t="s">
        <v>5760</v>
      </c>
      <c r="B1166" s="17">
        <v>43894</v>
      </c>
      <c r="C1166" s="20">
        <v>0</v>
      </c>
      <c r="D1166" s="20">
        <v>8192</v>
      </c>
      <c r="E1166" s="20">
        <v>8192</v>
      </c>
      <c r="F1166" s="20">
        <v>0</v>
      </c>
      <c r="G1166" s="20">
        <v>107189</v>
      </c>
      <c r="I1166" s="20">
        <v>14425</v>
      </c>
      <c r="K1166" s="20">
        <v>444997</v>
      </c>
      <c r="L1166" s="20">
        <v>4251</v>
      </c>
      <c r="M1166" s="20">
        <v>370</v>
      </c>
      <c r="W1166" s="20">
        <f t="shared" si="54"/>
        <v>579424</v>
      </c>
      <c r="X1166" s="36">
        <v>-74113</v>
      </c>
      <c r="Y1166" s="36">
        <v>-469040</v>
      </c>
      <c r="Z1166" s="36">
        <v>0</v>
      </c>
      <c r="AA1166" s="36">
        <v>-4796</v>
      </c>
      <c r="AB1166" s="36"/>
      <c r="AC1166" s="36"/>
      <c r="AD1166" s="36">
        <v>0</v>
      </c>
      <c r="AE1166" s="36"/>
      <c r="AF1166" s="36"/>
      <c r="AG1166" s="36"/>
      <c r="AH1166" s="36"/>
      <c r="AI1166" s="20">
        <f t="shared" si="55"/>
        <v>-547949</v>
      </c>
      <c r="AJ1166" s="20">
        <f t="shared" si="56"/>
        <v>31475</v>
      </c>
    </row>
    <row r="1167" spans="1:36" x14ac:dyDescent="0.2">
      <c r="A1167" s="17" t="s">
        <v>5761</v>
      </c>
      <c r="B1167" s="17">
        <v>43901</v>
      </c>
      <c r="C1167" s="20">
        <v>0</v>
      </c>
      <c r="D1167" s="20">
        <v>8298</v>
      </c>
      <c r="E1167" s="20">
        <v>8298</v>
      </c>
      <c r="F1167" s="20">
        <v>0</v>
      </c>
      <c r="G1167" s="20">
        <v>107189</v>
      </c>
      <c r="I1167" s="20">
        <v>13465</v>
      </c>
      <c r="K1167" s="20">
        <v>444997</v>
      </c>
      <c r="L1167" s="20">
        <v>3314</v>
      </c>
      <c r="M1167" s="20">
        <v>370</v>
      </c>
      <c r="W1167" s="20">
        <f t="shared" si="54"/>
        <v>577633</v>
      </c>
      <c r="X1167" s="36">
        <v>-74046</v>
      </c>
      <c r="Y1167" s="36">
        <v>-460129</v>
      </c>
      <c r="Z1167" s="36">
        <v>0</v>
      </c>
      <c r="AA1167" s="36">
        <v>-3195</v>
      </c>
      <c r="AB1167" s="36"/>
      <c r="AC1167" s="36"/>
      <c r="AD1167" s="36">
        <v>0</v>
      </c>
      <c r="AE1167" s="36"/>
      <c r="AF1167" s="36"/>
      <c r="AG1167" s="36"/>
      <c r="AH1167" s="36"/>
      <c r="AI1167" s="20">
        <f t="shared" si="55"/>
        <v>-537370</v>
      </c>
      <c r="AJ1167" s="20">
        <f t="shared" si="56"/>
        <v>40263</v>
      </c>
    </row>
    <row r="1168" spans="1:36" x14ac:dyDescent="0.2">
      <c r="A1168" s="17" t="s">
        <v>5762</v>
      </c>
      <c r="B1168" s="17">
        <v>43908</v>
      </c>
      <c r="C1168" s="20">
        <v>0</v>
      </c>
      <c r="D1168" s="20">
        <v>10858</v>
      </c>
      <c r="E1168" s="20">
        <v>10858</v>
      </c>
      <c r="F1168" s="20">
        <v>0</v>
      </c>
      <c r="G1168" s="20">
        <v>107189</v>
      </c>
      <c r="I1168" s="20">
        <v>13461</v>
      </c>
      <c r="K1168" s="20">
        <v>444997</v>
      </c>
      <c r="L1168" s="20">
        <v>3628</v>
      </c>
      <c r="M1168" s="20">
        <v>370</v>
      </c>
      <c r="W1168" s="20">
        <f t="shared" si="54"/>
        <v>580503</v>
      </c>
      <c r="X1168" s="36">
        <v>-74048</v>
      </c>
      <c r="Y1168" s="36">
        <v>-465635</v>
      </c>
      <c r="Z1168" s="36">
        <v>0</v>
      </c>
      <c r="AA1168" s="36">
        <v>-3500</v>
      </c>
      <c r="AB1168" s="36"/>
      <c r="AC1168" s="36"/>
      <c r="AD1168" s="36">
        <v>0</v>
      </c>
      <c r="AE1168" s="36"/>
      <c r="AF1168" s="36"/>
      <c r="AG1168" s="36"/>
      <c r="AH1168" s="36"/>
      <c r="AI1168" s="20">
        <f t="shared" si="55"/>
        <v>-543183</v>
      </c>
      <c r="AJ1168" s="20">
        <f t="shared" si="56"/>
        <v>37320</v>
      </c>
    </row>
    <row r="1169" spans="1:36" x14ac:dyDescent="0.2">
      <c r="A1169" s="17" t="s">
        <v>5763</v>
      </c>
      <c r="B1169" s="17">
        <v>43915</v>
      </c>
      <c r="C1169" s="20">
        <v>0</v>
      </c>
      <c r="D1169" s="20">
        <v>14537</v>
      </c>
      <c r="E1169" s="20">
        <v>14537</v>
      </c>
      <c r="F1169" s="20">
        <v>0</v>
      </c>
      <c r="G1169" s="20">
        <v>107189</v>
      </c>
      <c r="I1169" s="20">
        <v>13464</v>
      </c>
      <c r="K1169" s="20">
        <v>447996</v>
      </c>
      <c r="L1169" s="20">
        <v>3620</v>
      </c>
      <c r="M1169" s="20">
        <v>370</v>
      </c>
      <c r="W1169" s="20">
        <f t="shared" si="54"/>
        <v>587176</v>
      </c>
      <c r="X1169" s="36">
        <v>-74835</v>
      </c>
      <c r="Y1169" s="36">
        <v>-481339</v>
      </c>
      <c r="Z1169" s="36">
        <v>0</v>
      </c>
      <c r="AA1169" s="36">
        <v>-3492</v>
      </c>
      <c r="AB1169" s="36"/>
      <c r="AC1169" s="36"/>
      <c r="AD1169" s="36">
        <v>0</v>
      </c>
      <c r="AE1169" s="36"/>
      <c r="AF1169" s="36"/>
      <c r="AG1169" s="36"/>
      <c r="AH1169" s="36"/>
      <c r="AI1169" s="20">
        <f t="shared" si="55"/>
        <v>-559666</v>
      </c>
      <c r="AJ1169" s="20">
        <f t="shared" si="56"/>
        <v>27510</v>
      </c>
    </row>
    <row r="1170" spans="1:36" x14ac:dyDescent="0.2">
      <c r="A1170" s="17" t="s">
        <v>5764</v>
      </c>
      <c r="B1170" s="17">
        <v>43922</v>
      </c>
      <c r="C1170" s="20">
        <v>0</v>
      </c>
      <c r="D1170" s="20">
        <v>32867</v>
      </c>
      <c r="E1170" s="20">
        <v>21737</v>
      </c>
      <c r="F1170" s="20">
        <v>11130</v>
      </c>
      <c r="G1170" s="20">
        <v>107189</v>
      </c>
      <c r="I1170" s="20">
        <v>13554</v>
      </c>
      <c r="J1170" s="20">
        <v>1908</v>
      </c>
      <c r="K1170" s="20">
        <v>458496</v>
      </c>
      <c r="L1170" s="20">
        <v>3450</v>
      </c>
      <c r="M1170" s="20">
        <v>370</v>
      </c>
      <c r="W1170" s="20">
        <f t="shared" si="54"/>
        <v>617834</v>
      </c>
      <c r="X1170" s="36">
        <v>-74842</v>
      </c>
      <c r="Y1170" s="36">
        <v>-512834</v>
      </c>
      <c r="Z1170" s="36">
        <v>0</v>
      </c>
      <c r="AA1170" s="36">
        <v>-3324</v>
      </c>
      <c r="AB1170" s="36"/>
      <c r="AC1170" s="36"/>
      <c r="AD1170" s="36">
        <v>0</v>
      </c>
      <c r="AE1170" s="36"/>
      <c r="AF1170" s="36"/>
      <c r="AG1170" s="36"/>
      <c r="AH1170" s="36"/>
      <c r="AI1170" s="20">
        <f t="shared" si="55"/>
        <v>-591000</v>
      </c>
      <c r="AJ1170" s="20">
        <f t="shared" si="56"/>
        <v>26834</v>
      </c>
    </row>
    <row r="1171" spans="1:36" x14ac:dyDescent="0.2">
      <c r="A1171" s="17" t="s">
        <v>5765</v>
      </c>
      <c r="B1171" s="17">
        <v>43929</v>
      </c>
      <c r="C1171" s="20">
        <v>0</v>
      </c>
      <c r="D1171" s="20">
        <v>36367</v>
      </c>
      <c r="E1171" s="20">
        <v>24987</v>
      </c>
      <c r="F1171" s="20">
        <v>11380</v>
      </c>
      <c r="G1171" s="20">
        <v>107189</v>
      </c>
      <c r="I1171" s="20">
        <v>13558</v>
      </c>
      <c r="J1171" s="20">
        <v>5873</v>
      </c>
      <c r="K1171" s="20">
        <v>471995</v>
      </c>
      <c r="L1171" s="20">
        <v>3444</v>
      </c>
      <c r="M1171" s="20">
        <v>370</v>
      </c>
      <c r="W1171" s="20">
        <f t="shared" si="54"/>
        <v>638796</v>
      </c>
      <c r="X1171" s="36">
        <v>-74907</v>
      </c>
      <c r="Y1171" s="36">
        <v>-532371</v>
      </c>
      <c r="Z1171" s="36">
        <v>0</v>
      </c>
      <c r="AA1171" s="36">
        <v>-3318</v>
      </c>
      <c r="AB1171" s="36"/>
      <c r="AC1171" s="36"/>
      <c r="AD1171" s="36">
        <v>0</v>
      </c>
      <c r="AE1171" s="36"/>
      <c r="AF1171" s="36"/>
      <c r="AG1171" s="36"/>
      <c r="AH1171" s="36"/>
      <c r="AI1171" s="20">
        <f t="shared" si="55"/>
        <v>-610596</v>
      </c>
      <c r="AJ1171" s="20">
        <f t="shared" si="56"/>
        <v>28200</v>
      </c>
    </row>
    <row r="1172" spans="1:36" x14ac:dyDescent="0.2">
      <c r="A1172" s="17" t="s">
        <v>5766</v>
      </c>
      <c r="B1172" s="17">
        <v>43936</v>
      </c>
      <c r="C1172" s="20">
        <v>0</v>
      </c>
      <c r="D1172" s="20">
        <v>36654</v>
      </c>
      <c r="E1172" s="20">
        <v>25269</v>
      </c>
      <c r="F1172" s="20">
        <v>11385</v>
      </c>
      <c r="G1172" s="20">
        <v>107189</v>
      </c>
      <c r="H1172" s="20">
        <v>0</v>
      </c>
      <c r="I1172" s="20">
        <v>13562</v>
      </c>
      <c r="J1172" s="20">
        <v>8244</v>
      </c>
      <c r="K1172" s="20">
        <v>486190</v>
      </c>
      <c r="L1172" s="20">
        <v>3420</v>
      </c>
      <c r="M1172" s="20">
        <v>370</v>
      </c>
      <c r="W1172" s="20">
        <f t="shared" si="54"/>
        <v>655629</v>
      </c>
      <c r="X1172" s="36">
        <v>-74957</v>
      </c>
      <c r="Y1172" s="36">
        <v>-552079</v>
      </c>
      <c r="Z1172" s="36">
        <v>0</v>
      </c>
      <c r="AA1172" s="36">
        <v>-3293</v>
      </c>
      <c r="AB1172" s="36"/>
      <c r="AC1172" s="36"/>
      <c r="AD1172" s="36">
        <v>0</v>
      </c>
      <c r="AE1172" s="36"/>
      <c r="AF1172" s="36"/>
      <c r="AG1172" s="36"/>
      <c r="AH1172" s="36"/>
      <c r="AI1172" s="20">
        <f t="shared" si="55"/>
        <v>-630329</v>
      </c>
      <c r="AJ1172" s="20">
        <f t="shared" si="56"/>
        <v>25300</v>
      </c>
    </row>
    <row r="1173" spans="1:36" x14ac:dyDescent="0.2">
      <c r="A1173" s="17" t="s">
        <v>5767</v>
      </c>
      <c r="B1173" s="17">
        <v>43943</v>
      </c>
      <c r="C1173" s="20">
        <v>0</v>
      </c>
      <c r="D1173" s="20">
        <v>32354</v>
      </c>
      <c r="E1173" s="20">
        <v>25969</v>
      </c>
      <c r="F1173" s="20">
        <v>6385</v>
      </c>
      <c r="G1173" s="20">
        <v>107189</v>
      </c>
      <c r="H1173" s="20">
        <v>6000</v>
      </c>
      <c r="I1173" s="20">
        <v>13598</v>
      </c>
      <c r="J1173" s="20">
        <v>11218</v>
      </c>
      <c r="K1173" s="20">
        <v>500169</v>
      </c>
      <c r="L1173" s="20">
        <v>3475</v>
      </c>
      <c r="M1173" s="20">
        <v>370</v>
      </c>
      <c r="W1173" s="20">
        <f t="shared" si="54"/>
        <v>674373</v>
      </c>
      <c r="X1173" s="36">
        <v>-74818</v>
      </c>
      <c r="Y1173" s="36">
        <v>-570640</v>
      </c>
      <c r="Z1173" s="36">
        <v>0</v>
      </c>
      <c r="AA1173" s="36">
        <v>-3346</v>
      </c>
      <c r="AB1173" s="36"/>
      <c r="AC1173" s="36"/>
      <c r="AD1173" s="36">
        <v>0</v>
      </c>
      <c r="AE1173" s="36"/>
      <c r="AF1173" s="36"/>
      <c r="AG1173" s="36"/>
      <c r="AH1173" s="36"/>
      <c r="AI1173" s="20">
        <f t="shared" si="55"/>
        <v>-648804</v>
      </c>
      <c r="AJ1173" s="20">
        <f t="shared" si="56"/>
        <v>25569</v>
      </c>
    </row>
    <row r="1174" spans="1:36" x14ac:dyDescent="0.2">
      <c r="A1174" s="17" t="s">
        <v>5768</v>
      </c>
      <c r="B1174" s="17">
        <v>43950</v>
      </c>
      <c r="C1174" s="20">
        <v>0</v>
      </c>
      <c r="D1174" s="20">
        <v>33579</v>
      </c>
      <c r="E1174" s="20">
        <v>27194</v>
      </c>
      <c r="F1174" s="20">
        <v>6385</v>
      </c>
      <c r="G1174" s="20">
        <v>107174</v>
      </c>
      <c r="H1174" s="20">
        <v>8200</v>
      </c>
      <c r="I1174" s="20">
        <v>13682</v>
      </c>
      <c r="J1174" s="20">
        <v>15910</v>
      </c>
      <c r="K1174" s="20">
        <v>514491</v>
      </c>
      <c r="L1174" s="20">
        <v>5130</v>
      </c>
      <c r="M1174" s="20">
        <v>370</v>
      </c>
      <c r="W1174" s="20">
        <f t="shared" si="54"/>
        <v>698536</v>
      </c>
      <c r="X1174" s="36">
        <v>-75076</v>
      </c>
      <c r="Y1174" s="36">
        <v>-594210</v>
      </c>
      <c r="Z1174" s="36">
        <v>0</v>
      </c>
      <c r="AA1174" s="36">
        <v>-4932</v>
      </c>
      <c r="AB1174" s="36"/>
      <c r="AC1174" s="36"/>
      <c r="AD1174" s="36">
        <v>0</v>
      </c>
      <c r="AE1174" s="36"/>
      <c r="AF1174" s="36"/>
      <c r="AG1174" s="36"/>
      <c r="AH1174" s="36"/>
      <c r="AI1174" s="20">
        <f t="shared" si="55"/>
        <v>-674218</v>
      </c>
      <c r="AJ1174" s="20">
        <f t="shared" si="56"/>
        <v>24318</v>
      </c>
    </row>
    <row r="1175" spans="1:36" x14ac:dyDescent="0.2">
      <c r="A1175" s="17" t="s">
        <v>5769</v>
      </c>
      <c r="B1175" s="17">
        <v>43957</v>
      </c>
      <c r="C1175" s="20">
        <v>0</v>
      </c>
      <c r="D1175" s="20">
        <v>33839</v>
      </c>
      <c r="E1175" s="20">
        <v>27454</v>
      </c>
      <c r="F1175" s="20">
        <v>6385</v>
      </c>
      <c r="G1175" s="20">
        <v>107174</v>
      </c>
      <c r="H1175" s="20">
        <v>10970</v>
      </c>
      <c r="I1175" s="20">
        <v>13714</v>
      </c>
      <c r="J1175" s="20">
        <v>17684</v>
      </c>
      <c r="K1175" s="20">
        <v>528507</v>
      </c>
      <c r="L1175" s="20">
        <v>5201</v>
      </c>
      <c r="M1175" s="20">
        <v>370</v>
      </c>
      <c r="W1175" s="20">
        <f t="shared" si="54"/>
        <v>717459</v>
      </c>
      <c r="X1175" s="36">
        <v>-75533</v>
      </c>
      <c r="Y1175" s="36">
        <v>-614755</v>
      </c>
      <c r="Z1175" s="36">
        <v>0</v>
      </c>
      <c r="AA1175" s="36">
        <v>-4961</v>
      </c>
      <c r="AB1175" s="36"/>
      <c r="AC1175" s="36"/>
      <c r="AD1175" s="36">
        <v>0</v>
      </c>
      <c r="AE1175" s="36"/>
      <c r="AF1175" s="36"/>
      <c r="AG1175" s="36"/>
      <c r="AH1175" s="36"/>
      <c r="AI1175" s="20">
        <f t="shared" si="55"/>
        <v>-695249</v>
      </c>
      <c r="AJ1175" s="20">
        <f t="shared" si="56"/>
        <v>22210</v>
      </c>
    </row>
    <row r="1176" spans="1:36" x14ac:dyDescent="0.2">
      <c r="A1176" s="17" t="s">
        <v>5770</v>
      </c>
      <c r="B1176" s="17">
        <v>43964</v>
      </c>
      <c r="C1176" s="20">
        <v>0</v>
      </c>
      <c r="D1176" s="20">
        <v>33864</v>
      </c>
      <c r="E1176" s="20">
        <v>27479</v>
      </c>
      <c r="F1176" s="20">
        <v>6385</v>
      </c>
      <c r="G1176" s="20">
        <v>107174</v>
      </c>
      <c r="H1176" s="20">
        <v>11320</v>
      </c>
      <c r="I1176" s="20">
        <v>13718</v>
      </c>
      <c r="J1176" s="20">
        <v>18767</v>
      </c>
      <c r="K1176" s="20">
        <v>542664</v>
      </c>
      <c r="L1176" s="20">
        <v>5265</v>
      </c>
      <c r="M1176" s="20">
        <v>370</v>
      </c>
      <c r="W1176" s="20">
        <f t="shared" si="54"/>
        <v>733142</v>
      </c>
      <c r="X1176" s="36">
        <v>-76171</v>
      </c>
      <c r="Y1176" s="36">
        <v>-627404</v>
      </c>
      <c r="Z1176" s="36">
        <v>0</v>
      </c>
      <c r="AA1176" s="36">
        <v>-5024</v>
      </c>
      <c r="AB1176" s="36"/>
      <c r="AC1176" s="36"/>
      <c r="AD1176" s="36">
        <v>0</v>
      </c>
      <c r="AE1176" s="36"/>
      <c r="AF1176" s="36"/>
      <c r="AG1176" s="36"/>
      <c r="AH1176" s="36"/>
      <c r="AI1176" s="20">
        <f t="shared" si="55"/>
        <v>-708599</v>
      </c>
      <c r="AJ1176" s="20">
        <f t="shared" si="56"/>
        <v>24543</v>
      </c>
    </row>
    <row r="1177" spans="1:36" x14ac:dyDescent="0.2">
      <c r="A1177" s="17" t="s">
        <v>5771</v>
      </c>
      <c r="B1177" s="17">
        <v>43971</v>
      </c>
      <c r="C1177" s="20">
        <v>0</v>
      </c>
      <c r="D1177" s="20">
        <v>34064</v>
      </c>
      <c r="E1177" s="20">
        <v>27679</v>
      </c>
      <c r="F1177" s="20">
        <v>6385</v>
      </c>
      <c r="G1177" s="20">
        <v>107129</v>
      </c>
      <c r="H1177" s="20">
        <v>11920</v>
      </c>
      <c r="I1177" s="20">
        <v>13744</v>
      </c>
      <c r="J1177" s="20">
        <v>20498</v>
      </c>
      <c r="K1177" s="20">
        <v>557018</v>
      </c>
      <c r="L1177" s="20">
        <v>5249</v>
      </c>
      <c r="M1177" s="20">
        <v>370</v>
      </c>
      <c r="W1177" s="20">
        <f t="shared" si="54"/>
        <v>749992</v>
      </c>
      <c r="X1177" s="36">
        <v>-76452</v>
      </c>
      <c r="Y1177" s="36">
        <v>-643792</v>
      </c>
      <c r="Z1177" s="36">
        <v>0</v>
      </c>
      <c r="AA1177" s="36">
        <v>-5004</v>
      </c>
      <c r="AB1177" s="36"/>
      <c r="AC1177" s="36"/>
      <c r="AD1177" s="36">
        <v>0</v>
      </c>
      <c r="AE1177" s="36"/>
      <c r="AF1177" s="36"/>
      <c r="AG1177" s="36"/>
      <c r="AH1177" s="36"/>
      <c r="AI1177" s="20">
        <f t="shared" si="55"/>
        <v>-725248</v>
      </c>
      <c r="AJ1177" s="20">
        <f t="shared" si="56"/>
        <v>24744</v>
      </c>
    </row>
    <row r="1178" spans="1:36" x14ac:dyDescent="0.2">
      <c r="A1178" s="17" t="s">
        <v>5772</v>
      </c>
      <c r="B1178" s="17">
        <v>43978</v>
      </c>
      <c r="C1178" s="20">
        <v>0</v>
      </c>
      <c r="D1178" s="20">
        <v>34254</v>
      </c>
      <c r="E1178" s="20">
        <v>27869</v>
      </c>
      <c r="F1178" s="20">
        <v>6385</v>
      </c>
      <c r="G1178" s="20">
        <v>107099</v>
      </c>
      <c r="H1178" s="20">
        <v>11920</v>
      </c>
      <c r="I1178" s="20">
        <v>13747</v>
      </c>
      <c r="J1178" s="20">
        <v>18979</v>
      </c>
      <c r="K1178" s="20">
        <v>571035</v>
      </c>
      <c r="L1178" s="20">
        <v>5274</v>
      </c>
      <c r="M1178" s="20">
        <v>370</v>
      </c>
      <c r="W1178" s="20">
        <f t="shared" si="54"/>
        <v>762678</v>
      </c>
      <c r="X1178" s="36">
        <v>-77153</v>
      </c>
      <c r="Y1178" s="36">
        <v>-657680</v>
      </c>
      <c r="Z1178" s="36">
        <v>0</v>
      </c>
      <c r="AA1178" s="36">
        <v>-5028</v>
      </c>
      <c r="AB1178" s="36"/>
      <c r="AC1178" s="36"/>
      <c r="AD1178" s="36">
        <v>0</v>
      </c>
      <c r="AE1178" s="36"/>
      <c r="AF1178" s="36"/>
      <c r="AG1178" s="36"/>
      <c r="AH1178" s="36"/>
      <c r="AI1178" s="20">
        <f t="shared" si="55"/>
        <v>-739861</v>
      </c>
      <c r="AJ1178" s="20">
        <f t="shared" si="56"/>
        <v>22817</v>
      </c>
    </row>
    <row r="1179" spans="1:36" x14ac:dyDescent="0.2">
      <c r="A1179" s="17" t="s">
        <v>5773</v>
      </c>
      <c r="B1179" s="17">
        <v>43985</v>
      </c>
      <c r="C1179" s="20">
        <v>0</v>
      </c>
      <c r="D1179" s="20">
        <v>34259</v>
      </c>
      <c r="E1179" s="20">
        <v>27874</v>
      </c>
      <c r="F1179" s="20">
        <v>6385</v>
      </c>
      <c r="G1179" s="20">
        <v>106571</v>
      </c>
      <c r="H1179" s="20">
        <v>11980</v>
      </c>
      <c r="I1179" s="20">
        <v>13814</v>
      </c>
      <c r="J1179" s="20">
        <v>16186</v>
      </c>
      <c r="K1179" s="20">
        <v>584745</v>
      </c>
      <c r="L1179" s="20">
        <v>5052</v>
      </c>
      <c r="M1179" s="20">
        <v>370</v>
      </c>
      <c r="W1179" s="20">
        <f t="shared" si="54"/>
        <v>772977</v>
      </c>
      <c r="X1179" s="36">
        <v>-77757</v>
      </c>
      <c r="Y1179" s="36">
        <v>-666056</v>
      </c>
      <c r="Z1179" s="36">
        <v>0</v>
      </c>
      <c r="AA1179" s="36">
        <v>-4873</v>
      </c>
      <c r="AB1179" s="36"/>
      <c r="AC1179" s="36"/>
      <c r="AD1179" s="36">
        <v>0</v>
      </c>
      <c r="AE1179" s="36"/>
      <c r="AF1179" s="36"/>
      <c r="AG1179" s="36"/>
      <c r="AH1179" s="36"/>
      <c r="AI1179" s="20">
        <f t="shared" si="55"/>
        <v>-748686</v>
      </c>
      <c r="AJ1179" s="20">
        <f t="shared" si="56"/>
        <v>24291</v>
      </c>
    </row>
    <row r="1180" spans="1:36" x14ac:dyDescent="0.2">
      <c r="A1180" s="17" t="s">
        <v>5774</v>
      </c>
      <c r="B1180" s="17">
        <v>43992</v>
      </c>
      <c r="C1180" s="20">
        <v>0</v>
      </c>
      <c r="D1180" s="20">
        <v>33929</v>
      </c>
      <c r="E1180" s="20">
        <v>27544</v>
      </c>
      <c r="F1180" s="20">
        <v>6385</v>
      </c>
      <c r="G1180" s="20">
        <v>105651</v>
      </c>
      <c r="H1180" s="20">
        <v>11980</v>
      </c>
      <c r="I1180" s="20">
        <v>13851</v>
      </c>
      <c r="J1180" s="20">
        <v>16310</v>
      </c>
      <c r="K1180" s="20">
        <v>598707</v>
      </c>
      <c r="L1180" s="20">
        <v>4809</v>
      </c>
      <c r="M1180" s="20">
        <v>370</v>
      </c>
      <c r="W1180" s="20">
        <f t="shared" si="54"/>
        <v>785607</v>
      </c>
      <c r="X1180" s="36">
        <v>-78305</v>
      </c>
      <c r="Y1180" s="36">
        <v>-675541</v>
      </c>
      <c r="Z1180" s="36">
        <v>0</v>
      </c>
      <c r="AA1180" s="36">
        <v>-4814</v>
      </c>
      <c r="AB1180" s="36"/>
      <c r="AC1180" s="36"/>
      <c r="AD1180" s="36">
        <v>0</v>
      </c>
      <c r="AE1180" s="36"/>
      <c r="AF1180" s="36"/>
      <c r="AG1180" s="36"/>
      <c r="AH1180" s="36"/>
      <c r="AI1180" s="20">
        <f t="shared" si="55"/>
        <v>-758660</v>
      </c>
      <c r="AJ1180" s="20">
        <f t="shared" si="56"/>
        <v>26947</v>
      </c>
    </row>
    <row r="1181" spans="1:36" x14ac:dyDescent="0.2">
      <c r="A1181" s="17" t="s">
        <v>5775</v>
      </c>
      <c r="B1181" s="17">
        <v>43999</v>
      </c>
      <c r="C1181" s="20">
        <v>0</v>
      </c>
      <c r="D1181" s="20">
        <v>34184</v>
      </c>
      <c r="E1181" s="20">
        <v>27794</v>
      </c>
      <c r="F1181" s="20">
        <v>6390</v>
      </c>
      <c r="G1181" s="20">
        <v>99751</v>
      </c>
      <c r="H1181" s="20">
        <v>12435</v>
      </c>
      <c r="I1181" s="20">
        <v>13877</v>
      </c>
      <c r="J1181" s="20">
        <v>17759</v>
      </c>
      <c r="K1181" s="20">
        <v>612756</v>
      </c>
      <c r="L1181" s="20">
        <v>4893</v>
      </c>
      <c r="M1181" s="20">
        <v>370</v>
      </c>
      <c r="W1181" s="20">
        <f t="shared" si="54"/>
        <v>796025</v>
      </c>
      <c r="X1181" s="36">
        <v>-78785</v>
      </c>
      <c r="Y1181" s="36">
        <v>-686007</v>
      </c>
      <c r="Z1181" s="36">
        <v>0</v>
      </c>
      <c r="AA1181" s="36">
        <v>-4897</v>
      </c>
      <c r="AB1181" s="36"/>
      <c r="AC1181" s="36"/>
      <c r="AD1181" s="36">
        <v>0</v>
      </c>
      <c r="AE1181" s="36"/>
      <c r="AF1181" s="36"/>
      <c r="AG1181" s="36"/>
      <c r="AH1181" s="36"/>
      <c r="AI1181" s="20">
        <f t="shared" si="55"/>
        <v>-769689</v>
      </c>
      <c r="AJ1181" s="20">
        <f t="shared" si="56"/>
        <v>26336</v>
      </c>
    </row>
    <row r="1182" spans="1:36" x14ac:dyDescent="0.2">
      <c r="A1182" s="17" t="s">
        <v>5776</v>
      </c>
      <c r="B1182" s="17">
        <v>44006</v>
      </c>
      <c r="C1182" s="20">
        <v>0</v>
      </c>
      <c r="D1182" s="20">
        <v>34199</v>
      </c>
      <c r="E1182" s="20">
        <v>27809</v>
      </c>
      <c r="F1182" s="20">
        <v>6390</v>
      </c>
      <c r="G1182" s="20">
        <v>93336</v>
      </c>
      <c r="H1182" s="20">
        <v>14195</v>
      </c>
      <c r="I1182" s="20">
        <v>13880</v>
      </c>
      <c r="J1182" s="20">
        <v>18596</v>
      </c>
      <c r="K1182" s="20">
        <v>625607</v>
      </c>
      <c r="L1182" s="20">
        <v>4930</v>
      </c>
      <c r="M1182" s="20">
        <v>370</v>
      </c>
      <c r="W1182" s="20">
        <f t="shared" si="54"/>
        <v>805113</v>
      </c>
      <c r="X1182" s="36">
        <v>-79133</v>
      </c>
      <c r="Y1182" s="36">
        <v>-694623</v>
      </c>
      <c r="Z1182" s="36">
        <v>0</v>
      </c>
      <c r="AA1182" s="36">
        <v>-4934</v>
      </c>
      <c r="AB1182" s="36"/>
      <c r="AC1182" s="36"/>
      <c r="AD1182" s="36">
        <v>0</v>
      </c>
      <c r="AE1182" s="36"/>
      <c r="AF1182" s="36"/>
      <c r="AG1182" s="36"/>
      <c r="AH1182" s="36"/>
      <c r="AI1182" s="20">
        <f t="shared" si="55"/>
        <v>-778690</v>
      </c>
      <c r="AJ1182" s="20">
        <f t="shared" si="56"/>
        <v>26423</v>
      </c>
    </row>
    <row r="1183" spans="1:36" x14ac:dyDescent="0.2">
      <c r="A1183" s="17" t="s">
        <v>5777</v>
      </c>
      <c r="B1183" s="17">
        <v>44013</v>
      </c>
      <c r="C1183" s="20">
        <v>0</v>
      </c>
      <c r="D1183" s="20">
        <v>29334</v>
      </c>
      <c r="E1183" s="20">
        <v>28949</v>
      </c>
      <c r="F1183" s="20">
        <v>385</v>
      </c>
      <c r="G1183" s="20">
        <v>93096</v>
      </c>
      <c r="H1183" s="20">
        <v>17838</v>
      </c>
      <c r="I1183" s="20">
        <v>13916</v>
      </c>
      <c r="J1183" s="20">
        <v>17616</v>
      </c>
      <c r="K1183" s="20">
        <v>632994</v>
      </c>
      <c r="L1183" s="20">
        <v>4930</v>
      </c>
      <c r="M1183" s="20">
        <v>370</v>
      </c>
      <c r="W1183" s="20">
        <f t="shared" si="54"/>
        <v>810094</v>
      </c>
      <c r="X1183" s="36">
        <v>-79618</v>
      </c>
      <c r="Y1183" s="36">
        <v>-695052</v>
      </c>
      <c r="Z1183" s="36">
        <v>0</v>
      </c>
      <c r="AA1183" s="36">
        <v>-4934</v>
      </c>
      <c r="AB1183" s="36"/>
      <c r="AC1183" s="36"/>
      <c r="AD1183" s="36">
        <v>0</v>
      </c>
      <c r="AE1183" s="36"/>
      <c r="AF1183" s="36"/>
      <c r="AG1183" s="36"/>
      <c r="AH1183" s="36"/>
      <c r="AI1183" s="20">
        <f t="shared" si="55"/>
        <v>-779604</v>
      </c>
      <c r="AJ1183" s="20">
        <f t="shared" si="56"/>
        <v>30490</v>
      </c>
    </row>
    <row r="1184" spans="1:36" x14ac:dyDescent="0.2">
      <c r="A1184" s="17" t="s">
        <v>5778</v>
      </c>
      <c r="B1184" s="17">
        <v>44020</v>
      </c>
      <c r="C1184" s="20">
        <v>0</v>
      </c>
      <c r="D1184" s="20">
        <v>29084</v>
      </c>
      <c r="E1184" s="20">
        <v>28949</v>
      </c>
      <c r="F1184" s="20">
        <v>135</v>
      </c>
      <c r="G1184" s="20">
        <v>93096</v>
      </c>
      <c r="H1184" s="20">
        <v>18344</v>
      </c>
      <c r="I1184" s="20">
        <v>13920</v>
      </c>
      <c r="J1184" s="20">
        <v>18254</v>
      </c>
      <c r="K1184" s="20">
        <v>640115</v>
      </c>
      <c r="L1184" s="20">
        <v>4877</v>
      </c>
      <c r="M1184" s="20">
        <v>370</v>
      </c>
      <c r="W1184" s="20">
        <f t="shared" si="54"/>
        <v>818060</v>
      </c>
      <c r="X1184" s="36">
        <v>-80105</v>
      </c>
      <c r="Y1184" s="36">
        <v>-706027</v>
      </c>
      <c r="Z1184" s="36">
        <v>0</v>
      </c>
      <c r="AA1184" s="36">
        <v>-4881</v>
      </c>
      <c r="AB1184" s="36"/>
      <c r="AC1184" s="36"/>
      <c r="AD1184" s="36">
        <v>0</v>
      </c>
      <c r="AE1184" s="36"/>
      <c r="AF1184" s="36"/>
      <c r="AG1184" s="36"/>
      <c r="AH1184" s="36"/>
      <c r="AI1184" s="20">
        <f t="shared" si="55"/>
        <v>-791013</v>
      </c>
      <c r="AJ1184" s="20">
        <f t="shared" si="56"/>
        <v>27047</v>
      </c>
    </row>
    <row r="1185" spans="1:36" x14ac:dyDescent="0.2">
      <c r="A1185" s="17" t="s">
        <v>5779</v>
      </c>
      <c r="B1185" s="17">
        <v>44027</v>
      </c>
      <c r="C1185" s="20">
        <v>0</v>
      </c>
      <c r="D1185" s="20">
        <v>26579</v>
      </c>
      <c r="E1185" s="20">
        <v>26454</v>
      </c>
      <c r="F1185" s="20">
        <v>125</v>
      </c>
      <c r="G1185" s="20">
        <v>93096</v>
      </c>
      <c r="H1185" s="20">
        <v>18396</v>
      </c>
      <c r="I1185" s="20">
        <v>13924</v>
      </c>
      <c r="J1185" s="20">
        <v>18498</v>
      </c>
      <c r="K1185" s="20">
        <v>647292</v>
      </c>
      <c r="L1185" s="20">
        <v>4876</v>
      </c>
      <c r="M1185" s="20">
        <v>370</v>
      </c>
      <c r="W1185" s="20">
        <f t="shared" si="54"/>
        <v>823031</v>
      </c>
      <c r="X1185" s="36">
        <v>-80512</v>
      </c>
      <c r="Y1185" s="36">
        <v>-708984</v>
      </c>
      <c r="Z1185" s="36">
        <v>0</v>
      </c>
      <c r="AA1185" s="36">
        <v>-4879</v>
      </c>
      <c r="AB1185" s="36"/>
      <c r="AC1185" s="36"/>
      <c r="AD1185" s="36">
        <v>0</v>
      </c>
      <c r="AE1185" s="36"/>
      <c r="AF1185" s="36"/>
      <c r="AG1185" s="36"/>
      <c r="AH1185" s="36"/>
      <c r="AI1185" s="20">
        <f t="shared" si="55"/>
        <v>-794375</v>
      </c>
      <c r="AJ1185" s="20">
        <f t="shared" si="56"/>
        <v>28656</v>
      </c>
    </row>
    <row r="1186" spans="1:36" x14ac:dyDescent="0.2">
      <c r="A1186" s="17" t="s">
        <v>5780</v>
      </c>
      <c r="B1186" s="17">
        <v>44034</v>
      </c>
      <c r="C1186" s="20">
        <v>0</v>
      </c>
      <c r="D1186" s="20">
        <v>26579</v>
      </c>
      <c r="E1186" s="20">
        <v>26454</v>
      </c>
      <c r="F1186" s="20">
        <v>125</v>
      </c>
      <c r="G1186" s="20">
        <v>88085</v>
      </c>
      <c r="H1186" s="20">
        <v>18738</v>
      </c>
      <c r="I1186" s="20">
        <v>13916</v>
      </c>
      <c r="J1186" s="20">
        <v>18718</v>
      </c>
      <c r="K1186" s="20">
        <v>654606</v>
      </c>
      <c r="L1186" s="20">
        <v>4828</v>
      </c>
      <c r="M1186" s="20">
        <v>370</v>
      </c>
      <c r="W1186" s="20">
        <f t="shared" si="54"/>
        <v>825840</v>
      </c>
      <c r="X1186" s="36">
        <v>-80746</v>
      </c>
      <c r="Y1186" s="36">
        <v>-705387</v>
      </c>
      <c r="Z1186" s="36">
        <v>0</v>
      </c>
      <c r="AA1186" s="36">
        <v>-4831</v>
      </c>
      <c r="AB1186" s="36"/>
      <c r="AC1186" s="36"/>
      <c r="AD1186" s="36">
        <v>0</v>
      </c>
      <c r="AE1186" s="36"/>
      <c r="AF1186" s="36"/>
      <c r="AG1186" s="36"/>
      <c r="AH1186" s="36"/>
      <c r="AI1186" s="20">
        <f t="shared" si="55"/>
        <v>-790964</v>
      </c>
      <c r="AJ1186" s="20">
        <f t="shared" si="56"/>
        <v>34876</v>
      </c>
    </row>
    <row r="1187" spans="1:36" x14ac:dyDescent="0.2">
      <c r="A1187" s="17" t="s">
        <v>5781</v>
      </c>
      <c r="B1187" s="17">
        <v>44041</v>
      </c>
      <c r="C1187" s="20">
        <v>0</v>
      </c>
      <c r="D1187" s="20">
        <v>26454</v>
      </c>
      <c r="E1187" s="20">
        <v>26454</v>
      </c>
      <c r="F1187" s="20">
        <v>0</v>
      </c>
      <c r="G1187" s="20">
        <v>87855</v>
      </c>
      <c r="H1187" s="20">
        <v>19438</v>
      </c>
      <c r="I1187" s="20">
        <v>13937</v>
      </c>
      <c r="J1187" s="20">
        <v>17393</v>
      </c>
      <c r="K1187" s="20">
        <v>661637</v>
      </c>
      <c r="L1187" s="20">
        <v>4742</v>
      </c>
      <c r="M1187" s="20">
        <v>370</v>
      </c>
      <c r="W1187" s="20">
        <f t="shared" si="54"/>
        <v>831826</v>
      </c>
      <c r="X1187" s="36">
        <v>-80952</v>
      </c>
      <c r="Y1187" s="36">
        <v>-710964</v>
      </c>
      <c r="Z1187" s="36">
        <v>0</v>
      </c>
      <c r="AA1187" s="36">
        <v>-4745</v>
      </c>
      <c r="AB1187" s="36"/>
      <c r="AC1187" s="36"/>
      <c r="AD1187" s="36">
        <v>0</v>
      </c>
      <c r="AE1187" s="36"/>
      <c r="AF1187" s="36"/>
      <c r="AG1187" s="36"/>
      <c r="AH1187" s="36"/>
      <c r="AI1187" s="20">
        <f t="shared" si="55"/>
        <v>-796661</v>
      </c>
      <c r="AJ1187" s="20">
        <f t="shared" si="56"/>
        <v>35165</v>
      </c>
    </row>
    <row r="1188" spans="1:36" x14ac:dyDescent="0.2">
      <c r="A1188" s="17" t="s">
        <v>5782</v>
      </c>
      <c r="B1188" s="17">
        <v>44048</v>
      </c>
      <c r="C1188" s="20">
        <v>0</v>
      </c>
      <c r="D1188" s="20">
        <v>26454</v>
      </c>
      <c r="E1188" s="20">
        <v>26454</v>
      </c>
      <c r="F1188" s="20">
        <v>0</v>
      </c>
      <c r="G1188" s="20">
        <v>87829</v>
      </c>
      <c r="H1188" s="20">
        <v>21885</v>
      </c>
      <c r="I1188" s="20">
        <v>13949</v>
      </c>
      <c r="J1188" s="20">
        <v>17393</v>
      </c>
      <c r="K1188" s="20">
        <v>668762</v>
      </c>
      <c r="L1188" s="20">
        <v>4683</v>
      </c>
      <c r="M1188" s="20">
        <v>370</v>
      </c>
      <c r="W1188" s="20">
        <f t="shared" si="54"/>
        <v>841325</v>
      </c>
      <c r="X1188" s="36">
        <v>-81236</v>
      </c>
      <c r="Y1188" s="36">
        <v>-721079</v>
      </c>
      <c r="Z1188" s="36">
        <v>0</v>
      </c>
      <c r="AA1188" s="36">
        <v>-4684</v>
      </c>
      <c r="AB1188" s="36"/>
      <c r="AC1188" s="36"/>
      <c r="AD1188" s="36">
        <v>0</v>
      </c>
      <c r="AE1188" s="36"/>
      <c r="AF1188" s="36"/>
      <c r="AG1188" s="36"/>
      <c r="AH1188" s="36"/>
      <c r="AI1188" s="20">
        <f t="shared" si="55"/>
        <v>-806999</v>
      </c>
      <c r="AJ1188" s="20">
        <f t="shared" si="56"/>
        <v>34326</v>
      </c>
    </row>
    <row r="1189" spans="1:36" x14ac:dyDescent="0.2">
      <c r="A1189" s="17" t="s">
        <v>5783</v>
      </c>
      <c r="B1189" s="17">
        <v>44055</v>
      </c>
      <c r="C1189" s="20">
        <v>0</v>
      </c>
      <c r="D1189" s="20">
        <v>25469</v>
      </c>
      <c r="E1189" s="20">
        <v>25469</v>
      </c>
      <c r="F1189" s="20">
        <v>0</v>
      </c>
      <c r="G1189" s="20">
        <v>87338</v>
      </c>
      <c r="H1189" s="20">
        <v>22217</v>
      </c>
      <c r="I1189" s="20">
        <v>13952</v>
      </c>
      <c r="J1189" s="20">
        <v>17483</v>
      </c>
      <c r="K1189" s="20">
        <v>675311</v>
      </c>
      <c r="L1189" s="20">
        <v>4709</v>
      </c>
      <c r="M1189" s="20">
        <v>370</v>
      </c>
      <c r="W1189" s="20">
        <f t="shared" si="54"/>
        <v>846849</v>
      </c>
      <c r="X1189" s="36">
        <v>-81388</v>
      </c>
      <c r="Y1189" s="36">
        <v>-723510</v>
      </c>
      <c r="Z1189" s="36">
        <v>0</v>
      </c>
      <c r="AA1189" s="36">
        <v>-4710</v>
      </c>
      <c r="AB1189" s="36"/>
      <c r="AC1189" s="36"/>
      <c r="AD1189" s="36">
        <v>0</v>
      </c>
      <c r="AE1189" s="36"/>
      <c r="AF1189" s="36"/>
      <c r="AG1189" s="36"/>
      <c r="AH1189" s="36"/>
      <c r="AI1189" s="20">
        <f t="shared" si="55"/>
        <v>-809608</v>
      </c>
      <c r="AJ1189" s="20">
        <f t="shared" si="56"/>
        <v>37241</v>
      </c>
    </row>
    <row r="1190" spans="1:36" x14ac:dyDescent="0.2">
      <c r="A1190" s="17" t="s">
        <v>5784</v>
      </c>
      <c r="B1190" s="17">
        <v>44062</v>
      </c>
      <c r="C1190" s="20">
        <v>0</v>
      </c>
      <c r="D1190" s="20">
        <v>25519</v>
      </c>
      <c r="E1190" s="20">
        <v>25519</v>
      </c>
      <c r="F1190" s="20">
        <v>0</v>
      </c>
      <c r="G1190" s="20">
        <v>81911</v>
      </c>
      <c r="H1190" s="20">
        <v>28216</v>
      </c>
      <c r="I1190" s="20">
        <v>13970</v>
      </c>
      <c r="J1190" s="20">
        <v>17533</v>
      </c>
      <c r="K1190" s="20">
        <v>679890</v>
      </c>
      <c r="L1190" s="20">
        <v>4665</v>
      </c>
      <c r="M1190" s="20">
        <v>370</v>
      </c>
      <c r="W1190" s="20">
        <f t="shared" si="54"/>
        <v>852074</v>
      </c>
      <c r="X1190" s="36">
        <v>-81288</v>
      </c>
      <c r="Y1190" s="36">
        <v>-729045</v>
      </c>
      <c r="Z1190" s="36">
        <v>0</v>
      </c>
      <c r="AA1190" s="36">
        <v>-4667</v>
      </c>
      <c r="AB1190" s="36"/>
      <c r="AC1190" s="36"/>
      <c r="AD1190" s="36">
        <v>0</v>
      </c>
      <c r="AE1190" s="36"/>
      <c r="AF1190" s="36"/>
      <c r="AG1190" s="36"/>
      <c r="AH1190" s="36"/>
      <c r="AI1190" s="20">
        <f t="shared" si="55"/>
        <v>-815000</v>
      </c>
      <c r="AJ1190" s="20">
        <f t="shared" si="56"/>
        <v>37074</v>
      </c>
    </row>
    <row r="1191" spans="1:36" x14ac:dyDescent="0.2">
      <c r="A1191" s="17" t="s">
        <v>5785</v>
      </c>
      <c r="B1191" s="17">
        <v>44069</v>
      </c>
      <c r="C1191" s="20">
        <v>0</v>
      </c>
      <c r="D1191" s="20">
        <v>25634</v>
      </c>
      <c r="E1191" s="20">
        <v>25634</v>
      </c>
      <c r="F1191" s="20">
        <v>0</v>
      </c>
      <c r="G1191" s="20">
        <v>80945</v>
      </c>
      <c r="H1191" s="20">
        <v>29823</v>
      </c>
      <c r="I1191" s="20">
        <v>13974</v>
      </c>
      <c r="J1191" s="20">
        <v>17532</v>
      </c>
      <c r="K1191" s="20">
        <v>684467</v>
      </c>
      <c r="L1191" s="20">
        <v>4645</v>
      </c>
      <c r="M1191" s="20">
        <v>370</v>
      </c>
      <c r="W1191" s="20">
        <f t="shared" si="54"/>
        <v>857390</v>
      </c>
      <c r="X1191" s="36">
        <v>-81348</v>
      </c>
      <c r="Y1191" s="36">
        <v>-735560</v>
      </c>
      <c r="Z1191" s="36">
        <v>0</v>
      </c>
      <c r="AA1191" s="36">
        <v>-4647</v>
      </c>
      <c r="AB1191" s="36"/>
      <c r="AC1191" s="36"/>
      <c r="AD1191" s="36">
        <v>0</v>
      </c>
      <c r="AE1191" s="36"/>
      <c r="AF1191" s="36"/>
      <c r="AG1191" s="36"/>
      <c r="AH1191" s="36"/>
      <c r="AI1191" s="20">
        <f t="shared" si="55"/>
        <v>-821555</v>
      </c>
      <c r="AJ1191" s="20">
        <f t="shared" si="56"/>
        <v>35835</v>
      </c>
    </row>
    <row r="1192" spans="1:36" x14ac:dyDescent="0.2">
      <c r="A1192" s="17" t="s">
        <v>5786</v>
      </c>
      <c r="B1192" s="17">
        <v>44076</v>
      </c>
      <c r="C1192" s="20">
        <v>0</v>
      </c>
      <c r="D1192" s="20">
        <v>25959</v>
      </c>
      <c r="E1192" s="20">
        <v>25959</v>
      </c>
      <c r="F1192" s="20">
        <v>0</v>
      </c>
      <c r="G1192" s="20">
        <v>80935</v>
      </c>
      <c r="H1192" s="20">
        <v>33606</v>
      </c>
      <c r="I1192" s="20">
        <v>13956</v>
      </c>
      <c r="J1192" s="20">
        <v>17433</v>
      </c>
      <c r="K1192" s="20">
        <v>687555</v>
      </c>
      <c r="L1192" s="20">
        <v>4609</v>
      </c>
      <c r="M1192" s="20">
        <v>370</v>
      </c>
      <c r="W1192" s="20">
        <f t="shared" si="54"/>
        <v>864423</v>
      </c>
      <c r="X1192" s="36">
        <v>-81664</v>
      </c>
      <c r="Y1192" s="36">
        <v>-732945</v>
      </c>
      <c r="Z1192" s="36">
        <v>0</v>
      </c>
      <c r="AA1192" s="36">
        <v>-4612</v>
      </c>
      <c r="AB1192" s="36"/>
      <c r="AC1192" s="36"/>
      <c r="AD1192" s="36">
        <v>0</v>
      </c>
      <c r="AE1192" s="36"/>
      <c r="AF1192" s="36"/>
      <c r="AG1192" s="36"/>
      <c r="AH1192" s="36"/>
      <c r="AI1192" s="20">
        <f t="shared" si="55"/>
        <v>-819221</v>
      </c>
      <c r="AJ1192" s="20">
        <f t="shared" si="56"/>
        <v>45202</v>
      </c>
    </row>
    <row r="1193" spans="1:36" x14ac:dyDescent="0.2">
      <c r="A1193" s="17" t="s">
        <v>5787</v>
      </c>
      <c r="B1193" s="17">
        <v>44083</v>
      </c>
      <c r="C1193" s="20">
        <v>0</v>
      </c>
      <c r="D1193" s="20">
        <v>9660</v>
      </c>
      <c r="E1193" s="20">
        <v>9660</v>
      </c>
      <c r="F1193" s="20">
        <v>0</v>
      </c>
      <c r="G1193" s="20">
        <v>80935</v>
      </c>
      <c r="H1193" s="20">
        <v>34326</v>
      </c>
      <c r="I1193" s="20">
        <v>13643</v>
      </c>
      <c r="J1193" s="20">
        <v>17678</v>
      </c>
      <c r="K1193" s="20">
        <v>693581</v>
      </c>
      <c r="L1193" s="20">
        <v>4694</v>
      </c>
      <c r="M1193" s="20">
        <v>370</v>
      </c>
      <c r="W1193" s="20">
        <f t="shared" si="54"/>
        <v>854887</v>
      </c>
      <c r="X1193" s="36">
        <v>-81695</v>
      </c>
      <c r="Y1193" s="36">
        <v>-720979</v>
      </c>
      <c r="Z1193" s="36">
        <v>0</v>
      </c>
      <c r="AA1193" s="36">
        <v>-4698</v>
      </c>
      <c r="AB1193" s="36"/>
      <c r="AC1193" s="36"/>
      <c r="AD1193" s="36">
        <v>0</v>
      </c>
      <c r="AE1193" s="36"/>
      <c r="AF1193" s="36"/>
      <c r="AG1193" s="36"/>
      <c r="AH1193" s="36"/>
      <c r="AI1193" s="20">
        <f t="shared" si="55"/>
        <v>-807372</v>
      </c>
      <c r="AJ1193" s="20">
        <f t="shared" si="56"/>
        <v>47515</v>
      </c>
    </row>
    <row r="1194" spans="1:36" x14ac:dyDescent="0.2">
      <c r="A1194" s="17" t="s">
        <v>5788</v>
      </c>
      <c r="B1194" s="17">
        <v>44090</v>
      </c>
      <c r="C1194" s="20">
        <v>0</v>
      </c>
      <c r="D1194" s="20">
        <v>9675</v>
      </c>
      <c r="E1194" s="20">
        <v>9675</v>
      </c>
      <c r="F1194" s="20">
        <v>0</v>
      </c>
      <c r="G1194" s="20">
        <v>75935</v>
      </c>
      <c r="H1194" s="20">
        <v>34724</v>
      </c>
      <c r="I1194" s="20">
        <v>13646</v>
      </c>
      <c r="J1194" s="20">
        <v>16991</v>
      </c>
      <c r="K1194" s="20">
        <v>697143</v>
      </c>
      <c r="L1194" s="20">
        <v>4692</v>
      </c>
      <c r="M1194" s="20">
        <v>370</v>
      </c>
      <c r="W1194" s="20">
        <f t="shared" si="54"/>
        <v>853176</v>
      </c>
      <c r="X1194" s="36">
        <v>-81720</v>
      </c>
      <c r="Y1194" s="36">
        <v>-720704</v>
      </c>
      <c r="Z1194" s="36">
        <v>0</v>
      </c>
      <c r="AA1194" s="36">
        <v>-4695</v>
      </c>
      <c r="AB1194" s="36"/>
      <c r="AC1194" s="36"/>
      <c r="AD1194" s="36">
        <v>0</v>
      </c>
      <c r="AE1194" s="36"/>
      <c r="AF1194" s="36"/>
      <c r="AG1194" s="36"/>
      <c r="AH1194" s="36"/>
      <c r="AI1194" s="20">
        <f t="shared" si="55"/>
        <v>-807119</v>
      </c>
      <c r="AJ1194" s="20">
        <f t="shared" si="56"/>
        <v>46057</v>
      </c>
    </row>
    <row r="1195" spans="1:36" x14ac:dyDescent="0.2">
      <c r="A1195" s="17" t="s">
        <v>5789</v>
      </c>
      <c r="B1195" s="17">
        <v>44097</v>
      </c>
      <c r="C1195" s="20">
        <v>0</v>
      </c>
      <c r="D1195" s="20">
        <v>9750</v>
      </c>
      <c r="E1195" s="20">
        <v>9750</v>
      </c>
      <c r="F1195" s="20">
        <v>0</v>
      </c>
      <c r="G1195" s="20">
        <v>75585</v>
      </c>
      <c r="H1195" s="20">
        <v>35223</v>
      </c>
      <c r="I1195" s="20">
        <v>13667</v>
      </c>
      <c r="J1195" s="20">
        <v>16423</v>
      </c>
      <c r="K1195" s="20">
        <v>703269</v>
      </c>
      <c r="L1195" s="20">
        <v>4782</v>
      </c>
      <c r="M1195" s="20">
        <v>370</v>
      </c>
      <c r="W1195" s="20">
        <f t="shared" si="54"/>
        <v>859069</v>
      </c>
      <c r="X1195" s="36">
        <v>-81793</v>
      </c>
      <c r="Y1195" s="36">
        <v>-722703</v>
      </c>
      <c r="Z1195" s="36">
        <v>0</v>
      </c>
      <c r="AA1195" s="36">
        <v>-4784</v>
      </c>
      <c r="AB1195" s="36"/>
      <c r="AC1195" s="36"/>
      <c r="AD1195" s="36">
        <v>0</v>
      </c>
      <c r="AE1195" s="36"/>
      <c r="AF1195" s="36"/>
      <c r="AG1195" s="36"/>
      <c r="AH1195" s="36"/>
      <c r="AI1195" s="20">
        <f t="shared" si="55"/>
        <v>-809280</v>
      </c>
      <c r="AJ1195" s="20">
        <f t="shared" si="56"/>
        <v>49789</v>
      </c>
    </row>
    <row r="1196" spans="1:36" x14ac:dyDescent="0.2">
      <c r="A1196" s="17" t="s">
        <v>5790</v>
      </c>
      <c r="B1196" s="17">
        <v>44104</v>
      </c>
      <c r="C1196" s="20">
        <v>0</v>
      </c>
      <c r="D1196" s="20">
        <v>9855</v>
      </c>
      <c r="E1196" s="20">
        <v>9855</v>
      </c>
      <c r="F1196" s="20">
        <v>0</v>
      </c>
      <c r="G1196" s="20">
        <v>72485</v>
      </c>
      <c r="H1196" s="20">
        <v>45148</v>
      </c>
      <c r="I1196" s="20">
        <v>13680</v>
      </c>
      <c r="J1196" s="20">
        <v>15724</v>
      </c>
      <c r="K1196" s="20">
        <v>708247</v>
      </c>
      <c r="L1196" s="20">
        <v>4720</v>
      </c>
      <c r="M1196" s="20">
        <v>370</v>
      </c>
      <c r="W1196" s="20">
        <f t="shared" si="54"/>
        <v>870229</v>
      </c>
      <c r="X1196" s="36">
        <v>-82060</v>
      </c>
      <c r="Y1196" s="36">
        <v>-731618</v>
      </c>
      <c r="Z1196" s="36">
        <v>0</v>
      </c>
      <c r="AA1196" s="36">
        <v>-4723</v>
      </c>
      <c r="AB1196" s="36"/>
      <c r="AC1196" s="36"/>
      <c r="AD1196" s="36">
        <v>0</v>
      </c>
      <c r="AE1196" s="36"/>
      <c r="AF1196" s="36"/>
      <c r="AG1196" s="36"/>
      <c r="AH1196" s="36"/>
      <c r="AI1196" s="20">
        <f t="shared" si="55"/>
        <v>-818401</v>
      </c>
      <c r="AJ1196" s="20">
        <f t="shared" si="56"/>
        <v>51828</v>
      </c>
    </row>
    <row r="1197" spans="1:36" x14ac:dyDescent="0.2">
      <c r="A1197" s="17" t="s">
        <v>5791</v>
      </c>
      <c r="B1197" s="17">
        <v>44111</v>
      </c>
      <c r="C1197" s="20">
        <v>0</v>
      </c>
      <c r="D1197" s="20">
        <v>9880</v>
      </c>
      <c r="E1197" s="20">
        <v>9880</v>
      </c>
      <c r="F1197" s="20">
        <v>0</v>
      </c>
      <c r="G1197" s="20">
        <v>72485</v>
      </c>
      <c r="H1197" s="20">
        <v>45159</v>
      </c>
      <c r="I1197" s="20">
        <v>13736</v>
      </c>
      <c r="J1197" s="20">
        <v>15849</v>
      </c>
      <c r="K1197" s="20">
        <v>710002</v>
      </c>
      <c r="L1197" s="20">
        <v>4732</v>
      </c>
      <c r="M1197" s="20">
        <v>370</v>
      </c>
      <c r="W1197" s="20">
        <f t="shared" si="54"/>
        <v>872213</v>
      </c>
      <c r="X1197" s="36">
        <v>-82108</v>
      </c>
      <c r="Y1197" s="36">
        <v>-740507</v>
      </c>
      <c r="Z1197" s="36">
        <v>0</v>
      </c>
      <c r="AA1197" s="36">
        <v>-4733</v>
      </c>
      <c r="AB1197" s="36"/>
      <c r="AC1197" s="36"/>
      <c r="AD1197" s="36">
        <v>0</v>
      </c>
      <c r="AE1197" s="36"/>
      <c r="AF1197" s="36"/>
      <c r="AG1197" s="36"/>
      <c r="AH1197" s="36"/>
      <c r="AI1197" s="20">
        <f t="shared" si="55"/>
        <v>-827348</v>
      </c>
      <c r="AJ1197" s="20">
        <f t="shared" si="56"/>
        <v>44865</v>
      </c>
    </row>
    <row r="1198" spans="1:36" x14ac:dyDescent="0.2">
      <c r="A1198" s="17" t="s">
        <v>5792</v>
      </c>
      <c r="B1198" s="17">
        <v>44118</v>
      </c>
      <c r="C1198" s="20">
        <v>0</v>
      </c>
      <c r="D1198" s="20">
        <v>5905</v>
      </c>
      <c r="E1198" s="20">
        <v>5905</v>
      </c>
      <c r="F1198" s="20">
        <v>0</v>
      </c>
      <c r="G1198" s="20">
        <v>71235</v>
      </c>
      <c r="H1198" s="20">
        <v>45716</v>
      </c>
      <c r="I1198" s="20">
        <v>13804</v>
      </c>
      <c r="J1198" s="20">
        <v>15849</v>
      </c>
      <c r="K1198" s="20">
        <v>712948</v>
      </c>
      <c r="L1198" s="20">
        <v>4681</v>
      </c>
      <c r="M1198" s="20">
        <v>370</v>
      </c>
      <c r="W1198" s="20">
        <f t="shared" si="54"/>
        <v>870508</v>
      </c>
      <c r="X1198" s="36">
        <v>-82019</v>
      </c>
      <c r="Y1198" s="36">
        <v>-745080</v>
      </c>
      <c r="Z1198" s="36">
        <v>0</v>
      </c>
      <c r="AA1198" s="36">
        <v>-4682</v>
      </c>
      <c r="AB1198" s="36"/>
      <c r="AC1198" s="36"/>
      <c r="AD1198" s="36">
        <v>0</v>
      </c>
      <c r="AE1198" s="36"/>
      <c r="AF1198" s="36"/>
      <c r="AG1198" s="36"/>
      <c r="AH1198" s="36"/>
      <c r="AI1198" s="20">
        <f t="shared" si="55"/>
        <v>-831781</v>
      </c>
      <c r="AJ1198" s="20">
        <f t="shared" si="56"/>
        <v>38727</v>
      </c>
    </row>
    <row r="1199" spans="1:36" x14ac:dyDescent="0.2">
      <c r="A1199" s="17" t="s">
        <v>5793</v>
      </c>
      <c r="B1199" s="17">
        <v>44125</v>
      </c>
      <c r="C1199" s="20">
        <v>0</v>
      </c>
      <c r="D1199" s="20">
        <v>5905</v>
      </c>
      <c r="E1199" s="20">
        <v>5905</v>
      </c>
      <c r="F1199" s="20">
        <v>0</v>
      </c>
      <c r="G1199" s="20">
        <v>70835</v>
      </c>
      <c r="H1199" s="20">
        <v>46006</v>
      </c>
      <c r="I1199" s="20">
        <v>13862</v>
      </c>
      <c r="J1199" s="20">
        <v>15236</v>
      </c>
      <c r="K1199" s="20">
        <v>714421</v>
      </c>
      <c r="L1199" s="20">
        <v>4639</v>
      </c>
      <c r="M1199" s="20">
        <v>370</v>
      </c>
      <c r="W1199" s="20">
        <f t="shared" si="54"/>
        <v>871274</v>
      </c>
      <c r="X1199" s="36">
        <v>-82130</v>
      </c>
      <c r="Y1199" s="36">
        <v>-747633</v>
      </c>
      <c r="Z1199" s="36">
        <v>0</v>
      </c>
      <c r="AA1199" s="36">
        <v>-4640</v>
      </c>
      <c r="AB1199" s="36"/>
      <c r="AC1199" s="36"/>
      <c r="AD1199" s="36">
        <v>0</v>
      </c>
      <c r="AE1199" s="36"/>
      <c r="AF1199" s="36"/>
      <c r="AG1199" s="36"/>
      <c r="AH1199" s="36"/>
      <c r="AI1199" s="20">
        <f t="shared" si="55"/>
        <v>-834403</v>
      </c>
      <c r="AJ1199" s="20">
        <f t="shared" si="56"/>
        <v>36871</v>
      </c>
    </row>
    <row r="1200" spans="1:36" x14ac:dyDescent="0.2">
      <c r="A1200" s="17" t="s">
        <v>5794</v>
      </c>
      <c r="B1200" s="17">
        <v>44132</v>
      </c>
      <c r="C1200" s="20">
        <v>0</v>
      </c>
      <c r="D1200" s="20">
        <v>5905</v>
      </c>
      <c r="E1200" s="20">
        <v>5905</v>
      </c>
      <c r="F1200" s="20">
        <v>0</v>
      </c>
      <c r="G1200" s="20">
        <v>70691</v>
      </c>
      <c r="H1200" s="20">
        <v>48528</v>
      </c>
      <c r="I1200" s="20">
        <v>13879</v>
      </c>
      <c r="J1200" s="20">
        <v>15291</v>
      </c>
      <c r="K1200" s="20">
        <v>717367</v>
      </c>
      <c r="L1200" s="20">
        <v>4693</v>
      </c>
      <c r="M1200" s="20">
        <v>370</v>
      </c>
      <c r="W1200" s="20">
        <f t="shared" si="54"/>
        <v>876724</v>
      </c>
      <c r="X1200" s="36">
        <v>-82304</v>
      </c>
      <c r="Y1200" s="36">
        <v>-754166</v>
      </c>
      <c r="Z1200" s="36">
        <v>0</v>
      </c>
      <c r="AA1200" s="36">
        <v>-4695</v>
      </c>
      <c r="AB1200" s="36"/>
      <c r="AC1200" s="36"/>
      <c r="AD1200" s="36">
        <v>0</v>
      </c>
      <c r="AE1200" s="36"/>
      <c r="AF1200" s="36"/>
      <c r="AG1200" s="36"/>
      <c r="AH1200" s="36"/>
      <c r="AI1200" s="20">
        <f t="shared" si="55"/>
        <v>-841165</v>
      </c>
      <c r="AJ1200" s="20">
        <f t="shared" si="56"/>
        <v>35559</v>
      </c>
    </row>
    <row r="1201" spans="1:36" x14ac:dyDescent="0.2">
      <c r="A1201" s="17" t="s">
        <v>5795</v>
      </c>
      <c r="B1201" s="17">
        <v>44139</v>
      </c>
      <c r="C1201" s="20">
        <v>0</v>
      </c>
      <c r="D1201" s="20">
        <v>5910</v>
      </c>
      <c r="E1201" s="20">
        <v>5910</v>
      </c>
      <c r="F1201" s="20">
        <v>0</v>
      </c>
      <c r="G1201" s="20">
        <v>70566</v>
      </c>
      <c r="H1201" s="20">
        <v>49645</v>
      </c>
      <c r="I1201" s="20">
        <v>13915</v>
      </c>
      <c r="J1201" s="20">
        <v>15321</v>
      </c>
      <c r="K1201" s="20">
        <v>718840</v>
      </c>
      <c r="L1201" s="20">
        <v>4700</v>
      </c>
      <c r="M1201" s="20">
        <v>370</v>
      </c>
      <c r="W1201" s="20">
        <f t="shared" si="54"/>
        <v>879267</v>
      </c>
      <c r="X1201" s="36">
        <v>-82450</v>
      </c>
      <c r="Y1201" s="36">
        <v>-761947</v>
      </c>
      <c r="Z1201" s="36">
        <v>0</v>
      </c>
      <c r="AA1201" s="36">
        <v>-4702</v>
      </c>
      <c r="AB1201" s="36"/>
      <c r="AC1201" s="36"/>
      <c r="AD1201" s="36">
        <v>0</v>
      </c>
      <c r="AE1201" s="36"/>
      <c r="AF1201" s="36"/>
      <c r="AG1201" s="36"/>
      <c r="AH1201" s="36"/>
      <c r="AI1201" s="20">
        <f t="shared" si="55"/>
        <v>-849099</v>
      </c>
      <c r="AJ1201" s="20">
        <f t="shared" si="56"/>
        <v>30168</v>
      </c>
    </row>
    <row r="1202" spans="1:36" x14ac:dyDescent="0.2">
      <c r="A1202" s="17" t="s">
        <v>5796</v>
      </c>
      <c r="B1202" s="17">
        <v>44146</v>
      </c>
      <c r="C1202" s="20">
        <v>0</v>
      </c>
      <c r="D1202" s="20">
        <v>5860</v>
      </c>
      <c r="E1202" s="20">
        <v>5860</v>
      </c>
      <c r="F1202" s="20">
        <v>0</v>
      </c>
      <c r="G1202" s="20">
        <v>70256</v>
      </c>
      <c r="H1202" s="20">
        <v>49654</v>
      </c>
      <c r="I1202" s="20">
        <v>13947</v>
      </c>
      <c r="J1202" s="20">
        <v>15236</v>
      </c>
      <c r="K1202" s="20">
        <v>721786</v>
      </c>
      <c r="L1202" s="20">
        <v>4620</v>
      </c>
      <c r="M1202" s="20">
        <v>370</v>
      </c>
      <c r="W1202" s="20">
        <f t="shared" si="54"/>
        <v>881729</v>
      </c>
      <c r="X1202" s="36">
        <v>-82551</v>
      </c>
      <c r="Y1202" s="36">
        <v>-766661</v>
      </c>
      <c r="Z1202" s="36">
        <v>0</v>
      </c>
      <c r="AA1202" s="36">
        <v>-4621</v>
      </c>
      <c r="AB1202" s="36"/>
      <c r="AC1202" s="36"/>
      <c r="AD1202" s="36">
        <v>0</v>
      </c>
      <c r="AE1202" s="36"/>
      <c r="AF1202" s="36"/>
      <c r="AG1202" s="36"/>
      <c r="AH1202" s="36"/>
      <c r="AI1202" s="20">
        <f t="shared" si="55"/>
        <v>-853833</v>
      </c>
      <c r="AJ1202" s="20">
        <f t="shared" si="56"/>
        <v>27896</v>
      </c>
    </row>
    <row r="1203" spans="1:36" x14ac:dyDescent="0.2">
      <c r="A1203" s="17" t="s">
        <v>5797</v>
      </c>
      <c r="B1203" s="17">
        <v>44153</v>
      </c>
      <c r="C1203" s="20">
        <v>0</v>
      </c>
      <c r="D1203" s="20">
        <v>5860</v>
      </c>
      <c r="E1203" s="20">
        <v>5860</v>
      </c>
      <c r="F1203" s="20">
        <v>0</v>
      </c>
      <c r="G1203" s="20">
        <v>69756</v>
      </c>
      <c r="H1203" s="20">
        <v>50251</v>
      </c>
      <c r="I1203" s="20">
        <v>14040</v>
      </c>
      <c r="J1203" s="20">
        <v>15360</v>
      </c>
      <c r="K1203" s="20">
        <v>726205</v>
      </c>
      <c r="L1203" s="20">
        <v>4589</v>
      </c>
      <c r="M1203" s="20">
        <v>370</v>
      </c>
      <c r="W1203" s="20">
        <f t="shared" si="54"/>
        <v>886431</v>
      </c>
      <c r="X1203" s="36">
        <v>-82540</v>
      </c>
      <c r="Y1203" s="36">
        <v>-768196</v>
      </c>
      <c r="Z1203" s="36">
        <v>0</v>
      </c>
      <c r="AA1203" s="36">
        <v>-4590</v>
      </c>
      <c r="AB1203" s="36"/>
      <c r="AC1203" s="36"/>
      <c r="AD1203" s="36">
        <v>0</v>
      </c>
      <c r="AE1203" s="36"/>
      <c r="AF1203" s="36"/>
      <c r="AG1203" s="36"/>
      <c r="AH1203" s="36"/>
      <c r="AI1203" s="20">
        <f t="shared" si="55"/>
        <v>-855326</v>
      </c>
      <c r="AJ1203" s="20">
        <f t="shared" si="56"/>
        <v>31105</v>
      </c>
    </row>
    <row r="1204" spans="1:36" x14ac:dyDescent="0.2">
      <c r="A1204" s="17" t="s">
        <v>5798</v>
      </c>
      <c r="B1204" s="17">
        <v>44160</v>
      </c>
      <c r="C1204" s="20">
        <v>0</v>
      </c>
      <c r="D1204" s="20">
        <v>5860</v>
      </c>
      <c r="E1204" s="20">
        <v>5860</v>
      </c>
      <c r="F1204" s="20">
        <v>0</v>
      </c>
      <c r="G1204" s="20">
        <v>67312</v>
      </c>
      <c r="H1204" s="20">
        <v>50812</v>
      </c>
      <c r="I1204" s="20">
        <v>14076</v>
      </c>
      <c r="J1204" s="20">
        <v>15131</v>
      </c>
      <c r="K1204" s="20">
        <v>730624</v>
      </c>
      <c r="L1204" s="20">
        <v>4561</v>
      </c>
      <c r="M1204" s="20">
        <v>370</v>
      </c>
      <c r="W1204" s="20">
        <f t="shared" ref="W1204:W1209" si="57">SUM(C1204:D1204,G1204:M1204)</f>
        <v>888746</v>
      </c>
      <c r="X1204" s="36">
        <v>-82708</v>
      </c>
      <c r="Y1204" s="36">
        <v>-770091</v>
      </c>
      <c r="Z1204" s="36">
        <v>0</v>
      </c>
      <c r="AA1204" s="36">
        <v>-4562</v>
      </c>
      <c r="AB1204" s="36"/>
      <c r="AC1204" s="36"/>
      <c r="AD1204" s="36">
        <v>0</v>
      </c>
      <c r="AE1204" s="36"/>
      <c r="AF1204" s="36"/>
      <c r="AG1204" s="36"/>
      <c r="AH1204" s="36"/>
      <c r="AI1204" s="20">
        <f t="shared" si="55"/>
        <v>-857361</v>
      </c>
      <c r="AJ1204" s="20">
        <f t="shared" si="56"/>
        <v>31385</v>
      </c>
    </row>
    <row r="1205" spans="1:36" x14ac:dyDescent="0.2">
      <c r="A1205" s="17" t="s">
        <v>5799</v>
      </c>
      <c r="B1205" s="17">
        <v>44167</v>
      </c>
      <c r="C1205" s="20">
        <v>0</v>
      </c>
      <c r="D1205" s="20">
        <v>5873</v>
      </c>
      <c r="E1205" s="20">
        <v>5873</v>
      </c>
      <c r="F1205" s="20">
        <v>0</v>
      </c>
      <c r="G1205" s="20">
        <v>60389</v>
      </c>
      <c r="H1205" s="20">
        <v>56166</v>
      </c>
      <c r="I1205" s="20">
        <v>14097</v>
      </c>
      <c r="J1205" s="20">
        <v>15142</v>
      </c>
      <c r="K1205" s="20">
        <v>735042</v>
      </c>
      <c r="L1205" s="20">
        <v>4578</v>
      </c>
      <c r="M1205" s="20">
        <v>370</v>
      </c>
      <c r="W1205" s="20">
        <f t="shared" si="57"/>
        <v>891657</v>
      </c>
      <c r="X1205" s="36">
        <v>-83163</v>
      </c>
      <c r="Y1205" s="36">
        <v>-769745</v>
      </c>
      <c r="Z1205" s="36">
        <v>0</v>
      </c>
      <c r="AA1205" s="36">
        <v>-4580</v>
      </c>
      <c r="AB1205" s="36"/>
      <c r="AC1205" s="36"/>
      <c r="AD1205" s="36">
        <v>0</v>
      </c>
      <c r="AE1205" s="36"/>
      <c r="AF1205" s="36"/>
      <c r="AG1205" s="36"/>
      <c r="AH1205" s="36"/>
      <c r="AI1205" s="20">
        <f t="shared" si="55"/>
        <v>-857488</v>
      </c>
      <c r="AJ1205" s="20">
        <f t="shared" si="56"/>
        <v>34169</v>
      </c>
    </row>
    <row r="1206" spans="1:36" x14ac:dyDescent="0.2">
      <c r="A1206" s="17" t="s">
        <v>5800</v>
      </c>
      <c r="B1206" s="17">
        <v>44174</v>
      </c>
      <c r="C1206" s="20">
        <v>0</v>
      </c>
      <c r="D1206" s="20">
        <v>4683</v>
      </c>
      <c r="E1206" s="20">
        <v>4683</v>
      </c>
      <c r="F1206" s="20">
        <v>0</v>
      </c>
      <c r="G1206" s="20">
        <v>57520</v>
      </c>
      <c r="H1206" s="20">
        <v>57597</v>
      </c>
      <c r="I1206" s="20">
        <v>14079</v>
      </c>
      <c r="J1206" s="20">
        <v>14887</v>
      </c>
      <c r="K1206" s="20">
        <v>739461</v>
      </c>
      <c r="L1206" s="20">
        <v>4555</v>
      </c>
      <c r="M1206" s="20">
        <v>370</v>
      </c>
      <c r="W1206" s="20">
        <f t="shared" si="57"/>
        <v>893152</v>
      </c>
      <c r="X1206" s="36">
        <v>-83783</v>
      </c>
      <c r="Y1206" s="36">
        <v>-767734</v>
      </c>
      <c r="Z1206" s="36">
        <v>0</v>
      </c>
      <c r="AA1206" s="36">
        <v>-4556</v>
      </c>
      <c r="AB1206" s="36"/>
      <c r="AC1206" s="36"/>
      <c r="AD1206" s="36">
        <v>0</v>
      </c>
      <c r="AE1206" s="36"/>
      <c r="AF1206" s="36"/>
      <c r="AG1206" s="36"/>
      <c r="AH1206" s="36"/>
      <c r="AI1206" s="20">
        <f t="shared" si="55"/>
        <v>-856073</v>
      </c>
      <c r="AJ1206" s="20">
        <f t="shared" si="56"/>
        <v>37079</v>
      </c>
    </row>
    <row r="1207" spans="1:36" x14ac:dyDescent="0.2">
      <c r="A1207" s="17" t="s">
        <v>5801</v>
      </c>
      <c r="B1207" s="17">
        <v>44181</v>
      </c>
      <c r="C1207" s="20">
        <v>0</v>
      </c>
      <c r="D1207" s="20">
        <v>4688</v>
      </c>
      <c r="E1207" s="20">
        <v>4688</v>
      </c>
      <c r="F1207" s="20">
        <v>0</v>
      </c>
      <c r="G1207" s="20">
        <v>51197</v>
      </c>
      <c r="H1207" s="20">
        <v>67277</v>
      </c>
      <c r="I1207" s="20">
        <v>14153</v>
      </c>
      <c r="J1207" s="20">
        <v>13408</v>
      </c>
      <c r="K1207" s="20">
        <v>743880</v>
      </c>
      <c r="L1207" s="20">
        <v>4524</v>
      </c>
      <c r="M1207" s="20">
        <v>370</v>
      </c>
      <c r="W1207" s="20">
        <f t="shared" si="57"/>
        <v>899497</v>
      </c>
      <c r="X1207" s="36">
        <v>-84306</v>
      </c>
      <c r="Y1207" s="36">
        <v>-772815</v>
      </c>
      <c r="Z1207" s="36">
        <v>0</v>
      </c>
      <c r="AA1207" s="36">
        <v>-4526</v>
      </c>
      <c r="AB1207" s="36"/>
      <c r="AC1207" s="36"/>
      <c r="AD1207" s="36">
        <v>0</v>
      </c>
      <c r="AE1207" s="36"/>
      <c r="AF1207" s="36"/>
      <c r="AG1207" s="36"/>
      <c r="AH1207" s="36"/>
      <c r="AI1207" s="20">
        <f t="shared" si="55"/>
        <v>-861647</v>
      </c>
      <c r="AJ1207" s="20">
        <f t="shared" si="56"/>
        <v>37850</v>
      </c>
    </row>
    <row r="1208" spans="1:36" x14ac:dyDescent="0.2">
      <c r="A1208" s="17" t="s">
        <v>5802</v>
      </c>
      <c r="B1208" s="17">
        <v>44188</v>
      </c>
      <c r="C1208" s="20">
        <v>0</v>
      </c>
      <c r="D1208" s="20">
        <v>4698</v>
      </c>
      <c r="E1208" s="20">
        <v>4698</v>
      </c>
      <c r="F1208" s="20">
        <v>0</v>
      </c>
      <c r="G1208" s="20">
        <v>50405</v>
      </c>
      <c r="H1208" s="20">
        <v>68222</v>
      </c>
      <c r="I1208" s="20">
        <v>14175</v>
      </c>
      <c r="J1208" s="20">
        <v>12237</v>
      </c>
      <c r="K1208" s="20">
        <v>744937</v>
      </c>
      <c r="L1208" s="20">
        <v>4513</v>
      </c>
      <c r="M1208" s="20">
        <v>370</v>
      </c>
      <c r="W1208" s="20">
        <f t="shared" si="57"/>
        <v>899557</v>
      </c>
      <c r="X1208" s="36">
        <v>-85246</v>
      </c>
      <c r="Y1208" s="36">
        <v>-770976</v>
      </c>
      <c r="Z1208" s="36">
        <v>0</v>
      </c>
      <c r="AA1208" s="36">
        <v>-4516</v>
      </c>
      <c r="AB1208" s="36"/>
      <c r="AC1208" s="36"/>
      <c r="AD1208" s="36">
        <v>0</v>
      </c>
      <c r="AE1208" s="36"/>
      <c r="AF1208" s="36"/>
      <c r="AG1208" s="36"/>
      <c r="AH1208" s="36"/>
      <c r="AI1208" s="20">
        <f t="shared" si="55"/>
        <v>-860738</v>
      </c>
      <c r="AJ1208" s="20">
        <f t="shared" si="56"/>
        <v>38819</v>
      </c>
    </row>
    <row r="1209" spans="1:36" x14ac:dyDescent="0.2">
      <c r="A1209" s="17" t="s">
        <v>5803</v>
      </c>
      <c r="B1209" s="17">
        <v>44195</v>
      </c>
      <c r="C1209" s="20">
        <v>0</v>
      </c>
      <c r="D1209" s="20">
        <v>4698</v>
      </c>
      <c r="E1209" s="20">
        <v>4698</v>
      </c>
      <c r="F1209" s="20">
        <v>0</v>
      </c>
      <c r="G1209" s="20">
        <v>50110</v>
      </c>
      <c r="H1209" s="20">
        <v>68243</v>
      </c>
      <c r="I1209" s="20">
        <v>14179</v>
      </c>
      <c r="J1209" s="20">
        <v>12162</v>
      </c>
      <c r="K1209" s="20">
        <v>744937</v>
      </c>
      <c r="L1209" s="20">
        <v>4487</v>
      </c>
      <c r="M1209" s="20">
        <v>370</v>
      </c>
      <c r="W1209" s="20">
        <f t="shared" si="57"/>
        <v>899186</v>
      </c>
      <c r="X1209" s="36">
        <v>-85394</v>
      </c>
      <c r="Y1209" s="36">
        <v>-767807</v>
      </c>
      <c r="Z1209" s="36">
        <v>0</v>
      </c>
      <c r="AA1209" s="36">
        <v>-4489</v>
      </c>
      <c r="AB1209" s="36"/>
      <c r="AC1209" s="36"/>
      <c r="AD1209" s="36">
        <v>0</v>
      </c>
      <c r="AE1209" s="36"/>
      <c r="AF1209" s="36"/>
      <c r="AG1209" s="36"/>
      <c r="AH1209" s="36"/>
      <c r="AI1209" s="20">
        <f t="shared" si="55"/>
        <v>-857690</v>
      </c>
      <c r="AJ1209" s="20">
        <f t="shared" si="56"/>
        <v>41496</v>
      </c>
    </row>
  </sheetData>
  <mergeCells count="6">
    <mergeCell ref="A1:B3"/>
    <mergeCell ref="C1:W1"/>
    <mergeCell ref="X1:AH1"/>
    <mergeCell ref="AJ1:AJ4"/>
    <mergeCell ref="W2:W5"/>
    <mergeCell ref="AI2:A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CC9D-B554-D84E-A7D1-497CA420839F}">
  <sheetPr codeName="Sheet4"/>
  <dimension ref="A1:B49"/>
  <sheetViews>
    <sheetView workbookViewId="0">
      <selection activeCell="E19" sqref="E19"/>
    </sheetView>
  </sheetViews>
  <sheetFormatPr baseColWidth="10" defaultRowHeight="15" x14ac:dyDescent="0.2"/>
  <cols>
    <col min="1" max="1" width="15.6640625" customWidth="1"/>
    <col min="2" max="2" width="14" style="4" customWidth="1"/>
  </cols>
  <sheetData>
    <row r="1" spans="1:2" x14ac:dyDescent="0.2">
      <c r="A1" s="16" t="s">
        <v>0</v>
      </c>
      <c r="B1" s="42" t="s">
        <v>4517</v>
      </c>
    </row>
    <row r="2" spans="1:2" x14ac:dyDescent="0.2">
      <c r="A2" s="17">
        <v>35740</v>
      </c>
      <c r="B2" s="4">
        <v>7.2499999999999995E-2</v>
      </c>
    </row>
    <row r="3" spans="1:2" x14ac:dyDescent="0.2">
      <c r="A3" s="17">
        <v>35950</v>
      </c>
      <c r="B3" s="4">
        <v>7.4999999999999997E-2</v>
      </c>
    </row>
    <row r="4" spans="1:2" x14ac:dyDescent="0.2">
      <c r="A4" s="17">
        <v>36076</v>
      </c>
      <c r="B4" s="4">
        <v>7.2499999999999995E-2</v>
      </c>
    </row>
    <row r="5" spans="1:2" x14ac:dyDescent="0.2">
      <c r="A5" s="17">
        <v>36104</v>
      </c>
      <c r="B5" s="4">
        <v>6.7500000000000004E-2</v>
      </c>
    </row>
    <row r="6" spans="1:2" x14ac:dyDescent="0.2">
      <c r="A6" s="17">
        <v>36139</v>
      </c>
      <c r="B6" s="4">
        <v>6.25E-2</v>
      </c>
    </row>
    <row r="7" spans="1:2" x14ac:dyDescent="0.2">
      <c r="A7" s="17">
        <v>36167</v>
      </c>
      <c r="B7" s="4">
        <v>0.06</v>
      </c>
    </row>
    <row r="8" spans="1:2" x14ac:dyDescent="0.2">
      <c r="A8" s="17">
        <v>36195</v>
      </c>
      <c r="B8" s="4">
        <v>5.5E-2</v>
      </c>
    </row>
    <row r="9" spans="1:2" x14ac:dyDescent="0.2">
      <c r="A9" s="17">
        <v>36258</v>
      </c>
      <c r="B9" s="4">
        <v>5.2499999999999998E-2</v>
      </c>
    </row>
    <row r="10" spans="1:2" x14ac:dyDescent="0.2">
      <c r="A10" s="17">
        <v>36321</v>
      </c>
      <c r="B10" s="4">
        <v>0.05</v>
      </c>
    </row>
    <row r="11" spans="1:2" x14ac:dyDescent="0.2">
      <c r="A11" s="17">
        <v>36411</v>
      </c>
      <c r="B11" s="4">
        <v>5.2499999999999998E-2</v>
      </c>
    </row>
    <row r="12" spans="1:2" x14ac:dyDescent="0.2">
      <c r="A12" s="17">
        <v>36468</v>
      </c>
      <c r="B12" s="4">
        <v>5.5E-2</v>
      </c>
    </row>
    <row r="13" spans="1:2" x14ac:dyDescent="0.2">
      <c r="A13" s="17">
        <v>36538</v>
      </c>
      <c r="B13" s="4">
        <v>5.7500000000000002E-2</v>
      </c>
    </row>
    <row r="14" spans="1:2" x14ac:dyDescent="0.2">
      <c r="A14" s="17">
        <v>36566</v>
      </c>
      <c r="B14" s="4">
        <v>0.06</v>
      </c>
    </row>
    <row r="15" spans="1:2" x14ac:dyDescent="0.2">
      <c r="A15" s="17">
        <v>36930</v>
      </c>
      <c r="B15" s="4">
        <v>5.7500000000000002E-2</v>
      </c>
    </row>
    <row r="16" spans="1:2" x14ac:dyDescent="0.2">
      <c r="A16" s="17">
        <v>36986</v>
      </c>
      <c r="B16" s="4">
        <v>5.5E-2</v>
      </c>
    </row>
    <row r="17" spans="1:2" x14ac:dyDescent="0.2">
      <c r="A17" s="17">
        <v>37021</v>
      </c>
      <c r="B17" s="4">
        <v>5.2499999999999998E-2</v>
      </c>
    </row>
    <row r="18" spans="1:2" x14ac:dyDescent="0.2">
      <c r="A18" s="17">
        <v>37105</v>
      </c>
      <c r="B18" s="4">
        <v>0.05</v>
      </c>
    </row>
    <row r="19" spans="1:2" x14ac:dyDescent="0.2">
      <c r="A19" s="17">
        <v>37152</v>
      </c>
      <c r="B19" s="4">
        <v>4.7500000000000001E-2</v>
      </c>
    </row>
    <row r="20" spans="1:2" x14ac:dyDescent="0.2">
      <c r="A20" s="17">
        <v>37168</v>
      </c>
      <c r="B20" s="4">
        <v>4.4999999999999998E-2</v>
      </c>
    </row>
    <row r="21" spans="1:2" x14ac:dyDescent="0.2">
      <c r="A21" s="17">
        <v>37203</v>
      </c>
      <c r="B21" s="4">
        <v>0.04</v>
      </c>
    </row>
    <row r="22" spans="1:2" x14ac:dyDescent="0.2">
      <c r="A22" s="17">
        <v>37658</v>
      </c>
      <c r="B22" s="4">
        <v>3.7499999999999999E-2</v>
      </c>
    </row>
    <row r="23" spans="1:2" x14ac:dyDescent="0.2">
      <c r="A23" s="17">
        <v>37812</v>
      </c>
      <c r="B23" s="4">
        <v>3.5000000000000003E-2</v>
      </c>
    </row>
    <row r="24" spans="1:2" x14ac:dyDescent="0.2">
      <c r="A24" s="17">
        <v>37931</v>
      </c>
      <c r="B24" s="4">
        <v>3.7499999999999999E-2</v>
      </c>
    </row>
    <row r="25" spans="1:2" x14ac:dyDescent="0.2">
      <c r="A25" s="17">
        <v>38022</v>
      </c>
      <c r="B25" s="4">
        <v>0.04</v>
      </c>
    </row>
    <row r="26" spans="1:2" x14ac:dyDescent="0.2">
      <c r="A26" s="17">
        <v>38113</v>
      </c>
      <c r="B26" s="4">
        <v>4.2500000000000003E-2</v>
      </c>
    </row>
    <row r="27" spans="1:2" x14ac:dyDescent="0.2">
      <c r="A27" s="17">
        <v>38148</v>
      </c>
      <c r="B27" s="4">
        <v>4.4999999999999998E-2</v>
      </c>
    </row>
    <row r="28" spans="1:2" x14ac:dyDescent="0.2">
      <c r="A28" s="17">
        <v>38204</v>
      </c>
      <c r="B28" s="4">
        <v>4.7500000000000001E-2</v>
      </c>
    </row>
    <row r="29" spans="1:2" x14ac:dyDescent="0.2">
      <c r="A29" s="17">
        <v>38568</v>
      </c>
      <c r="B29" s="4">
        <v>4.4999999999999998E-2</v>
      </c>
    </row>
    <row r="30" spans="1:2" x14ac:dyDescent="0.2">
      <c r="A30" s="17">
        <v>38932</v>
      </c>
      <c r="B30" s="4">
        <v>4.7500000000000001E-2</v>
      </c>
    </row>
    <row r="31" spans="1:2" x14ac:dyDescent="0.2">
      <c r="A31" s="17">
        <v>39030</v>
      </c>
      <c r="B31" s="4">
        <v>0.05</v>
      </c>
    </row>
    <row r="32" spans="1:2" x14ac:dyDescent="0.2">
      <c r="A32" s="17">
        <v>39093</v>
      </c>
      <c r="B32" s="4">
        <v>5.2499999999999998E-2</v>
      </c>
    </row>
    <row r="33" spans="1:2" x14ac:dyDescent="0.2">
      <c r="A33" s="17">
        <v>39212</v>
      </c>
      <c r="B33" s="4">
        <v>5.5E-2</v>
      </c>
    </row>
    <row r="34" spans="1:2" x14ac:dyDescent="0.2">
      <c r="A34" s="17">
        <v>39268</v>
      </c>
      <c r="B34" s="4">
        <v>5.7500000000000002E-2</v>
      </c>
    </row>
    <row r="35" spans="1:2" x14ac:dyDescent="0.2">
      <c r="A35" s="17">
        <v>39422</v>
      </c>
      <c r="B35" s="4">
        <v>5.5E-2</v>
      </c>
    </row>
    <row r="36" spans="1:2" x14ac:dyDescent="0.2">
      <c r="A36" s="17">
        <v>39485</v>
      </c>
      <c r="B36" s="4">
        <v>5.2499999999999998E-2</v>
      </c>
    </row>
    <row r="37" spans="1:2" x14ac:dyDescent="0.2">
      <c r="A37" s="17">
        <v>39548</v>
      </c>
      <c r="B37" s="4">
        <v>0.05</v>
      </c>
    </row>
    <row r="38" spans="1:2" x14ac:dyDescent="0.2">
      <c r="A38" s="17">
        <v>39729</v>
      </c>
      <c r="B38" s="4">
        <v>4.4999999999999998E-2</v>
      </c>
    </row>
    <row r="39" spans="1:2" x14ac:dyDescent="0.2">
      <c r="A39" s="17">
        <v>39758</v>
      </c>
      <c r="B39" s="4">
        <v>0.03</v>
      </c>
    </row>
    <row r="40" spans="1:2" x14ac:dyDescent="0.2">
      <c r="A40" s="17">
        <v>39786</v>
      </c>
      <c r="B40" s="4">
        <v>0.02</v>
      </c>
    </row>
    <row r="41" spans="1:2" x14ac:dyDescent="0.2">
      <c r="A41" s="17">
        <v>39821</v>
      </c>
      <c r="B41" s="4">
        <v>1.4999999999999999E-2</v>
      </c>
    </row>
    <row r="42" spans="1:2" x14ac:dyDescent="0.2">
      <c r="A42" s="17">
        <v>39849</v>
      </c>
      <c r="B42" s="4">
        <v>0.01</v>
      </c>
    </row>
    <row r="43" spans="1:2" x14ac:dyDescent="0.2">
      <c r="A43" s="17">
        <v>39877</v>
      </c>
      <c r="B43" s="4">
        <v>5.0000000000000001E-3</v>
      </c>
    </row>
    <row r="44" spans="1:2" x14ac:dyDescent="0.2">
      <c r="A44" s="17">
        <v>42586</v>
      </c>
      <c r="B44" s="4">
        <v>2.5000000000000001E-3</v>
      </c>
    </row>
    <row r="45" spans="1:2" x14ac:dyDescent="0.2">
      <c r="A45" s="17">
        <v>43041</v>
      </c>
      <c r="B45" s="4">
        <v>5.0000000000000001E-3</v>
      </c>
    </row>
    <row r="46" spans="1:2" x14ac:dyDescent="0.2">
      <c r="A46" s="17">
        <v>43314</v>
      </c>
      <c r="B46" s="4">
        <v>7.4999999999999997E-3</v>
      </c>
    </row>
    <row r="47" spans="1:2" x14ac:dyDescent="0.2">
      <c r="A47" s="17">
        <v>43901</v>
      </c>
      <c r="B47" s="4">
        <v>2.5000000000000001E-3</v>
      </c>
    </row>
    <row r="48" spans="1:2" x14ac:dyDescent="0.2">
      <c r="A48" s="17">
        <v>43909</v>
      </c>
      <c r="B48" s="4">
        <v>1E-3</v>
      </c>
    </row>
    <row r="49" spans="1:2" x14ac:dyDescent="0.2">
      <c r="A49" s="17">
        <v>44546</v>
      </c>
      <c r="B49" s="4">
        <v>2.5000000000000001E-3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C617-E96C-9144-AEDE-B00664169A8F}">
  <sheetPr codeName="Sheet5"/>
  <dimension ref="A1:E615"/>
  <sheetViews>
    <sheetView workbookViewId="0">
      <selection activeCell="F12" sqref="F12"/>
    </sheetView>
  </sheetViews>
  <sheetFormatPr baseColWidth="10" defaultRowHeight="15" x14ac:dyDescent="0.2"/>
  <sheetData>
    <row r="1" spans="1:5" x14ac:dyDescent="0.2">
      <c r="A1" s="45" t="s">
        <v>0</v>
      </c>
      <c r="B1" s="1" t="s">
        <v>5887</v>
      </c>
      <c r="C1" s="1" t="s">
        <v>5842</v>
      </c>
      <c r="D1" s="1" t="s">
        <v>5843</v>
      </c>
      <c r="E1" s="1" t="s">
        <v>5844</v>
      </c>
    </row>
    <row r="2" spans="1:5" x14ac:dyDescent="0.2">
      <c r="A2" s="46">
        <v>35802</v>
      </c>
      <c r="C2">
        <v>1</v>
      </c>
    </row>
    <row r="3" spans="1:5" x14ac:dyDescent="0.2">
      <c r="A3" s="46">
        <v>35803</v>
      </c>
      <c r="C3">
        <v>1</v>
      </c>
    </row>
    <row r="4" spans="1:5" x14ac:dyDescent="0.2">
      <c r="A4" s="46">
        <v>35809</v>
      </c>
      <c r="C4">
        <v>2</v>
      </c>
    </row>
    <row r="5" spans="1:5" x14ac:dyDescent="0.2">
      <c r="A5" s="46">
        <v>35830</v>
      </c>
      <c r="C5">
        <v>1</v>
      </c>
    </row>
    <row r="6" spans="1:5" x14ac:dyDescent="0.2">
      <c r="A6" s="46">
        <v>35831</v>
      </c>
      <c r="C6">
        <v>1</v>
      </c>
    </row>
    <row r="7" spans="1:5" x14ac:dyDescent="0.2">
      <c r="A7" s="46">
        <v>35837</v>
      </c>
      <c r="C7">
        <v>2</v>
      </c>
    </row>
    <row r="8" spans="1:5" x14ac:dyDescent="0.2">
      <c r="A8" s="46">
        <v>35858</v>
      </c>
      <c r="C8">
        <v>1</v>
      </c>
    </row>
    <row r="9" spans="1:5" x14ac:dyDescent="0.2">
      <c r="A9" s="46">
        <v>35859</v>
      </c>
      <c r="C9">
        <v>1</v>
      </c>
    </row>
    <row r="10" spans="1:5" x14ac:dyDescent="0.2">
      <c r="A10" s="46">
        <v>35894</v>
      </c>
      <c r="C10">
        <v>1</v>
      </c>
    </row>
    <row r="11" spans="1:5" x14ac:dyDescent="0.2">
      <c r="A11" s="46">
        <v>35921</v>
      </c>
      <c r="C11">
        <v>1</v>
      </c>
    </row>
    <row r="12" spans="1:5" x14ac:dyDescent="0.2">
      <c r="A12" s="46">
        <v>35922</v>
      </c>
      <c r="C12">
        <v>1</v>
      </c>
    </row>
    <row r="13" spans="1:5" x14ac:dyDescent="0.2">
      <c r="A13" s="46">
        <v>35949</v>
      </c>
      <c r="C13">
        <v>1</v>
      </c>
    </row>
    <row r="14" spans="1:5" x14ac:dyDescent="0.2">
      <c r="A14" s="46">
        <v>35950</v>
      </c>
      <c r="B14">
        <v>3</v>
      </c>
      <c r="C14">
        <v>1</v>
      </c>
    </row>
    <row r="15" spans="1:5" x14ac:dyDescent="0.2">
      <c r="A15" s="46">
        <v>35956</v>
      </c>
      <c r="C15">
        <v>2</v>
      </c>
    </row>
    <row r="16" spans="1:5" x14ac:dyDescent="0.2">
      <c r="A16" s="46">
        <v>35984</v>
      </c>
      <c r="C16">
        <v>1</v>
      </c>
    </row>
    <row r="17" spans="1:3" x14ac:dyDescent="0.2">
      <c r="A17" s="46">
        <v>35985</v>
      </c>
      <c r="C17">
        <v>1</v>
      </c>
    </row>
    <row r="18" spans="1:3" x14ac:dyDescent="0.2">
      <c r="A18" s="46">
        <v>35991</v>
      </c>
      <c r="C18">
        <v>2</v>
      </c>
    </row>
    <row r="19" spans="1:3" x14ac:dyDescent="0.2">
      <c r="A19" s="46">
        <v>36012</v>
      </c>
      <c r="C19">
        <v>1</v>
      </c>
    </row>
    <row r="20" spans="1:3" x14ac:dyDescent="0.2">
      <c r="A20" s="46">
        <v>36013</v>
      </c>
      <c r="C20">
        <v>1</v>
      </c>
    </row>
    <row r="21" spans="1:3" x14ac:dyDescent="0.2">
      <c r="A21" s="46">
        <v>36048</v>
      </c>
      <c r="C21">
        <v>1</v>
      </c>
    </row>
    <row r="22" spans="1:3" x14ac:dyDescent="0.2">
      <c r="A22" s="46">
        <v>36075</v>
      </c>
      <c r="C22">
        <v>1</v>
      </c>
    </row>
    <row r="23" spans="1:3" x14ac:dyDescent="0.2">
      <c r="A23" s="46">
        <v>36076</v>
      </c>
      <c r="B23">
        <v>1</v>
      </c>
      <c r="C23">
        <v>1</v>
      </c>
    </row>
    <row r="24" spans="1:3" x14ac:dyDescent="0.2">
      <c r="A24" s="46">
        <v>36103</v>
      </c>
      <c r="C24">
        <v>1</v>
      </c>
    </row>
    <row r="25" spans="1:3" x14ac:dyDescent="0.2">
      <c r="A25" s="46">
        <v>36104</v>
      </c>
      <c r="B25">
        <v>1</v>
      </c>
      <c r="C25">
        <v>1</v>
      </c>
    </row>
    <row r="26" spans="1:3" x14ac:dyDescent="0.2">
      <c r="A26" s="46">
        <v>36138</v>
      </c>
      <c r="C26">
        <v>1</v>
      </c>
    </row>
    <row r="27" spans="1:3" x14ac:dyDescent="0.2">
      <c r="A27" s="46">
        <v>36139</v>
      </c>
      <c r="B27">
        <v>1</v>
      </c>
      <c r="C27">
        <v>1</v>
      </c>
    </row>
    <row r="28" spans="1:3" x14ac:dyDescent="0.2">
      <c r="A28" s="46">
        <v>36161</v>
      </c>
      <c r="C28">
        <v>2</v>
      </c>
    </row>
    <row r="29" spans="1:3" x14ac:dyDescent="0.2">
      <c r="A29" s="46">
        <v>36167</v>
      </c>
      <c r="B29">
        <v>1</v>
      </c>
      <c r="C29">
        <v>1</v>
      </c>
    </row>
    <row r="30" spans="1:3" x14ac:dyDescent="0.2">
      <c r="A30" s="46">
        <v>36194</v>
      </c>
      <c r="C30">
        <v>1</v>
      </c>
    </row>
    <row r="31" spans="1:3" x14ac:dyDescent="0.2">
      <c r="A31" s="46">
        <v>36195</v>
      </c>
      <c r="B31">
        <v>1</v>
      </c>
      <c r="C31">
        <v>1</v>
      </c>
    </row>
    <row r="32" spans="1:3" x14ac:dyDescent="0.2">
      <c r="A32" s="46">
        <v>36221</v>
      </c>
      <c r="C32">
        <v>1</v>
      </c>
    </row>
    <row r="33" spans="1:3" x14ac:dyDescent="0.2">
      <c r="A33" s="46">
        <v>36222</v>
      </c>
      <c r="C33">
        <v>1</v>
      </c>
    </row>
    <row r="34" spans="1:3" x14ac:dyDescent="0.2">
      <c r="A34" s="46">
        <v>36257</v>
      </c>
      <c r="C34">
        <v>1</v>
      </c>
    </row>
    <row r="35" spans="1:3" x14ac:dyDescent="0.2">
      <c r="A35" s="46">
        <v>36258</v>
      </c>
      <c r="B35">
        <v>1</v>
      </c>
      <c r="C35">
        <v>1</v>
      </c>
    </row>
    <row r="36" spans="1:3" x14ac:dyDescent="0.2">
      <c r="A36" s="46">
        <v>36285</v>
      </c>
      <c r="C36">
        <v>1</v>
      </c>
    </row>
    <row r="37" spans="1:3" x14ac:dyDescent="0.2">
      <c r="A37" s="46">
        <v>36286</v>
      </c>
      <c r="C37">
        <v>1</v>
      </c>
    </row>
    <row r="38" spans="1:3" x14ac:dyDescent="0.2">
      <c r="A38" s="46">
        <v>36320</v>
      </c>
      <c r="C38">
        <v>1</v>
      </c>
    </row>
    <row r="39" spans="1:3" x14ac:dyDescent="0.2">
      <c r="A39" s="46">
        <v>36321</v>
      </c>
      <c r="B39">
        <v>1</v>
      </c>
      <c r="C39">
        <v>1</v>
      </c>
    </row>
    <row r="40" spans="1:3" x14ac:dyDescent="0.2">
      <c r="A40" s="46">
        <v>36348</v>
      </c>
      <c r="C40">
        <v>1</v>
      </c>
    </row>
    <row r="41" spans="1:3" x14ac:dyDescent="0.2">
      <c r="A41" s="46">
        <v>36349</v>
      </c>
      <c r="C41">
        <v>1</v>
      </c>
    </row>
    <row r="42" spans="1:3" x14ac:dyDescent="0.2">
      <c r="A42" s="46">
        <v>36376</v>
      </c>
      <c r="C42">
        <v>1</v>
      </c>
    </row>
    <row r="43" spans="1:3" x14ac:dyDescent="0.2">
      <c r="A43" s="46">
        <v>36377</v>
      </c>
      <c r="C43">
        <v>1</v>
      </c>
    </row>
    <row r="44" spans="1:3" x14ac:dyDescent="0.2">
      <c r="A44" s="46">
        <v>36410</v>
      </c>
      <c r="C44">
        <v>1</v>
      </c>
    </row>
    <row r="45" spans="1:3" x14ac:dyDescent="0.2">
      <c r="A45" s="46">
        <v>36411</v>
      </c>
      <c r="B45">
        <v>3</v>
      </c>
      <c r="C45">
        <v>1</v>
      </c>
    </row>
    <row r="46" spans="1:3" x14ac:dyDescent="0.2">
      <c r="A46" s="46">
        <v>36425</v>
      </c>
      <c r="C46">
        <v>2</v>
      </c>
    </row>
    <row r="47" spans="1:3" x14ac:dyDescent="0.2">
      <c r="A47" s="46">
        <v>36439</v>
      </c>
      <c r="C47">
        <v>1</v>
      </c>
    </row>
    <row r="48" spans="1:3" x14ac:dyDescent="0.2">
      <c r="A48" s="46">
        <v>36440</v>
      </c>
      <c r="C48">
        <v>1</v>
      </c>
    </row>
    <row r="49" spans="1:3" x14ac:dyDescent="0.2">
      <c r="A49" s="46">
        <v>36453</v>
      </c>
      <c r="C49">
        <v>2</v>
      </c>
    </row>
    <row r="50" spans="1:3" x14ac:dyDescent="0.2">
      <c r="A50" s="46">
        <v>36467</v>
      </c>
      <c r="C50">
        <v>1</v>
      </c>
    </row>
    <row r="51" spans="1:3" x14ac:dyDescent="0.2">
      <c r="A51" s="46">
        <v>36468</v>
      </c>
      <c r="B51">
        <v>3</v>
      </c>
      <c r="C51">
        <v>1</v>
      </c>
    </row>
    <row r="52" spans="1:3" x14ac:dyDescent="0.2">
      <c r="A52" s="46">
        <v>36481</v>
      </c>
      <c r="C52">
        <v>2</v>
      </c>
    </row>
    <row r="53" spans="1:3" x14ac:dyDescent="0.2">
      <c r="A53" s="46">
        <v>36502</v>
      </c>
      <c r="C53">
        <v>1</v>
      </c>
    </row>
    <row r="54" spans="1:3" x14ac:dyDescent="0.2">
      <c r="A54" s="46">
        <v>36503</v>
      </c>
      <c r="C54">
        <v>1</v>
      </c>
    </row>
    <row r="55" spans="1:3" x14ac:dyDescent="0.2">
      <c r="A55" s="46">
        <v>36516</v>
      </c>
      <c r="C55">
        <v>2</v>
      </c>
    </row>
    <row r="56" spans="1:3" x14ac:dyDescent="0.2">
      <c r="A56" s="46">
        <v>36537</v>
      </c>
      <c r="C56">
        <v>1</v>
      </c>
    </row>
    <row r="57" spans="1:3" x14ac:dyDescent="0.2">
      <c r="A57" s="46">
        <v>36538</v>
      </c>
      <c r="B57">
        <v>3</v>
      </c>
      <c r="C57">
        <v>1</v>
      </c>
    </row>
    <row r="58" spans="1:3" x14ac:dyDescent="0.2">
      <c r="A58" s="46">
        <v>36565</v>
      </c>
      <c r="C58">
        <v>1</v>
      </c>
    </row>
    <row r="59" spans="1:3" x14ac:dyDescent="0.2">
      <c r="A59" s="46">
        <v>36566</v>
      </c>
      <c r="B59">
        <v>3</v>
      </c>
      <c r="C59">
        <v>1</v>
      </c>
    </row>
    <row r="60" spans="1:3" x14ac:dyDescent="0.2">
      <c r="A60" s="46">
        <v>36593</v>
      </c>
      <c r="C60">
        <v>1</v>
      </c>
    </row>
    <row r="61" spans="1:3" x14ac:dyDescent="0.2">
      <c r="A61" s="46">
        <v>36594</v>
      </c>
      <c r="C61">
        <v>1</v>
      </c>
    </row>
    <row r="62" spans="1:3" x14ac:dyDescent="0.2">
      <c r="A62" s="46">
        <v>36607</v>
      </c>
      <c r="C62">
        <v>2</v>
      </c>
    </row>
    <row r="63" spans="1:3" x14ac:dyDescent="0.2">
      <c r="A63" s="46">
        <v>36621</v>
      </c>
      <c r="C63">
        <v>1</v>
      </c>
    </row>
    <row r="64" spans="1:3" x14ac:dyDescent="0.2">
      <c r="A64" s="46">
        <v>36622</v>
      </c>
      <c r="C64">
        <v>1</v>
      </c>
    </row>
    <row r="65" spans="1:3" x14ac:dyDescent="0.2">
      <c r="A65" s="46">
        <v>36635</v>
      </c>
      <c r="C65">
        <v>2</v>
      </c>
    </row>
    <row r="66" spans="1:3" x14ac:dyDescent="0.2">
      <c r="A66" s="46">
        <v>36649</v>
      </c>
      <c r="C66">
        <v>1</v>
      </c>
    </row>
    <row r="67" spans="1:3" x14ac:dyDescent="0.2">
      <c r="A67" s="46">
        <v>36650</v>
      </c>
      <c r="C67">
        <v>1</v>
      </c>
    </row>
    <row r="68" spans="1:3" x14ac:dyDescent="0.2">
      <c r="A68" s="46">
        <v>36663</v>
      </c>
      <c r="C68">
        <v>2</v>
      </c>
    </row>
    <row r="69" spans="1:3" x14ac:dyDescent="0.2">
      <c r="A69" s="46">
        <v>36683</v>
      </c>
      <c r="C69">
        <v>1</v>
      </c>
    </row>
    <row r="70" spans="1:3" x14ac:dyDescent="0.2">
      <c r="A70" s="46">
        <v>36684</v>
      </c>
      <c r="C70">
        <v>1</v>
      </c>
    </row>
    <row r="71" spans="1:3" x14ac:dyDescent="0.2">
      <c r="A71" s="46">
        <v>36698</v>
      </c>
      <c r="C71">
        <v>2</v>
      </c>
    </row>
    <row r="72" spans="1:3" x14ac:dyDescent="0.2">
      <c r="A72" s="46">
        <v>36712</v>
      </c>
      <c r="C72">
        <v>1</v>
      </c>
    </row>
    <row r="73" spans="1:3" x14ac:dyDescent="0.2">
      <c r="A73" s="46">
        <v>36713</v>
      </c>
      <c r="C73">
        <v>1</v>
      </c>
    </row>
    <row r="74" spans="1:3" x14ac:dyDescent="0.2">
      <c r="A74" s="46">
        <v>36726</v>
      </c>
      <c r="C74">
        <v>2</v>
      </c>
    </row>
    <row r="75" spans="1:3" x14ac:dyDescent="0.2">
      <c r="A75" s="46">
        <v>36740</v>
      </c>
      <c r="C75">
        <v>1</v>
      </c>
    </row>
    <row r="76" spans="1:3" x14ac:dyDescent="0.2">
      <c r="A76" s="46">
        <v>36741</v>
      </c>
      <c r="C76">
        <v>1</v>
      </c>
    </row>
    <row r="77" spans="1:3" x14ac:dyDescent="0.2">
      <c r="A77" s="46">
        <v>36754</v>
      </c>
      <c r="C77">
        <v>2</v>
      </c>
    </row>
    <row r="78" spans="1:3" x14ac:dyDescent="0.2">
      <c r="A78" s="46">
        <v>36775</v>
      </c>
      <c r="C78">
        <v>1</v>
      </c>
    </row>
    <row r="79" spans="1:3" x14ac:dyDescent="0.2">
      <c r="A79" s="46">
        <v>36776</v>
      </c>
      <c r="C79">
        <v>1</v>
      </c>
    </row>
    <row r="80" spans="1:3" x14ac:dyDescent="0.2">
      <c r="A80" s="46">
        <v>36789</v>
      </c>
      <c r="C80">
        <v>2</v>
      </c>
    </row>
    <row r="81" spans="1:3" x14ac:dyDescent="0.2">
      <c r="A81" s="46">
        <v>36803</v>
      </c>
      <c r="C81">
        <v>1</v>
      </c>
    </row>
    <row r="82" spans="1:3" x14ac:dyDescent="0.2">
      <c r="A82" s="46">
        <v>36804</v>
      </c>
      <c r="C82">
        <v>1</v>
      </c>
    </row>
    <row r="83" spans="1:3" x14ac:dyDescent="0.2">
      <c r="A83" s="46">
        <v>36817</v>
      </c>
      <c r="C83">
        <v>2</v>
      </c>
    </row>
    <row r="84" spans="1:3" x14ac:dyDescent="0.2">
      <c r="A84" s="46">
        <v>36838</v>
      </c>
      <c r="C84">
        <v>1</v>
      </c>
    </row>
    <row r="85" spans="1:3" x14ac:dyDescent="0.2">
      <c r="A85" s="46">
        <v>36839</v>
      </c>
      <c r="C85">
        <v>1</v>
      </c>
    </row>
    <row r="86" spans="1:3" x14ac:dyDescent="0.2">
      <c r="A86" s="46">
        <v>36852</v>
      </c>
      <c r="C86">
        <v>2</v>
      </c>
    </row>
    <row r="87" spans="1:3" x14ac:dyDescent="0.2">
      <c r="A87" s="46">
        <v>36866</v>
      </c>
      <c r="C87">
        <v>1</v>
      </c>
    </row>
    <row r="88" spans="1:3" x14ac:dyDescent="0.2">
      <c r="A88" s="46">
        <v>36867</v>
      </c>
      <c r="C88">
        <v>1</v>
      </c>
    </row>
    <row r="89" spans="1:3" x14ac:dyDescent="0.2">
      <c r="A89" s="46">
        <v>36880</v>
      </c>
      <c r="C89">
        <v>2</v>
      </c>
    </row>
    <row r="90" spans="1:3" x14ac:dyDescent="0.2">
      <c r="A90" s="46">
        <v>36901</v>
      </c>
      <c r="C90">
        <v>1</v>
      </c>
    </row>
    <row r="91" spans="1:3" x14ac:dyDescent="0.2">
      <c r="A91" s="46">
        <v>36902</v>
      </c>
      <c r="C91">
        <v>1</v>
      </c>
    </row>
    <row r="92" spans="1:3" x14ac:dyDescent="0.2">
      <c r="A92" s="46">
        <v>36915</v>
      </c>
      <c r="C92">
        <v>2</v>
      </c>
    </row>
    <row r="93" spans="1:3" x14ac:dyDescent="0.2">
      <c r="A93" s="46">
        <v>36929</v>
      </c>
      <c r="C93">
        <v>1</v>
      </c>
    </row>
    <row r="94" spans="1:3" x14ac:dyDescent="0.2">
      <c r="A94" s="46">
        <v>36930</v>
      </c>
      <c r="B94">
        <v>1</v>
      </c>
      <c r="C94">
        <v>1</v>
      </c>
    </row>
    <row r="95" spans="1:3" x14ac:dyDescent="0.2">
      <c r="A95" s="46">
        <v>36943</v>
      </c>
      <c r="C95">
        <v>2</v>
      </c>
    </row>
    <row r="96" spans="1:3" x14ac:dyDescent="0.2">
      <c r="A96" s="46">
        <v>36957</v>
      </c>
      <c r="C96">
        <v>1</v>
      </c>
    </row>
    <row r="97" spans="1:5" x14ac:dyDescent="0.2">
      <c r="A97" s="46">
        <v>36958</v>
      </c>
      <c r="C97">
        <v>1</v>
      </c>
    </row>
    <row r="98" spans="1:5" x14ac:dyDescent="0.2">
      <c r="A98" s="46">
        <v>36971</v>
      </c>
      <c r="C98">
        <v>2</v>
      </c>
    </row>
    <row r="99" spans="1:5" x14ac:dyDescent="0.2">
      <c r="A99" s="46">
        <v>36985</v>
      </c>
      <c r="C99">
        <v>1</v>
      </c>
    </row>
    <row r="100" spans="1:5" x14ac:dyDescent="0.2">
      <c r="A100" s="46">
        <v>36986</v>
      </c>
      <c r="B100">
        <v>1</v>
      </c>
      <c r="C100">
        <v>1</v>
      </c>
    </row>
    <row r="101" spans="1:5" x14ac:dyDescent="0.2">
      <c r="A101" s="46">
        <v>36999</v>
      </c>
      <c r="C101">
        <v>2</v>
      </c>
    </row>
    <row r="102" spans="1:5" x14ac:dyDescent="0.2">
      <c r="A102" s="46">
        <v>37020</v>
      </c>
      <c r="C102">
        <v>1</v>
      </c>
    </row>
    <row r="103" spans="1:5" x14ac:dyDescent="0.2">
      <c r="A103" s="46">
        <v>37021</v>
      </c>
      <c r="B103">
        <v>1</v>
      </c>
      <c r="C103">
        <v>1</v>
      </c>
    </row>
    <row r="104" spans="1:5" x14ac:dyDescent="0.2">
      <c r="A104" s="46">
        <v>37034</v>
      </c>
      <c r="C104">
        <v>2</v>
      </c>
    </row>
    <row r="105" spans="1:5" x14ac:dyDescent="0.2">
      <c r="A105" s="46">
        <v>37047</v>
      </c>
      <c r="C105">
        <v>1</v>
      </c>
    </row>
    <row r="106" spans="1:5" x14ac:dyDescent="0.2">
      <c r="A106" s="46">
        <v>37048</v>
      </c>
      <c r="C106">
        <v>1</v>
      </c>
    </row>
    <row r="107" spans="1:5" x14ac:dyDescent="0.2">
      <c r="A107" s="46">
        <v>37062</v>
      </c>
      <c r="C107">
        <v>2</v>
      </c>
      <c r="E107">
        <v>11</v>
      </c>
    </row>
    <row r="108" spans="1:5" x14ac:dyDescent="0.2">
      <c r="A108" s="46">
        <v>37076</v>
      </c>
      <c r="C108">
        <v>1</v>
      </c>
    </row>
    <row r="109" spans="1:5" x14ac:dyDescent="0.2">
      <c r="A109" s="46">
        <v>37077</v>
      </c>
      <c r="C109">
        <v>1</v>
      </c>
    </row>
    <row r="110" spans="1:5" x14ac:dyDescent="0.2">
      <c r="A110" s="46">
        <v>37090</v>
      </c>
      <c r="C110">
        <v>2</v>
      </c>
    </row>
    <row r="111" spans="1:5" x14ac:dyDescent="0.2">
      <c r="A111" s="46">
        <v>37104</v>
      </c>
      <c r="C111">
        <v>1</v>
      </c>
    </row>
    <row r="112" spans="1:5" x14ac:dyDescent="0.2">
      <c r="A112" s="46">
        <v>37105</v>
      </c>
      <c r="B112">
        <v>1</v>
      </c>
      <c r="C112">
        <v>1</v>
      </c>
    </row>
    <row r="113" spans="1:3" x14ac:dyDescent="0.2">
      <c r="A113" s="46">
        <v>37118</v>
      </c>
      <c r="C113">
        <v>2</v>
      </c>
    </row>
    <row r="114" spans="1:3" x14ac:dyDescent="0.2">
      <c r="A114" s="46">
        <v>37139</v>
      </c>
      <c r="C114">
        <v>1</v>
      </c>
    </row>
    <row r="115" spans="1:3" x14ac:dyDescent="0.2">
      <c r="A115" s="46">
        <v>37140</v>
      </c>
      <c r="C115">
        <v>1</v>
      </c>
    </row>
    <row r="116" spans="1:3" x14ac:dyDescent="0.2">
      <c r="A116" s="46">
        <v>37152</v>
      </c>
      <c r="B116">
        <v>1</v>
      </c>
      <c r="C116">
        <v>1</v>
      </c>
    </row>
    <row r="117" spans="1:3" x14ac:dyDescent="0.2">
      <c r="A117" s="46">
        <v>37153</v>
      </c>
      <c r="C117">
        <v>2</v>
      </c>
    </row>
    <row r="118" spans="1:3" x14ac:dyDescent="0.2">
      <c r="A118" s="46">
        <v>37167</v>
      </c>
      <c r="C118">
        <v>1</v>
      </c>
    </row>
    <row r="119" spans="1:3" x14ac:dyDescent="0.2">
      <c r="A119" s="46">
        <v>37168</v>
      </c>
      <c r="B119">
        <v>1</v>
      </c>
      <c r="C119">
        <v>1</v>
      </c>
    </row>
    <row r="120" spans="1:3" x14ac:dyDescent="0.2">
      <c r="A120" s="46">
        <v>37181</v>
      </c>
      <c r="C120">
        <v>2</v>
      </c>
    </row>
    <row r="121" spans="1:3" x14ac:dyDescent="0.2">
      <c r="A121" s="46">
        <v>37202</v>
      </c>
      <c r="C121">
        <v>1</v>
      </c>
    </row>
    <row r="122" spans="1:3" x14ac:dyDescent="0.2">
      <c r="A122" s="46">
        <v>37203</v>
      </c>
      <c r="B122">
        <v>1</v>
      </c>
      <c r="C122">
        <v>1</v>
      </c>
    </row>
    <row r="123" spans="1:3" x14ac:dyDescent="0.2">
      <c r="A123" s="46">
        <v>37216</v>
      </c>
      <c r="C123">
        <v>2</v>
      </c>
    </row>
    <row r="124" spans="1:3" x14ac:dyDescent="0.2">
      <c r="A124" s="46">
        <v>37229</v>
      </c>
      <c r="C124">
        <v>1</v>
      </c>
    </row>
    <row r="125" spans="1:3" x14ac:dyDescent="0.2">
      <c r="A125" s="46">
        <v>37230</v>
      </c>
      <c r="C125">
        <v>1</v>
      </c>
    </row>
    <row r="126" spans="1:3" x14ac:dyDescent="0.2">
      <c r="A126" s="46">
        <v>37244</v>
      </c>
      <c r="C126">
        <v>2</v>
      </c>
    </row>
    <row r="127" spans="1:3" x14ac:dyDescent="0.2">
      <c r="A127" s="46">
        <v>37265</v>
      </c>
      <c r="C127">
        <v>1</v>
      </c>
    </row>
    <row r="128" spans="1:3" x14ac:dyDescent="0.2">
      <c r="A128" s="46">
        <v>37266</v>
      </c>
      <c r="C128">
        <v>1</v>
      </c>
    </row>
    <row r="129" spans="1:3" x14ac:dyDescent="0.2">
      <c r="A129" s="46">
        <v>37279</v>
      </c>
      <c r="C129">
        <v>2</v>
      </c>
    </row>
    <row r="130" spans="1:3" x14ac:dyDescent="0.2">
      <c r="A130" s="46">
        <v>37293</v>
      </c>
      <c r="C130">
        <v>1</v>
      </c>
    </row>
    <row r="131" spans="1:3" x14ac:dyDescent="0.2">
      <c r="A131" s="46">
        <v>37294</v>
      </c>
      <c r="C131">
        <v>1</v>
      </c>
    </row>
    <row r="132" spans="1:3" x14ac:dyDescent="0.2">
      <c r="A132" s="46">
        <v>37307</v>
      </c>
      <c r="C132">
        <v>2</v>
      </c>
    </row>
    <row r="133" spans="1:3" x14ac:dyDescent="0.2">
      <c r="A133" s="46">
        <v>37321</v>
      </c>
      <c r="C133">
        <v>1</v>
      </c>
    </row>
    <row r="134" spans="1:3" x14ac:dyDescent="0.2">
      <c r="A134" s="46">
        <v>37322</v>
      </c>
      <c r="C134">
        <v>1</v>
      </c>
    </row>
    <row r="135" spans="1:3" x14ac:dyDescent="0.2">
      <c r="A135" s="46">
        <v>37335</v>
      </c>
      <c r="C135">
        <v>2</v>
      </c>
    </row>
    <row r="136" spans="1:3" x14ac:dyDescent="0.2">
      <c r="A136" s="46">
        <v>37349</v>
      </c>
      <c r="C136">
        <v>1</v>
      </c>
    </row>
    <row r="137" spans="1:3" x14ac:dyDescent="0.2">
      <c r="A137" s="46">
        <v>37350</v>
      </c>
      <c r="C137">
        <v>1</v>
      </c>
    </row>
    <row r="138" spans="1:3" x14ac:dyDescent="0.2">
      <c r="A138" s="46">
        <v>37383</v>
      </c>
      <c r="C138">
        <v>1</v>
      </c>
    </row>
    <row r="139" spans="1:3" x14ac:dyDescent="0.2">
      <c r="A139" s="46">
        <v>37385</v>
      </c>
      <c r="C139">
        <v>1</v>
      </c>
    </row>
    <row r="140" spans="1:3" x14ac:dyDescent="0.2">
      <c r="A140" s="46">
        <v>37412</v>
      </c>
      <c r="C140">
        <v>1</v>
      </c>
    </row>
    <row r="141" spans="1:3" x14ac:dyDescent="0.2">
      <c r="A141" s="46">
        <v>37413</v>
      </c>
      <c r="C141">
        <v>1</v>
      </c>
    </row>
    <row r="142" spans="1:3" x14ac:dyDescent="0.2">
      <c r="A142" s="46">
        <v>37440</v>
      </c>
      <c r="C142">
        <v>1</v>
      </c>
    </row>
    <row r="143" spans="1:3" x14ac:dyDescent="0.2">
      <c r="A143" s="46">
        <v>37441</v>
      </c>
      <c r="C143">
        <v>1</v>
      </c>
    </row>
    <row r="144" spans="1:3" x14ac:dyDescent="0.2">
      <c r="A144" s="46">
        <v>37454</v>
      </c>
      <c r="C144">
        <v>2</v>
      </c>
    </row>
    <row r="145" spans="1:3" x14ac:dyDescent="0.2">
      <c r="A145" s="46">
        <v>37469</v>
      </c>
      <c r="C145">
        <v>1</v>
      </c>
    </row>
    <row r="146" spans="1:3" x14ac:dyDescent="0.2">
      <c r="A146" s="46">
        <v>37503</v>
      </c>
      <c r="C146">
        <v>1</v>
      </c>
    </row>
    <row r="147" spans="1:3" x14ac:dyDescent="0.2">
      <c r="A147" s="46">
        <v>37504</v>
      </c>
      <c r="C147">
        <v>1</v>
      </c>
    </row>
    <row r="148" spans="1:3" x14ac:dyDescent="0.2">
      <c r="A148" s="46">
        <v>37538</v>
      </c>
      <c r="C148">
        <v>1</v>
      </c>
    </row>
    <row r="149" spans="1:3" x14ac:dyDescent="0.2">
      <c r="A149" s="46">
        <v>37539</v>
      </c>
      <c r="C149">
        <v>1</v>
      </c>
    </row>
    <row r="150" spans="1:3" x14ac:dyDescent="0.2">
      <c r="A150" s="46">
        <v>37566</v>
      </c>
      <c r="C150">
        <v>1</v>
      </c>
    </row>
    <row r="151" spans="1:3" x14ac:dyDescent="0.2">
      <c r="A151" s="46">
        <v>37567</v>
      </c>
      <c r="C151">
        <v>1</v>
      </c>
    </row>
    <row r="152" spans="1:3" x14ac:dyDescent="0.2">
      <c r="A152" s="46">
        <v>37594</v>
      </c>
      <c r="C152">
        <v>1</v>
      </c>
    </row>
    <row r="153" spans="1:3" x14ac:dyDescent="0.2">
      <c r="A153" s="46">
        <v>37595</v>
      </c>
      <c r="C153">
        <v>1</v>
      </c>
    </row>
    <row r="154" spans="1:3" x14ac:dyDescent="0.2">
      <c r="A154" s="46">
        <v>37622</v>
      </c>
      <c r="C154">
        <v>2</v>
      </c>
    </row>
    <row r="155" spans="1:3" x14ac:dyDescent="0.2">
      <c r="A155" s="46">
        <v>37629</v>
      </c>
      <c r="C155">
        <v>1</v>
      </c>
    </row>
    <row r="156" spans="1:3" x14ac:dyDescent="0.2">
      <c r="A156" s="46">
        <v>37630</v>
      </c>
      <c r="C156">
        <v>1</v>
      </c>
    </row>
    <row r="157" spans="1:3" x14ac:dyDescent="0.2">
      <c r="A157" s="46">
        <v>37657</v>
      </c>
      <c r="C157">
        <v>1</v>
      </c>
    </row>
    <row r="158" spans="1:3" x14ac:dyDescent="0.2">
      <c r="A158" s="46">
        <v>37658</v>
      </c>
      <c r="B158">
        <v>1</v>
      </c>
      <c r="C158">
        <v>1</v>
      </c>
    </row>
    <row r="159" spans="1:3" x14ac:dyDescent="0.2">
      <c r="A159" s="46">
        <v>37685</v>
      </c>
      <c r="C159">
        <v>1</v>
      </c>
    </row>
    <row r="160" spans="1:3" x14ac:dyDescent="0.2">
      <c r="A160" s="46">
        <v>37686</v>
      </c>
      <c r="C160">
        <v>1</v>
      </c>
    </row>
    <row r="161" spans="1:5" x14ac:dyDescent="0.2">
      <c r="A161" s="46">
        <v>37720</v>
      </c>
      <c r="C161">
        <v>1</v>
      </c>
    </row>
    <row r="162" spans="1:5" x14ac:dyDescent="0.2">
      <c r="A162" s="46">
        <v>37721</v>
      </c>
      <c r="C162">
        <v>1</v>
      </c>
    </row>
    <row r="163" spans="1:5" x14ac:dyDescent="0.2">
      <c r="A163" s="46">
        <v>37748</v>
      </c>
      <c r="C163">
        <v>1</v>
      </c>
    </row>
    <row r="164" spans="1:5" x14ac:dyDescent="0.2">
      <c r="A164" s="46">
        <v>37749</v>
      </c>
      <c r="C164">
        <v>1</v>
      </c>
    </row>
    <row r="165" spans="1:5" x14ac:dyDescent="0.2">
      <c r="A165" s="46">
        <v>37776</v>
      </c>
      <c r="C165">
        <v>1</v>
      </c>
    </row>
    <row r="166" spans="1:5" x14ac:dyDescent="0.2">
      <c r="A166" s="46">
        <v>37777</v>
      </c>
      <c r="C166">
        <v>1</v>
      </c>
    </row>
    <row r="167" spans="1:5" x14ac:dyDescent="0.2">
      <c r="A167" s="46">
        <v>37790</v>
      </c>
      <c r="E167">
        <v>11</v>
      </c>
    </row>
    <row r="168" spans="1:5" x14ac:dyDescent="0.2">
      <c r="A168" s="46">
        <v>37812</v>
      </c>
      <c r="B168">
        <v>1</v>
      </c>
      <c r="C168">
        <v>1</v>
      </c>
    </row>
    <row r="169" spans="1:5" x14ac:dyDescent="0.2">
      <c r="A169" s="46">
        <v>37840</v>
      </c>
      <c r="C169">
        <v>1</v>
      </c>
    </row>
    <row r="170" spans="1:5" x14ac:dyDescent="0.2">
      <c r="A170" s="46">
        <v>37867</v>
      </c>
      <c r="C170">
        <v>1</v>
      </c>
    </row>
    <row r="171" spans="1:5" x14ac:dyDescent="0.2">
      <c r="A171" s="46">
        <v>37868</v>
      </c>
      <c r="C171">
        <v>1</v>
      </c>
    </row>
    <row r="172" spans="1:5" x14ac:dyDescent="0.2">
      <c r="A172" s="46">
        <v>37881</v>
      </c>
      <c r="C172">
        <v>2</v>
      </c>
    </row>
    <row r="173" spans="1:5" x14ac:dyDescent="0.2">
      <c r="A173" s="46">
        <v>37902</v>
      </c>
      <c r="C173">
        <v>1</v>
      </c>
    </row>
    <row r="174" spans="1:5" x14ac:dyDescent="0.2">
      <c r="A174" s="46">
        <v>37903</v>
      </c>
      <c r="C174">
        <v>1</v>
      </c>
    </row>
    <row r="175" spans="1:5" x14ac:dyDescent="0.2">
      <c r="A175" s="46">
        <v>37916</v>
      </c>
      <c r="C175">
        <v>2</v>
      </c>
    </row>
    <row r="176" spans="1:5" x14ac:dyDescent="0.2">
      <c r="A176" s="46">
        <v>37930</v>
      </c>
      <c r="C176">
        <v>1</v>
      </c>
    </row>
    <row r="177" spans="1:3" x14ac:dyDescent="0.2">
      <c r="A177" s="46">
        <v>37931</v>
      </c>
      <c r="B177">
        <v>3</v>
      </c>
      <c r="C177">
        <v>1</v>
      </c>
    </row>
    <row r="178" spans="1:3" x14ac:dyDescent="0.2">
      <c r="A178" s="46">
        <v>37944</v>
      </c>
      <c r="C178">
        <v>2</v>
      </c>
    </row>
    <row r="179" spans="1:3" x14ac:dyDescent="0.2">
      <c r="A179" s="46">
        <v>37958</v>
      </c>
      <c r="C179">
        <v>1</v>
      </c>
    </row>
    <row r="180" spans="1:3" x14ac:dyDescent="0.2">
      <c r="A180" s="46">
        <v>37959</v>
      </c>
      <c r="C180">
        <v>1</v>
      </c>
    </row>
    <row r="181" spans="1:3" x14ac:dyDescent="0.2">
      <c r="A181" s="46">
        <v>37972</v>
      </c>
      <c r="C181">
        <v>2</v>
      </c>
    </row>
    <row r="182" spans="1:3" x14ac:dyDescent="0.2">
      <c r="A182" s="46">
        <v>37993</v>
      </c>
      <c r="C182">
        <v>1</v>
      </c>
    </row>
    <row r="183" spans="1:3" x14ac:dyDescent="0.2">
      <c r="A183" s="46">
        <v>37994</v>
      </c>
      <c r="C183">
        <v>1</v>
      </c>
    </row>
    <row r="184" spans="1:3" x14ac:dyDescent="0.2">
      <c r="A184" s="46">
        <v>38007</v>
      </c>
      <c r="C184">
        <v>2</v>
      </c>
    </row>
    <row r="185" spans="1:3" x14ac:dyDescent="0.2">
      <c r="A185" s="46">
        <v>38021</v>
      </c>
      <c r="C185">
        <v>1</v>
      </c>
    </row>
    <row r="186" spans="1:3" x14ac:dyDescent="0.2">
      <c r="A186" s="46">
        <v>38022</v>
      </c>
      <c r="B186">
        <v>3</v>
      </c>
      <c r="C186">
        <v>1</v>
      </c>
    </row>
    <row r="187" spans="1:3" x14ac:dyDescent="0.2">
      <c r="A187" s="46">
        <v>38035</v>
      </c>
      <c r="C187">
        <v>2</v>
      </c>
    </row>
    <row r="188" spans="1:3" x14ac:dyDescent="0.2">
      <c r="A188" s="46">
        <v>38049</v>
      </c>
      <c r="C188">
        <v>1</v>
      </c>
    </row>
    <row r="189" spans="1:3" x14ac:dyDescent="0.2">
      <c r="A189" s="46">
        <v>38050</v>
      </c>
      <c r="C189">
        <v>1</v>
      </c>
    </row>
    <row r="190" spans="1:3" x14ac:dyDescent="0.2">
      <c r="A190" s="46">
        <v>38063</v>
      </c>
      <c r="C190">
        <v>2</v>
      </c>
    </row>
    <row r="191" spans="1:3" x14ac:dyDescent="0.2">
      <c r="A191" s="46">
        <v>38084</v>
      </c>
      <c r="C191">
        <v>1</v>
      </c>
    </row>
    <row r="192" spans="1:3" x14ac:dyDescent="0.2">
      <c r="A192" s="46">
        <v>38085</v>
      </c>
      <c r="C192">
        <v>1</v>
      </c>
    </row>
    <row r="193" spans="1:3" x14ac:dyDescent="0.2">
      <c r="A193" s="46">
        <v>38098</v>
      </c>
      <c r="C193">
        <v>2</v>
      </c>
    </row>
    <row r="194" spans="1:3" x14ac:dyDescent="0.2">
      <c r="A194" s="46">
        <v>38112</v>
      </c>
      <c r="C194">
        <v>1</v>
      </c>
    </row>
    <row r="195" spans="1:3" x14ac:dyDescent="0.2">
      <c r="A195" s="46">
        <v>38113</v>
      </c>
      <c r="B195">
        <v>3</v>
      </c>
      <c r="C195">
        <v>1</v>
      </c>
    </row>
    <row r="196" spans="1:3" x14ac:dyDescent="0.2">
      <c r="A196" s="46">
        <v>38126</v>
      </c>
      <c r="C196">
        <v>2</v>
      </c>
    </row>
    <row r="197" spans="1:3" x14ac:dyDescent="0.2">
      <c r="A197" s="46">
        <v>38147</v>
      </c>
      <c r="C197">
        <v>1</v>
      </c>
    </row>
    <row r="198" spans="1:3" x14ac:dyDescent="0.2">
      <c r="A198" s="46">
        <v>38148</v>
      </c>
      <c r="B198">
        <v>3</v>
      </c>
      <c r="C198">
        <v>1</v>
      </c>
    </row>
    <row r="199" spans="1:3" x14ac:dyDescent="0.2">
      <c r="A199" s="46">
        <v>38161</v>
      </c>
      <c r="C199">
        <v>2</v>
      </c>
    </row>
    <row r="200" spans="1:3" x14ac:dyDescent="0.2">
      <c r="A200" s="46">
        <v>38175</v>
      </c>
      <c r="C200">
        <v>1</v>
      </c>
    </row>
    <row r="201" spans="1:3" x14ac:dyDescent="0.2">
      <c r="A201" s="46">
        <v>38176</v>
      </c>
      <c r="C201">
        <v>1</v>
      </c>
    </row>
    <row r="202" spans="1:3" x14ac:dyDescent="0.2">
      <c r="A202" s="46">
        <v>38189</v>
      </c>
      <c r="C202">
        <v>2</v>
      </c>
    </row>
    <row r="203" spans="1:3" x14ac:dyDescent="0.2">
      <c r="A203" s="46">
        <v>38203</v>
      </c>
      <c r="C203">
        <v>1</v>
      </c>
    </row>
    <row r="204" spans="1:3" x14ac:dyDescent="0.2">
      <c r="A204" s="46">
        <v>38204</v>
      </c>
      <c r="B204">
        <v>3</v>
      </c>
      <c r="C204">
        <v>1</v>
      </c>
    </row>
    <row r="205" spans="1:3" x14ac:dyDescent="0.2">
      <c r="A205" s="46">
        <v>38217</v>
      </c>
      <c r="C205">
        <v>2</v>
      </c>
    </row>
    <row r="206" spans="1:3" x14ac:dyDescent="0.2">
      <c r="A206" s="46">
        <v>38238</v>
      </c>
      <c r="C206">
        <v>1</v>
      </c>
    </row>
    <row r="207" spans="1:3" x14ac:dyDescent="0.2">
      <c r="A207" s="46">
        <v>38239</v>
      </c>
      <c r="C207">
        <v>1</v>
      </c>
    </row>
    <row r="208" spans="1:3" x14ac:dyDescent="0.2">
      <c r="A208" s="46">
        <v>38252</v>
      </c>
      <c r="C208">
        <v>2</v>
      </c>
    </row>
    <row r="209" spans="1:3" x14ac:dyDescent="0.2">
      <c r="A209" s="46">
        <v>38266</v>
      </c>
      <c r="C209">
        <v>1</v>
      </c>
    </row>
    <row r="210" spans="1:3" x14ac:dyDescent="0.2">
      <c r="A210" s="46">
        <v>38267</v>
      </c>
      <c r="C210">
        <v>1</v>
      </c>
    </row>
    <row r="211" spans="1:3" x14ac:dyDescent="0.2">
      <c r="A211" s="46">
        <v>38280</v>
      </c>
      <c r="C211">
        <v>2</v>
      </c>
    </row>
    <row r="212" spans="1:3" x14ac:dyDescent="0.2">
      <c r="A212" s="46">
        <v>38294</v>
      </c>
      <c r="C212">
        <v>1</v>
      </c>
    </row>
    <row r="213" spans="1:3" x14ac:dyDescent="0.2">
      <c r="A213" s="46">
        <v>38295</v>
      </c>
      <c r="C213">
        <v>1</v>
      </c>
    </row>
    <row r="214" spans="1:3" x14ac:dyDescent="0.2">
      <c r="A214" s="46">
        <v>38308</v>
      </c>
      <c r="C214">
        <v>2</v>
      </c>
    </row>
    <row r="215" spans="1:3" x14ac:dyDescent="0.2">
      <c r="A215" s="46">
        <v>38329</v>
      </c>
      <c r="C215">
        <v>1</v>
      </c>
    </row>
    <row r="216" spans="1:3" x14ac:dyDescent="0.2">
      <c r="A216" s="46">
        <v>38330</v>
      </c>
      <c r="C216">
        <v>1</v>
      </c>
    </row>
    <row r="217" spans="1:3" x14ac:dyDescent="0.2">
      <c r="A217" s="46">
        <v>38343</v>
      </c>
      <c r="C217">
        <v>2</v>
      </c>
    </row>
    <row r="218" spans="1:3" x14ac:dyDescent="0.2">
      <c r="A218" s="46">
        <v>38364</v>
      </c>
      <c r="C218">
        <v>1</v>
      </c>
    </row>
    <row r="219" spans="1:3" x14ac:dyDescent="0.2">
      <c r="A219" s="46">
        <v>38365</v>
      </c>
      <c r="C219">
        <v>1</v>
      </c>
    </row>
    <row r="220" spans="1:3" x14ac:dyDescent="0.2">
      <c r="A220" s="46">
        <v>38378</v>
      </c>
      <c r="C220">
        <v>2</v>
      </c>
    </row>
    <row r="221" spans="1:3" x14ac:dyDescent="0.2">
      <c r="A221" s="46">
        <v>38392</v>
      </c>
      <c r="C221">
        <v>1</v>
      </c>
    </row>
    <row r="222" spans="1:3" x14ac:dyDescent="0.2">
      <c r="A222" s="46">
        <v>38393</v>
      </c>
      <c r="C222">
        <v>1</v>
      </c>
    </row>
    <row r="223" spans="1:3" x14ac:dyDescent="0.2">
      <c r="A223" s="46">
        <v>38406</v>
      </c>
      <c r="C223">
        <v>2</v>
      </c>
    </row>
    <row r="224" spans="1:3" x14ac:dyDescent="0.2">
      <c r="A224" s="46">
        <v>38420</v>
      </c>
      <c r="C224">
        <v>1</v>
      </c>
    </row>
    <row r="225" spans="1:5" x14ac:dyDescent="0.2">
      <c r="A225" s="46">
        <v>38421</v>
      </c>
      <c r="C225">
        <v>1</v>
      </c>
    </row>
    <row r="226" spans="1:5" x14ac:dyDescent="0.2">
      <c r="A226" s="46">
        <v>38434</v>
      </c>
      <c r="C226">
        <v>2</v>
      </c>
    </row>
    <row r="227" spans="1:5" x14ac:dyDescent="0.2">
      <c r="A227" s="46">
        <v>38448</v>
      </c>
      <c r="C227">
        <v>1</v>
      </c>
    </row>
    <row r="228" spans="1:5" x14ac:dyDescent="0.2">
      <c r="A228" s="46">
        <v>38449</v>
      </c>
      <c r="C228">
        <v>1</v>
      </c>
    </row>
    <row r="229" spans="1:5" x14ac:dyDescent="0.2">
      <c r="A229" s="46">
        <v>38462</v>
      </c>
      <c r="C229">
        <v>2</v>
      </c>
    </row>
    <row r="230" spans="1:5" x14ac:dyDescent="0.2">
      <c r="A230" s="46">
        <v>38478</v>
      </c>
      <c r="C230">
        <v>1</v>
      </c>
    </row>
    <row r="231" spans="1:5" x14ac:dyDescent="0.2">
      <c r="A231" s="46">
        <v>38481</v>
      </c>
      <c r="C231">
        <v>1</v>
      </c>
    </row>
    <row r="232" spans="1:5" x14ac:dyDescent="0.2">
      <c r="A232" s="46">
        <v>38490</v>
      </c>
      <c r="C232">
        <v>2</v>
      </c>
    </row>
    <row r="233" spans="1:5" x14ac:dyDescent="0.2">
      <c r="A233" s="46">
        <v>38511</v>
      </c>
      <c r="C233">
        <v>1</v>
      </c>
    </row>
    <row r="234" spans="1:5" x14ac:dyDescent="0.2">
      <c r="A234" s="46">
        <v>38512</v>
      </c>
      <c r="C234">
        <v>1</v>
      </c>
    </row>
    <row r="235" spans="1:5" x14ac:dyDescent="0.2">
      <c r="A235" s="46">
        <v>38525</v>
      </c>
      <c r="C235">
        <v>2</v>
      </c>
      <c r="E235">
        <v>11</v>
      </c>
    </row>
    <row r="236" spans="1:5" x14ac:dyDescent="0.2">
      <c r="A236" s="46">
        <v>38530</v>
      </c>
      <c r="D236">
        <v>1</v>
      </c>
    </row>
    <row r="237" spans="1:5" x14ac:dyDescent="0.2">
      <c r="A237" s="46">
        <v>38539</v>
      </c>
      <c r="C237">
        <v>1</v>
      </c>
    </row>
    <row r="238" spans="1:5" x14ac:dyDescent="0.2">
      <c r="A238" s="46">
        <v>38540</v>
      </c>
      <c r="C238">
        <v>1</v>
      </c>
    </row>
    <row r="239" spans="1:5" x14ac:dyDescent="0.2">
      <c r="A239" s="46">
        <v>38553</v>
      </c>
      <c r="C239">
        <v>2</v>
      </c>
    </row>
    <row r="240" spans="1:5" x14ac:dyDescent="0.2">
      <c r="A240" s="46">
        <v>38567</v>
      </c>
      <c r="C240">
        <v>1</v>
      </c>
    </row>
    <row r="241" spans="1:3" x14ac:dyDescent="0.2">
      <c r="A241" s="46">
        <v>38568</v>
      </c>
      <c r="B241">
        <v>1</v>
      </c>
      <c r="C241">
        <v>1</v>
      </c>
    </row>
    <row r="242" spans="1:3" x14ac:dyDescent="0.2">
      <c r="A242" s="46">
        <v>38581</v>
      </c>
      <c r="C242">
        <v>2</v>
      </c>
    </row>
    <row r="243" spans="1:3" x14ac:dyDescent="0.2">
      <c r="A243" s="46">
        <v>38602</v>
      </c>
      <c r="C243">
        <v>1</v>
      </c>
    </row>
    <row r="244" spans="1:3" x14ac:dyDescent="0.2">
      <c r="A244" s="46">
        <v>38603</v>
      </c>
      <c r="C244">
        <v>1</v>
      </c>
    </row>
    <row r="245" spans="1:3" x14ac:dyDescent="0.2">
      <c r="A245" s="46">
        <v>38616</v>
      </c>
      <c r="C245">
        <v>2</v>
      </c>
    </row>
    <row r="246" spans="1:3" x14ac:dyDescent="0.2">
      <c r="A246" s="46">
        <v>38630</v>
      </c>
      <c r="C246">
        <v>1</v>
      </c>
    </row>
    <row r="247" spans="1:3" x14ac:dyDescent="0.2">
      <c r="A247" s="46">
        <v>38631</v>
      </c>
      <c r="C247">
        <v>1</v>
      </c>
    </row>
    <row r="248" spans="1:3" x14ac:dyDescent="0.2">
      <c r="A248" s="46">
        <v>38644</v>
      </c>
      <c r="C248">
        <v>2</v>
      </c>
    </row>
    <row r="249" spans="1:3" x14ac:dyDescent="0.2">
      <c r="A249" s="46">
        <v>38665</v>
      </c>
      <c r="C249">
        <v>1</v>
      </c>
    </row>
    <row r="250" spans="1:3" x14ac:dyDescent="0.2">
      <c r="A250" s="46">
        <v>38666</v>
      </c>
      <c r="C250">
        <v>1</v>
      </c>
    </row>
    <row r="251" spans="1:3" x14ac:dyDescent="0.2">
      <c r="A251" s="46">
        <v>38679</v>
      </c>
      <c r="C251">
        <v>2</v>
      </c>
    </row>
    <row r="252" spans="1:3" x14ac:dyDescent="0.2">
      <c r="A252" s="46">
        <v>38693</v>
      </c>
      <c r="C252">
        <v>1</v>
      </c>
    </row>
    <row r="253" spans="1:3" x14ac:dyDescent="0.2">
      <c r="A253" s="46">
        <v>38694</v>
      </c>
      <c r="C253">
        <v>1</v>
      </c>
    </row>
    <row r="254" spans="1:3" x14ac:dyDescent="0.2">
      <c r="A254" s="46">
        <v>38707</v>
      </c>
      <c r="C254">
        <v>2</v>
      </c>
    </row>
    <row r="255" spans="1:3" x14ac:dyDescent="0.2">
      <c r="A255" s="46">
        <v>38728</v>
      </c>
      <c r="C255">
        <v>1</v>
      </c>
    </row>
    <row r="256" spans="1:3" x14ac:dyDescent="0.2">
      <c r="A256" s="46">
        <v>38729</v>
      </c>
      <c r="C256">
        <v>1</v>
      </c>
    </row>
    <row r="257" spans="1:3" x14ac:dyDescent="0.2">
      <c r="A257" s="46">
        <v>38742</v>
      </c>
      <c r="C257">
        <v>2</v>
      </c>
    </row>
    <row r="258" spans="1:3" x14ac:dyDescent="0.2">
      <c r="A258" s="46">
        <v>38756</v>
      </c>
      <c r="C258">
        <v>1</v>
      </c>
    </row>
    <row r="259" spans="1:3" x14ac:dyDescent="0.2">
      <c r="A259" s="46">
        <v>38757</v>
      </c>
      <c r="C259">
        <v>1</v>
      </c>
    </row>
    <row r="260" spans="1:3" x14ac:dyDescent="0.2">
      <c r="A260" s="46">
        <v>38770</v>
      </c>
      <c r="C260">
        <v>2</v>
      </c>
    </row>
    <row r="261" spans="1:3" x14ac:dyDescent="0.2">
      <c r="A261" s="46">
        <v>38784</v>
      </c>
      <c r="C261">
        <v>1</v>
      </c>
    </row>
    <row r="262" spans="1:3" x14ac:dyDescent="0.2">
      <c r="A262" s="46">
        <v>38785</v>
      </c>
      <c r="C262">
        <v>1</v>
      </c>
    </row>
    <row r="263" spans="1:3" x14ac:dyDescent="0.2">
      <c r="A263" s="46">
        <v>38798</v>
      </c>
      <c r="C263">
        <v>2</v>
      </c>
    </row>
    <row r="264" spans="1:3" x14ac:dyDescent="0.2">
      <c r="A264" s="46">
        <v>38812</v>
      </c>
      <c r="C264">
        <v>1</v>
      </c>
    </row>
    <row r="265" spans="1:3" x14ac:dyDescent="0.2">
      <c r="A265" s="46">
        <v>38813</v>
      </c>
      <c r="C265">
        <v>1</v>
      </c>
    </row>
    <row r="266" spans="1:3" x14ac:dyDescent="0.2">
      <c r="A266" s="46">
        <v>38826</v>
      </c>
      <c r="C266">
        <v>2</v>
      </c>
    </row>
    <row r="267" spans="1:3" x14ac:dyDescent="0.2">
      <c r="A267" s="46">
        <v>38840</v>
      </c>
      <c r="C267">
        <v>1</v>
      </c>
    </row>
    <row r="268" spans="1:3" x14ac:dyDescent="0.2">
      <c r="A268" s="46">
        <v>38841</v>
      </c>
      <c r="C268">
        <v>1</v>
      </c>
    </row>
    <row r="269" spans="1:3" x14ac:dyDescent="0.2">
      <c r="A269" s="46">
        <v>38854</v>
      </c>
      <c r="C269">
        <v>2</v>
      </c>
    </row>
    <row r="270" spans="1:3" x14ac:dyDescent="0.2">
      <c r="A270" s="46">
        <v>38875</v>
      </c>
      <c r="C270">
        <v>1</v>
      </c>
    </row>
    <row r="271" spans="1:3" x14ac:dyDescent="0.2">
      <c r="A271" s="46">
        <v>38876</v>
      </c>
      <c r="C271">
        <v>1</v>
      </c>
    </row>
    <row r="272" spans="1:3" x14ac:dyDescent="0.2">
      <c r="A272" s="46">
        <v>38889</v>
      </c>
      <c r="C272">
        <v>2</v>
      </c>
    </row>
    <row r="273" spans="1:4" x14ac:dyDescent="0.2">
      <c r="A273" s="46">
        <v>38903</v>
      </c>
      <c r="C273">
        <v>1</v>
      </c>
    </row>
    <row r="274" spans="1:4" x14ac:dyDescent="0.2">
      <c r="A274" s="46">
        <v>38904</v>
      </c>
      <c r="C274">
        <v>1</v>
      </c>
    </row>
    <row r="275" spans="1:4" x14ac:dyDescent="0.2">
      <c r="A275" s="46">
        <v>38910</v>
      </c>
      <c r="D275">
        <v>1</v>
      </c>
    </row>
    <row r="276" spans="1:4" x14ac:dyDescent="0.2">
      <c r="A276" s="46">
        <v>38917</v>
      </c>
      <c r="C276">
        <v>2</v>
      </c>
    </row>
    <row r="277" spans="1:4" x14ac:dyDescent="0.2">
      <c r="A277" s="46">
        <v>38931</v>
      </c>
      <c r="C277">
        <v>1</v>
      </c>
    </row>
    <row r="278" spans="1:4" x14ac:dyDescent="0.2">
      <c r="A278" s="46">
        <v>38932</v>
      </c>
      <c r="B278">
        <v>3</v>
      </c>
      <c r="C278">
        <v>1</v>
      </c>
    </row>
    <row r="279" spans="1:4" x14ac:dyDescent="0.2">
      <c r="A279" s="46">
        <v>38945</v>
      </c>
      <c r="C279">
        <v>2</v>
      </c>
    </row>
    <row r="280" spans="1:4" x14ac:dyDescent="0.2">
      <c r="A280" s="46">
        <v>38966</v>
      </c>
      <c r="C280">
        <v>1</v>
      </c>
    </row>
    <row r="281" spans="1:4" x14ac:dyDescent="0.2">
      <c r="A281" s="46">
        <v>38967</v>
      </c>
      <c r="C281">
        <v>1</v>
      </c>
    </row>
    <row r="282" spans="1:4" x14ac:dyDescent="0.2">
      <c r="A282" s="46">
        <v>38980</v>
      </c>
      <c r="C282">
        <v>2</v>
      </c>
    </row>
    <row r="283" spans="1:4" x14ac:dyDescent="0.2">
      <c r="A283" s="46">
        <v>38994</v>
      </c>
      <c r="C283">
        <v>1</v>
      </c>
    </row>
    <row r="284" spans="1:4" x14ac:dyDescent="0.2">
      <c r="A284" s="46">
        <v>38995</v>
      </c>
      <c r="C284">
        <v>1</v>
      </c>
    </row>
    <row r="285" spans="1:4" x14ac:dyDescent="0.2">
      <c r="A285" s="46">
        <v>39008</v>
      </c>
      <c r="C285">
        <v>2</v>
      </c>
    </row>
    <row r="286" spans="1:4" x14ac:dyDescent="0.2">
      <c r="A286" s="46">
        <v>39029</v>
      </c>
      <c r="C286">
        <v>1</v>
      </c>
    </row>
    <row r="287" spans="1:4" x14ac:dyDescent="0.2">
      <c r="A287" s="46">
        <v>39030</v>
      </c>
      <c r="B287">
        <v>3</v>
      </c>
      <c r="C287">
        <v>1</v>
      </c>
    </row>
    <row r="288" spans="1:4" x14ac:dyDescent="0.2">
      <c r="A288" s="46">
        <v>39043</v>
      </c>
      <c r="C288">
        <v>2</v>
      </c>
    </row>
    <row r="289" spans="1:5" x14ac:dyDescent="0.2">
      <c r="A289" s="46">
        <v>39057</v>
      </c>
      <c r="C289">
        <v>1</v>
      </c>
    </row>
    <row r="290" spans="1:5" x14ac:dyDescent="0.2">
      <c r="A290" s="46">
        <v>39058</v>
      </c>
      <c r="C290">
        <v>1</v>
      </c>
    </row>
    <row r="291" spans="1:5" x14ac:dyDescent="0.2">
      <c r="A291" s="46">
        <v>39065</v>
      </c>
      <c r="E291">
        <v>1</v>
      </c>
    </row>
    <row r="292" spans="1:5" x14ac:dyDescent="0.2">
      <c r="A292" s="46">
        <v>39071</v>
      </c>
      <c r="C292">
        <v>2</v>
      </c>
    </row>
    <row r="293" spans="1:5" x14ac:dyDescent="0.2">
      <c r="A293" s="46">
        <v>39092</v>
      </c>
      <c r="C293">
        <v>1</v>
      </c>
    </row>
    <row r="294" spans="1:5" x14ac:dyDescent="0.2">
      <c r="A294" s="46">
        <v>39093</v>
      </c>
      <c r="B294">
        <v>3</v>
      </c>
      <c r="C294">
        <v>1</v>
      </c>
    </row>
    <row r="295" spans="1:5" x14ac:dyDescent="0.2">
      <c r="A295" s="46">
        <v>39106</v>
      </c>
      <c r="C295">
        <v>2</v>
      </c>
    </row>
    <row r="296" spans="1:5" x14ac:dyDescent="0.2">
      <c r="A296" s="46">
        <v>39114</v>
      </c>
      <c r="E296">
        <v>1</v>
      </c>
    </row>
    <row r="297" spans="1:5" x14ac:dyDescent="0.2">
      <c r="A297" s="46">
        <v>39120</v>
      </c>
      <c r="C297">
        <v>1</v>
      </c>
    </row>
    <row r="298" spans="1:5" x14ac:dyDescent="0.2">
      <c r="A298" s="46">
        <v>39121</v>
      </c>
      <c r="C298">
        <v>1</v>
      </c>
    </row>
    <row r="299" spans="1:5" x14ac:dyDescent="0.2">
      <c r="A299" s="46">
        <v>39134</v>
      </c>
      <c r="C299">
        <v>2</v>
      </c>
    </row>
    <row r="300" spans="1:5" x14ac:dyDescent="0.2">
      <c r="A300" s="46">
        <v>39148</v>
      </c>
      <c r="C300">
        <v>1</v>
      </c>
    </row>
    <row r="301" spans="1:5" x14ac:dyDescent="0.2">
      <c r="A301" s="46">
        <v>39149</v>
      </c>
      <c r="C301">
        <v>1</v>
      </c>
    </row>
    <row r="302" spans="1:5" x14ac:dyDescent="0.2">
      <c r="A302" s="46">
        <v>39162</v>
      </c>
      <c r="C302">
        <v>2</v>
      </c>
    </row>
    <row r="303" spans="1:5" x14ac:dyDescent="0.2">
      <c r="A303" s="46">
        <v>39176</v>
      </c>
      <c r="C303">
        <v>1</v>
      </c>
    </row>
    <row r="304" spans="1:5" x14ac:dyDescent="0.2">
      <c r="A304" s="46">
        <v>39177</v>
      </c>
      <c r="C304">
        <v>1</v>
      </c>
    </row>
    <row r="305" spans="1:4" x14ac:dyDescent="0.2">
      <c r="A305" s="46">
        <v>39190</v>
      </c>
      <c r="C305">
        <v>2</v>
      </c>
    </row>
    <row r="306" spans="1:4" x14ac:dyDescent="0.2">
      <c r="A306" s="46">
        <v>39198</v>
      </c>
      <c r="D306">
        <v>1</v>
      </c>
    </row>
    <row r="307" spans="1:4" x14ac:dyDescent="0.2">
      <c r="A307" s="46">
        <v>39211</v>
      </c>
      <c r="C307">
        <v>1</v>
      </c>
    </row>
    <row r="308" spans="1:4" x14ac:dyDescent="0.2">
      <c r="A308" s="46">
        <v>39212</v>
      </c>
      <c r="B308">
        <v>3</v>
      </c>
      <c r="C308">
        <v>1</v>
      </c>
    </row>
    <row r="309" spans="1:4" x14ac:dyDescent="0.2">
      <c r="A309" s="46">
        <v>39225</v>
      </c>
      <c r="C309">
        <v>2</v>
      </c>
    </row>
    <row r="310" spans="1:4" x14ac:dyDescent="0.2">
      <c r="A310" s="46">
        <v>39239</v>
      </c>
      <c r="C310">
        <v>1</v>
      </c>
    </row>
    <row r="311" spans="1:4" x14ac:dyDescent="0.2">
      <c r="A311" s="46">
        <v>39240</v>
      </c>
      <c r="C311">
        <v>1</v>
      </c>
    </row>
    <row r="312" spans="1:4" x14ac:dyDescent="0.2">
      <c r="A312" s="46">
        <v>39253</v>
      </c>
      <c r="C312">
        <v>2</v>
      </c>
    </row>
    <row r="313" spans="1:4" x14ac:dyDescent="0.2">
      <c r="A313" s="46">
        <v>39267</v>
      </c>
      <c r="C313">
        <v>1</v>
      </c>
    </row>
    <row r="314" spans="1:4" x14ac:dyDescent="0.2">
      <c r="A314" s="46">
        <v>39268</v>
      </c>
      <c r="B314">
        <v>3</v>
      </c>
      <c r="C314">
        <v>1</v>
      </c>
    </row>
    <row r="315" spans="1:4" x14ac:dyDescent="0.2">
      <c r="A315" s="46">
        <v>39281</v>
      </c>
      <c r="C315">
        <v>2</v>
      </c>
    </row>
    <row r="316" spans="1:4" x14ac:dyDescent="0.2">
      <c r="A316" s="46">
        <v>39295</v>
      </c>
      <c r="C316">
        <v>1</v>
      </c>
    </row>
    <row r="317" spans="1:4" x14ac:dyDescent="0.2">
      <c r="A317" s="46">
        <v>39296</v>
      </c>
      <c r="C317">
        <v>1</v>
      </c>
    </row>
    <row r="318" spans="1:4" x14ac:dyDescent="0.2">
      <c r="A318" s="46">
        <v>39309</v>
      </c>
      <c r="C318">
        <v>2</v>
      </c>
    </row>
    <row r="319" spans="1:4" x14ac:dyDescent="0.2">
      <c r="A319" s="46">
        <v>39330</v>
      </c>
      <c r="C319">
        <v>1</v>
      </c>
    </row>
    <row r="320" spans="1:4" x14ac:dyDescent="0.2">
      <c r="A320" s="46">
        <v>39331</v>
      </c>
      <c r="C320">
        <v>1</v>
      </c>
    </row>
    <row r="321" spans="1:5" x14ac:dyDescent="0.2">
      <c r="A321" s="46">
        <v>39344</v>
      </c>
      <c r="C321">
        <v>2</v>
      </c>
    </row>
    <row r="322" spans="1:5" x14ac:dyDescent="0.2">
      <c r="A322" s="46">
        <v>39358</v>
      </c>
      <c r="C322">
        <v>1</v>
      </c>
    </row>
    <row r="323" spans="1:5" x14ac:dyDescent="0.2">
      <c r="A323" s="46">
        <v>39359</v>
      </c>
      <c r="C323">
        <v>1</v>
      </c>
    </row>
    <row r="324" spans="1:5" x14ac:dyDescent="0.2">
      <c r="A324" s="46">
        <v>39372</v>
      </c>
      <c r="C324">
        <v>2</v>
      </c>
    </row>
    <row r="325" spans="1:5" x14ac:dyDescent="0.2">
      <c r="A325" s="46">
        <v>39393</v>
      </c>
      <c r="C325">
        <v>1</v>
      </c>
    </row>
    <row r="326" spans="1:5" x14ac:dyDescent="0.2">
      <c r="A326" s="46">
        <v>39394</v>
      </c>
      <c r="C326">
        <v>1</v>
      </c>
    </row>
    <row r="327" spans="1:5" x14ac:dyDescent="0.2">
      <c r="A327" s="46">
        <v>39407</v>
      </c>
      <c r="C327">
        <v>2</v>
      </c>
    </row>
    <row r="328" spans="1:5" x14ac:dyDescent="0.2">
      <c r="A328" s="46">
        <v>39421</v>
      </c>
      <c r="C328">
        <v>1</v>
      </c>
    </row>
    <row r="329" spans="1:5" x14ac:dyDescent="0.2">
      <c r="A329" s="46">
        <v>39422</v>
      </c>
      <c r="B329">
        <v>1</v>
      </c>
      <c r="C329">
        <v>1</v>
      </c>
    </row>
    <row r="330" spans="1:5" x14ac:dyDescent="0.2">
      <c r="A330" s="46">
        <v>39434</v>
      </c>
      <c r="E330">
        <v>6</v>
      </c>
    </row>
    <row r="331" spans="1:5" x14ac:dyDescent="0.2">
      <c r="A331" s="46">
        <v>39435</v>
      </c>
      <c r="C331">
        <v>2</v>
      </c>
    </row>
    <row r="332" spans="1:5" x14ac:dyDescent="0.2">
      <c r="A332" s="46">
        <v>39457</v>
      </c>
      <c r="C332">
        <v>1</v>
      </c>
    </row>
    <row r="333" spans="1:5" x14ac:dyDescent="0.2">
      <c r="A333" s="46">
        <v>39485</v>
      </c>
      <c r="B333">
        <v>1</v>
      </c>
      <c r="C333">
        <v>1</v>
      </c>
    </row>
    <row r="334" spans="1:5" x14ac:dyDescent="0.2">
      <c r="A334" s="46">
        <v>39498</v>
      </c>
      <c r="C334">
        <v>2</v>
      </c>
    </row>
    <row r="335" spans="1:5" x14ac:dyDescent="0.2">
      <c r="A335" s="46">
        <v>39513</v>
      </c>
      <c r="C335">
        <v>1</v>
      </c>
    </row>
    <row r="336" spans="1:5" x14ac:dyDescent="0.2">
      <c r="A336" s="46">
        <v>39526</v>
      </c>
      <c r="C336">
        <v>2</v>
      </c>
    </row>
    <row r="337" spans="1:4" x14ac:dyDescent="0.2">
      <c r="A337" s="46">
        <v>39548</v>
      </c>
      <c r="B337">
        <v>1</v>
      </c>
      <c r="C337">
        <v>1</v>
      </c>
    </row>
    <row r="338" spans="1:4" x14ac:dyDescent="0.2">
      <c r="A338" s="46">
        <v>39561</v>
      </c>
      <c r="C338">
        <v>2</v>
      </c>
    </row>
    <row r="339" spans="1:4" x14ac:dyDescent="0.2">
      <c r="A339" s="46">
        <v>39569</v>
      </c>
      <c r="D339">
        <v>1</v>
      </c>
    </row>
    <row r="340" spans="1:4" x14ac:dyDescent="0.2">
      <c r="A340" s="46">
        <v>39576</v>
      </c>
      <c r="C340">
        <v>1</v>
      </c>
    </row>
    <row r="341" spans="1:4" x14ac:dyDescent="0.2">
      <c r="A341" s="46">
        <v>39589</v>
      </c>
      <c r="C341">
        <v>2</v>
      </c>
    </row>
    <row r="342" spans="1:4" x14ac:dyDescent="0.2">
      <c r="A342" s="46">
        <v>39604</v>
      </c>
      <c r="C342">
        <v>1</v>
      </c>
    </row>
    <row r="343" spans="1:4" x14ac:dyDescent="0.2">
      <c r="A343" s="46">
        <v>39617</v>
      </c>
      <c r="C343">
        <v>2</v>
      </c>
    </row>
    <row r="344" spans="1:4" x14ac:dyDescent="0.2">
      <c r="A344" s="46">
        <v>39639</v>
      </c>
      <c r="C344">
        <v>1</v>
      </c>
    </row>
    <row r="345" spans="1:4" x14ac:dyDescent="0.2">
      <c r="A345" s="46">
        <v>39652</v>
      </c>
      <c r="C345">
        <v>2</v>
      </c>
    </row>
    <row r="346" spans="1:4" x14ac:dyDescent="0.2">
      <c r="A346" s="46">
        <v>39667</v>
      </c>
      <c r="C346">
        <v>1</v>
      </c>
    </row>
    <row r="347" spans="1:4" x14ac:dyDescent="0.2">
      <c r="A347" s="46">
        <v>39680</v>
      </c>
      <c r="C347">
        <v>2</v>
      </c>
    </row>
    <row r="348" spans="1:4" x14ac:dyDescent="0.2">
      <c r="A348" s="46">
        <v>39695</v>
      </c>
      <c r="C348">
        <v>1</v>
      </c>
    </row>
    <row r="349" spans="1:4" x14ac:dyDescent="0.2">
      <c r="A349" s="46">
        <v>39708</v>
      </c>
      <c r="C349">
        <v>2</v>
      </c>
    </row>
    <row r="350" spans="1:4" x14ac:dyDescent="0.2">
      <c r="A350" s="46">
        <v>39729</v>
      </c>
      <c r="B350">
        <v>1</v>
      </c>
      <c r="C350">
        <v>1</v>
      </c>
    </row>
    <row r="351" spans="1:4" x14ac:dyDescent="0.2">
      <c r="A351" s="46">
        <v>39743</v>
      </c>
      <c r="C351">
        <v>2</v>
      </c>
    </row>
    <row r="352" spans="1:4" x14ac:dyDescent="0.2">
      <c r="A352" s="46">
        <v>39749</v>
      </c>
      <c r="D352">
        <v>1</v>
      </c>
    </row>
    <row r="353" spans="1:3" x14ac:dyDescent="0.2">
      <c r="A353" s="46">
        <v>39758</v>
      </c>
      <c r="B353">
        <v>1</v>
      </c>
      <c r="C353">
        <v>1</v>
      </c>
    </row>
    <row r="354" spans="1:3" x14ac:dyDescent="0.2">
      <c r="A354" s="46">
        <v>39771</v>
      </c>
      <c r="C354">
        <v>2</v>
      </c>
    </row>
    <row r="355" spans="1:3" x14ac:dyDescent="0.2">
      <c r="A355" s="46">
        <v>39786</v>
      </c>
      <c r="B355">
        <v>1</v>
      </c>
      <c r="C355">
        <v>1</v>
      </c>
    </row>
    <row r="356" spans="1:3" x14ac:dyDescent="0.2">
      <c r="A356" s="46">
        <v>39799</v>
      </c>
      <c r="C356">
        <v>2</v>
      </c>
    </row>
    <row r="357" spans="1:3" x14ac:dyDescent="0.2">
      <c r="A357" s="46">
        <v>39821</v>
      </c>
      <c r="B357">
        <v>1</v>
      </c>
      <c r="C357">
        <v>1</v>
      </c>
    </row>
    <row r="358" spans="1:3" x14ac:dyDescent="0.2">
      <c r="A358" s="46">
        <v>39834</v>
      </c>
      <c r="C358">
        <v>2</v>
      </c>
    </row>
    <row r="359" spans="1:3" x14ac:dyDescent="0.2">
      <c r="A359" s="46">
        <v>39849</v>
      </c>
      <c r="B359">
        <v>1</v>
      </c>
      <c r="C359">
        <v>1</v>
      </c>
    </row>
    <row r="360" spans="1:3" x14ac:dyDescent="0.2">
      <c r="A360" s="46">
        <v>39862</v>
      </c>
      <c r="C360">
        <v>2</v>
      </c>
    </row>
    <row r="361" spans="1:3" x14ac:dyDescent="0.2">
      <c r="A361" s="46">
        <v>39877</v>
      </c>
      <c r="B361">
        <v>1</v>
      </c>
      <c r="C361">
        <v>3</v>
      </c>
    </row>
    <row r="362" spans="1:3" x14ac:dyDescent="0.2">
      <c r="A362" s="46">
        <v>39890</v>
      </c>
      <c r="C362">
        <v>2</v>
      </c>
    </row>
    <row r="363" spans="1:3" x14ac:dyDescent="0.2">
      <c r="A363" s="46">
        <v>39912</v>
      </c>
      <c r="C363">
        <v>1</v>
      </c>
    </row>
    <row r="364" spans="1:3" x14ac:dyDescent="0.2">
      <c r="A364" s="46">
        <v>39925</v>
      </c>
      <c r="C364">
        <v>2</v>
      </c>
    </row>
    <row r="365" spans="1:3" x14ac:dyDescent="0.2">
      <c r="A365" s="46">
        <v>39940</v>
      </c>
      <c r="C365">
        <v>1</v>
      </c>
    </row>
    <row r="366" spans="1:3" x14ac:dyDescent="0.2">
      <c r="A366" s="46">
        <v>39953</v>
      </c>
      <c r="C366">
        <v>2</v>
      </c>
    </row>
    <row r="367" spans="1:3" x14ac:dyDescent="0.2">
      <c r="A367" s="46">
        <v>39968</v>
      </c>
      <c r="C367">
        <v>1</v>
      </c>
    </row>
    <row r="368" spans="1:3" x14ac:dyDescent="0.2">
      <c r="A368" s="46">
        <v>39981</v>
      </c>
      <c r="C368">
        <v>2</v>
      </c>
    </row>
    <row r="369" spans="1:4" x14ac:dyDescent="0.2">
      <c r="A369" s="46">
        <v>39990</v>
      </c>
      <c r="D369">
        <v>1</v>
      </c>
    </row>
    <row r="370" spans="1:4" x14ac:dyDescent="0.2">
      <c r="A370" s="46">
        <v>40003</v>
      </c>
      <c r="C370">
        <v>1</v>
      </c>
    </row>
    <row r="371" spans="1:4" x14ac:dyDescent="0.2">
      <c r="A371" s="46">
        <v>40016</v>
      </c>
      <c r="C371">
        <v>2</v>
      </c>
    </row>
    <row r="372" spans="1:4" x14ac:dyDescent="0.2">
      <c r="A372" s="46">
        <v>40031</v>
      </c>
      <c r="C372">
        <v>1</v>
      </c>
    </row>
    <row r="373" spans="1:4" x14ac:dyDescent="0.2">
      <c r="A373" s="46">
        <v>40044</v>
      </c>
      <c r="C373">
        <v>2</v>
      </c>
    </row>
    <row r="374" spans="1:4" x14ac:dyDescent="0.2">
      <c r="A374" s="46">
        <v>40066</v>
      </c>
      <c r="C374">
        <v>1</v>
      </c>
    </row>
    <row r="375" spans="1:4" x14ac:dyDescent="0.2">
      <c r="A375" s="46">
        <v>40079</v>
      </c>
      <c r="C375">
        <v>2</v>
      </c>
    </row>
    <row r="376" spans="1:4" x14ac:dyDescent="0.2">
      <c r="A376" s="46">
        <v>40084</v>
      </c>
      <c r="D376">
        <v>1</v>
      </c>
    </row>
    <row r="377" spans="1:4" x14ac:dyDescent="0.2">
      <c r="A377" s="46">
        <v>40094</v>
      </c>
      <c r="C377">
        <v>1</v>
      </c>
    </row>
    <row r="378" spans="1:4" x14ac:dyDescent="0.2">
      <c r="A378" s="46">
        <v>40107</v>
      </c>
      <c r="C378">
        <v>2</v>
      </c>
    </row>
    <row r="379" spans="1:4" x14ac:dyDescent="0.2">
      <c r="A379" s="46">
        <v>40122</v>
      </c>
      <c r="C379">
        <v>1</v>
      </c>
    </row>
    <row r="380" spans="1:4" x14ac:dyDescent="0.2">
      <c r="A380" s="46">
        <v>40135</v>
      </c>
      <c r="C380">
        <v>2</v>
      </c>
    </row>
    <row r="381" spans="1:4" x14ac:dyDescent="0.2">
      <c r="A381" s="46">
        <v>40157</v>
      </c>
      <c r="C381">
        <v>1</v>
      </c>
    </row>
    <row r="382" spans="1:4" x14ac:dyDescent="0.2">
      <c r="A382" s="46">
        <v>40165</v>
      </c>
      <c r="D382">
        <v>1</v>
      </c>
    </row>
    <row r="383" spans="1:4" x14ac:dyDescent="0.2">
      <c r="A383" s="46">
        <v>40170</v>
      </c>
      <c r="C383">
        <v>2</v>
      </c>
    </row>
    <row r="384" spans="1:4" x14ac:dyDescent="0.2">
      <c r="A384" s="46">
        <v>40185</v>
      </c>
      <c r="C384">
        <v>1</v>
      </c>
    </row>
    <row r="385" spans="1:4" x14ac:dyDescent="0.2">
      <c r="A385" s="46">
        <v>40198</v>
      </c>
      <c r="C385">
        <v>2</v>
      </c>
    </row>
    <row r="386" spans="1:4" x14ac:dyDescent="0.2">
      <c r="A386" s="46">
        <v>40213</v>
      </c>
      <c r="C386">
        <v>1</v>
      </c>
    </row>
    <row r="387" spans="1:4" x14ac:dyDescent="0.2">
      <c r="A387" s="46">
        <v>40226</v>
      </c>
      <c r="C387">
        <v>2</v>
      </c>
    </row>
    <row r="388" spans="1:4" x14ac:dyDescent="0.2">
      <c r="A388" s="46">
        <v>40241</v>
      </c>
      <c r="C388">
        <v>1</v>
      </c>
    </row>
    <row r="389" spans="1:4" x14ac:dyDescent="0.2">
      <c r="A389" s="46">
        <v>40254</v>
      </c>
      <c r="C389">
        <v>2</v>
      </c>
    </row>
    <row r="390" spans="1:4" x14ac:dyDescent="0.2">
      <c r="A390" s="46">
        <v>40276</v>
      </c>
      <c r="C390">
        <v>1</v>
      </c>
    </row>
    <row r="391" spans="1:4" x14ac:dyDescent="0.2">
      <c r="A391" s="46">
        <v>40289</v>
      </c>
      <c r="C391">
        <v>2</v>
      </c>
    </row>
    <row r="392" spans="1:4" x14ac:dyDescent="0.2">
      <c r="A392" s="46">
        <v>40308</v>
      </c>
      <c r="C392">
        <v>1</v>
      </c>
    </row>
    <row r="393" spans="1:4" x14ac:dyDescent="0.2">
      <c r="A393" s="46">
        <v>40317</v>
      </c>
      <c r="C393">
        <v>2</v>
      </c>
    </row>
    <row r="394" spans="1:4" x14ac:dyDescent="0.2">
      <c r="A394" s="46">
        <v>40339</v>
      </c>
      <c r="C394">
        <v>1</v>
      </c>
    </row>
    <row r="395" spans="1:4" x14ac:dyDescent="0.2">
      <c r="A395" s="46">
        <v>40352</v>
      </c>
      <c r="C395">
        <v>2</v>
      </c>
    </row>
    <row r="396" spans="1:4" x14ac:dyDescent="0.2">
      <c r="A396" s="46">
        <v>40354</v>
      </c>
      <c r="D396">
        <v>1</v>
      </c>
    </row>
    <row r="397" spans="1:4" x14ac:dyDescent="0.2">
      <c r="A397" s="46">
        <v>40367</v>
      </c>
      <c r="C397">
        <v>1</v>
      </c>
    </row>
    <row r="398" spans="1:4" x14ac:dyDescent="0.2">
      <c r="A398" s="46">
        <v>40380</v>
      </c>
      <c r="C398">
        <v>2</v>
      </c>
    </row>
    <row r="399" spans="1:4" x14ac:dyDescent="0.2">
      <c r="A399" s="46">
        <v>40395</v>
      </c>
      <c r="C399">
        <v>1</v>
      </c>
    </row>
    <row r="400" spans="1:4" x14ac:dyDescent="0.2">
      <c r="A400" s="46">
        <v>40408</v>
      </c>
      <c r="C400">
        <v>2</v>
      </c>
    </row>
    <row r="401" spans="1:4" x14ac:dyDescent="0.2">
      <c r="A401" s="46">
        <v>40430</v>
      </c>
      <c r="C401">
        <v>1</v>
      </c>
    </row>
    <row r="402" spans="1:4" x14ac:dyDescent="0.2">
      <c r="A402" s="46">
        <v>40443</v>
      </c>
      <c r="C402">
        <v>2</v>
      </c>
    </row>
    <row r="403" spans="1:4" x14ac:dyDescent="0.2">
      <c r="A403" s="46">
        <v>40458</v>
      </c>
      <c r="C403">
        <v>1</v>
      </c>
    </row>
    <row r="404" spans="1:4" x14ac:dyDescent="0.2">
      <c r="A404" s="46">
        <v>40471</v>
      </c>
      <c r="C404">
        <v>2</v>
      </c>
    </row>
    <row r="405" spans="1:4" x14ac:dyDescent="0.2">
      <c r="A405" s="46">
        <v>40486</v>
      </c>
      <c r="C405">
        <v>1</v>
      </c>
    </row>
    <row r="406" spans="1:4" x14ac:dyDescent="0.2">
      <c r="A406" s="46">
        <v>40499</v>
      </c>
      <c r="C406">
        <v>2</v>
      </c>
    </row>
    <row r="407" spans="1:4" x14ac:dyDescent="0.2">
      <c r="A407" s="46">
        <v>40521</v>
      </c>
      <c r="C407">
        <v>1</v>
      </c>
    </row>
    <row r="408" spans="1:4" x14ac:dyDescent="0.2">
      <c r="A408" s="46">
        <v>40529</v>
      </c>
      <c r="D408">
        <v>1</v>
      </c>
    </row>
    <row r="409" spans="1:4" x14ac:dyDescent="0.2">
      <c r="A409" s="46">
        <v>40534</v>
      </c>
      <c r="C409">
        <v>2</v>
      </c>
    </row>
    <row r="410" spans="1:4" x14ac:dyDescent="0.2">
      <c r="A410" s="46">
        <v>40556</v>
      </c>
      <c r="C410">
        <v>1</v>
      </c>
    </row>
    <row r="411" spans="1:4" x14ac:dyDescent="0.2">
      <c r="A411" s="46">
        <v>40569</v>
      </c>
      <c r="C411">
        <v>2</v>
      </c>
    </row>
    <row r="412" spans="1:4" x14ac:dyDescent="0.2">
      <c r="A412" s="46">
        <v>40584</v>
      </c>
      <c r="C412">
        <v>1</v>
      </c>
    </row>
    <row r="413" spans="1:4" x14ac:dyDescent="0.2">
      <c r="A413" s="46">
        <v>40597</v>
      </c>
      <c r="C413">
        <v>2</v>
      </c>
    </row>
    <row r="414" spans="1:4" x14ac:dyDescent="0.2">
      <c r="A414" s="46">
        <v>40612</v>
      </c>
      <c r="C414">
        <v>1</v>
      </c>
    </row>
    <row r="415" spans="1:4" x14ac:dyDescent="0.2">
      <c r="A415" s="46">
        <v>40625</v>
      </c>
      <c r="C415">
        <v>2</v>
      </c>
    </row>
    <row r="416" spans="1:4" x14ac:dyDescent="0.2">
      <c r="A416" s="46">
        <v>40640</v>
      </c>
      <c r="C416">
        <v>1</v>
      </c>
    </row>
    <row r="417" spans="1:5" x14ac:dyDescent="0.2">
      <c r="A417" s="46">
        <v>40653</v>
      </c>
      <c r="C417">
        <v>2</v>
      </c>
    </row>
    <row r="418" spans="1:5" x14ac:dyDescent="0.2">
      <c r="A418" s="46">
        <v>40668</v>
      </c>
      <c r="C418">
        <v>1</v>
      </c>
    </row>
    <row r="419" spans="1:5" x14ac:dyDescent="0.2">
      <c r="A419" s="46">
        <v>40681</v>
      </c>
      <c r="C419">
        <v>2</v>
      </c>
    </row>
    <row r="420" spans="1:5" x14ac:dyDescent="0.2">
      <c r="A420" s="46">
        <v>40703</v>
      </c>
      <c r="C420">
        <v>1</v>
      </c>
    </row>
    <row r="421" spans="1:5" x14ac:dyDescent="0.2">
      <c r="A421" s="46">
        <v>40709</v>
      </c>
      <c r="E421">
        <v>11</v>
      </c>
    </row>
    <row r="422" spans="1:5" x14ac:dyDescent="0.2">
      <c r="A422" s="46">
        <v>40716</v>
      </c>
      <c r="C422">
        <v>2</v>
      </c>
    </row>
    <row r="423" spans="1:5" x14ac:dyDescent="0.2">
      <c r="A423" s="46">
        <v>40731</v>
      </c>
      <c r="C423">
        <v>1</v>
      </c>
    </row>
    <row r="424" spans="1:5" x14ac:dyDescent="0.2">
      <c r="A424" s="46">
        <v>40744</v>
      </c>
      <c r="C424">
        <v>2</v>
      </c>
    </row>
    <row r="425" spans="1:5" x14ac:dyDescent="0.2">
      <c r="A425" s="46">
        <v>40759</v>
      </c>
      <c r="C425">
        <v>1</v>
      </c>
    </row>
    <row r="426" spans="1:5" x14ac:dyDescent="0.2">
      <c r="A426" s="46">
        <v>40772</v>
      </c>
      <c r="C426">
        <v>2</v>
      </c>
    </row>
    <row r="427" spans="1:5" x14ac:dyDescent="0.2">
      <c r="A427" s="46">
        <v>40794</v>
      </c>
      <c r="C427">
        <v>1</v>
      </c>
    </row>
    <row r="428" spans="1:5" x14ac:dyDescent="0.2">
      <c r="A428" s="46">
        <v>40807</v>
      </c>
      <c r="C428">
        <v>2</v>
      </c>
    </row>
    <row r="429" spans="1:5" x14ac:dyDescent="0.2">
      <c r="A429" s="46">
        <v>40822</v>
      </c>
      <c r="C429">
        <v>3</v>
      </c>
    </row>
    <row r="430" spans="1:5" x14ac:dyDescent="0.2">
      <c r="A430" s="46">
        <v>40835</v>
      </c>
      <c r="C430">
        <v>2</v>
      </c>
    </row>
    <row r="431" spans="1:5" x14ac:dyDescent="0.2">
      <c r="A431" s="46">
        <v>40841</v>
      </c>
      <c r="E431">
        <v>10</v>
      </c>
    </row>
    <row r="432" spans="1:5" x14ac:dyDescent="0.2">
      <c r="A432" s="46">
        <v>40857</v>
      </c>
      <c r="C432">
        <v>1</v>
      </c>
    </row>
    <row r="433" spans="1:4" x14ac:dyDescent="0.2">
      <c r="A433" s="46">
        <v>40870</v>
      </c>
      <c r="C433">
        <v>2</v>
      </c>
    </row>
    <row r="434" spans="1:4" x14ac:dyDescent="0.2">
      <c r="A434" s="46">
        <v>40885</v>
      </c>
      <c r="C434">
        <v>1</v>
      </c>
    </row>
    <row r="435" spans="1:4" x14ac:dyDescent="0.2">
      <c r="A435" s="46">
        <v>40898</v>
      </c>
      <c r="C435">
        <v>2</v>
      </c>
    </row>
    <row r="436" spans="1:4" x14ac:dyDescent="0.2">
      <c r="A436" s="46">
        <v>40920</v>
      </c>
      <c r="C436">
        <v>1</v>
      </c>
    </row>
    <row r="437" spans="1:4" x14ac:dyDescent="0.2">
      <c r="A437" s="46">
        <v>40933</v>
      </c>
      <c r="C437">
        <v>2</v>
      </c>
    </row>
    <row r="438" spans="1:4" x14ac:dyDescent="0.2">
      <c r="A438" s="46">
        <v>40948</v>
      </c>
      <c r="C438">
        <v>1</v>
      </c>
    </row>
    <row r="439" spans="1:4" x14ac:dyDescent="0.2">
      <c r="A439" s="46">
        <v>40961</v>
      </c>
      <c r="C439">
        <v>2</v>
      </c>
    </row>
    <row r="440" spans="1:4" x14ac:dyDescent="0.2">
      <c r="A440" s="46">
        <v>40976</v>
      </c>
      <c r="C440">
        <v>1</v>
      </c>
    </row>
    <row r="441" spans="1:4" x14ac:dyDescent="0.2">
      <c r="A441" s="46">
        <v>40989</v>
      </c>
      <c r="C441">
        <v>2</v>
      </c>
    </row>
    <row r="442" spans="1:4" x14ac:dyDescent="0.2">
      <c r="A442" s="46">
        <v>41004</v>
      </c>
      <c r="C442">
        <v>1</v>
      </c>
    </row>
    <row r="443" spans="1:4" x14ac:dyDescent="0.2">
      <c r="A443" s="46">
        <v>41017</v>
      </c>
      <c r="C443">
        <v>2</v>
      </c>
    </row>
    <row r="444" spans="1:4" x14ac:dyDescent="0.2">
      <c r="A444" s="46">
        <v>41039</v>
      </c>
      <c r="C444">
        <v>1</v>
      </c>
    </row>
    <row r="445" spans="1:4" x14ac:dyDescent="0.2">
      <c r="A445" s="46">
        <v>41052</v>
      </c>
      <c r="C445">
        <v>2</v>
      </c>
    </row>
    <row r="446" spans="1:4" x14ac:dyDescent="0.2">
      <c r="A446" s="46">
        <v>41067</v>
      </c>
      <c r="C446">
        <v>1</v>
      </c>
    </row>
    <row r="447" spans="1:4" x14ac:dyDescent="0.2">
      <c r="A447" s="46">
        <v>41080</v>
      </c>
      <c r="C447">
        <v>2</v>
      </c>
    </row>
    <row r="448" spans="1:4" x14ac:dyDescent="0.2">
      <c r="A448" s="46">
        <v>41089</v>
      </c>
      <c r="D448">
        <v>1</v>
      </c>
    </row>
    <row r="449" spans="1:5" x14ac:dyDescent="0.2">
      <c r="A449" s="46">
        <v>41095</v>
      </c>
      <c r="C449">
        <v>3</v>
      </c>
    </row>
    <row r="450" spans="1:5" x14ac:dyDescent="0.2">
      <c r="A450" s="46">
        <v>41103</v>
      </c>
      <c r="C450">
        <v>3</v>
      </c>
    </row>
    <row r="451" spans="1:5" x14ac:dyDescent="0.2">
      <c r="A451" s="46">
        <v>41108</v>
      </c>
      <c r="C451">
        <v>2</v>
      </c>
    </row>
    <row r="452" spans="1:5" x14ac:dyDescent="0.2">
      <c r="A452" s="46">
        <v>41123</v>
      </c>
      <c r="C452">
        <v>1</v>
      </c>
    </row>
    <row r="453" spans="1:5" x14ac:dyDescent="0.2">
      <c r="A453" s="46">
        <v>41136</v>
      </c>
      <c r="C453">
        <v>2</v>
      </c>
    </row>
    <row r="454" spans="1:5" x14ac:dyDescent="0.2">
      <c r="A454" s="46">
        <v>41158</v>
      </c>
      <c r="C454">
        <v>1</v>
      </c>
    </row>
    <row r="455" spans="1:5" x14ac:dyDescent="0.2">
      <c r="A455" s="46">
        <v>41171</v>
      </c>
      <c r="C455">
        <v>2</v>
      </c>
    </row>
    <row r="456" spans="1:5" x14ac:dyDescent="0.2">
      <c r="A456" s="46">
        <v>41186</v>
      </c>
      <c r="C456">
        <v>1</v>
      </c>
    </row>
    <row r="457" spans="1:5" x14ac:dyDescent="0.2">
      <c r="A457" s="46">
        <v>41199</v>
      </c>
      <c r="C457">
        <v>2</v>
      </c>
    </row>
    <row r="458" spans="1:5" x14ac:dyDescent="0.2">
      <c r="A458" s="46">
        <v>41220</v>
      </c>
      <c r="C458">
        <v>1</v>
      </c>
      <c r="E458">
        <v>2</v>
      </c>
    </row>
    <row r="459" spans="1:5" x14ac:dyDescent="0.2">
      <c r="A459" s="46">
        <v>41221</v>
      </c>
      <c r="C459">
        <v>1</v>
      </c>
    </row>
    <row r="460" spans="1:5" x14ac:dyDescent="0.2">
      <c r="A460" s="46">
        <v>41234</v>
      </c>
      <c r="C460">
        <v>2</v>
      </c>
    </row>
    <row r="461" spans="1:5" x14ac:dyDescent="0.2">
      <c r="A461" s="46">
        <v>41242</v>
      </c>
      <c r="D461">
        <v>1</v>
      </c>
    </row>
    <row r="462" spans="1:5" x14ac:dyDescent="0.2">
      <c r="A462" s="46">
        <v>41249</v>
      </c>
      <c r="C462">
        <v>1</v>
      </c>
    </row>
    <row r="463" spans="1:5" x14ac:dyDescent="0.2">
      <c r="A463" s="46">
        <v>41262</v>
      </c>
      <c r="C463">
        <v>2</v>
      </c>
    </row>
    <row r="464" spans="1:5" x14ac:dyDescent="0.2">
      <c r="A464" s="46">
        <v>41284</v>
      </c>
      <c r="C464">
        <v>1</v>
      </c>
    </row>
    <row r="465" spans="1:4" x14ac:dyDescent="0.2">
      <c r="A465" s="46">
        <v>41297</v>
      </c>
      <c r="C465">
        <v>2</v>
      </c>
    </row>
    <row r="466" spans="1:4" x14ac:dyDescent="0.2">
      <c r="A466" s="46">
        <v>41312</v>
      </c>
      <c r="C466">
        <v>1</v>
      </c>
    </row>
    <row r="467" spans="1:4" x14ac:dyDescent="0.2">
      <c r="A467" s="46">
        <v>41325</v>
      </c>
      <c r="C467">
        <v>2</v>
      </c>
    </row>
    <row r="468" spans="1:4" x14ac:dyDescent="0.2">
      <c r="A468" s="46">
        <v>41340</v>
      </c>
      <c r="C468">
        <v>1</v>
      </c>
    </row>
    <row r="469" spans="1:4" x14ac:dyDescent="0.2">
      <c r="A469" s="46">
        <v>41353</v>
      </c>
      <c r="C469">
        <v>2</v>
      </c>
    </row>
    <row r="470" spans="1:4" x14ac:dyDescent="0.2">
      <c r="A470" s="46">
        <v>41360</v>
      </c>
      <c r="D470">
        <v>1</v>
      </c>
    </row>
    <row r="471" spans="1:4" x14ac:dyDescent="0.2">
      <c r="A471" s="46">
        <v>41368</v>
      </c>
      <c r="C471">
        <v>1</v>
      </c>
    </row>
    <row r="472" spans="1:4" x14ac:dyDescent="0.2">
      <c r="A472" s="46">
        <v>41381</v>
      </c>
      <c r="C472">
        <v>2</v>
      </c>
    </row>
    <row r="473" spans="1:4" x14ac:dyDescent="0.2">
      <c r="A473" s="46">
        <v>41403</v>
      </c>
      <c r="C473">
        <v>1</v>
      </c>
    </row>
    <row r="474" spans="1:4" x14ac:dyDescent="0.2">
      <c r="A474" s="46">
        <v>41416</v>
      </c>
      <c r="C474">
        <v>2</v>
      </c>
    </row>
    <row r="475" spans="1:4" x14ac:dyDescent="0.2">
      <c r="A475" s="46">
        <v>41431</v>
      </c>
      <c r="C475">
        <v>1</v>
      </c>
    </row>
    <row r="476" spans="1:4" x14ac:dyDescent="0.2">
      <c r="A476" s="46">
        <v>41444</v>
      </c>
      <c r="C476">
        <v>2</v>
      </c>
    </row>
    <row r="477" spans="1:4" x14ac:dyDescent="0.2">
      <c r="A477" s="46">
        <v>41451</v>
      </c>
      <c r="D477">
        <v>1</v>
      </c>
    </row>
    <row r="478" spans="1:4" x14ac:dyDescent="0.2">
      <c r="A478" s="46">
        <v>41459</v>
      </c>
      <c r="C478">
        <v>1</v>
      </c>
    </row>
    <row r="479" spans="1:4" x14ac:dyDescent="0.2">
      <c r="A479" s="46">
        <v>41472</v>
      </c>
      <c r="C479">
        <v>2</v>
      </c>
    </row>
    <row r="480" spans="1:4" x14ac:dyDescent="0.2">
      <c r="A480" s="46">
        <v>41487</v>
      </c>
      <c r="C480">
        <v>3</v>
      </c>
    </row>
    <row r="481" spans="1:5" x14ac:dyDescent="0.2">
      <c r="A481" s="46">
        <v>41500</v>
      </c>
      <c r="C481">
        <v>2</v>
      </c>
    </row>
    <row r="482" spans="1:5" x14ac:dyDescent="0.2">
      <c r="A482" s="46">
        <v>41522</v>
      </c>
      <c r="C482">
        <v>1</v>
      </c>
    </row>
    <row r="483" spans="1:5" x14ac:dyDescent="0.2">
      <c r="A483" s="46">
        <v>41535</v>
      </c>
      <c r="C483">
        <v>2</v>
      </c>
    </row>
    <row r="484" spans="1:5" x14ac:dyDescent="0.2">
      <c r="A484" s="46">
        <v>41550</v>
      </c>
      <c r="D484">
        <v>1</v>
      </c>
    </row>
    <row r="485" spans="1:5" x14ac:dyDescent="0.2">
      <c r="A485" s="46">
        <v>41557</v>
      </c>
      <c r="C485">
        <v>1</v>
      </c>
    </row>
    <row r="486" spans="1:5" x14ac:dyDescent="0.2">
      <c r="A486" s="46">
        <v>41570</v>
      </c>
      <c r="C486">
        <v>2</v>
      </c>
    </row>
    <row r="487" spans="1:5" x14ac:dyDescent="0.2">
      <c r="A487" s="46">
        <v>41585</v>
      </c>
      <c r="C487">
        <v>1</v>
      </c>
    </row>
    <row r="488" spans="1:5" x14ac:dyDescent="0.2">
      <c r="A488" s="46">
        <v>41598</v>
      </c>
      <c r="C488">
        <v>2</v>
      </c>
    </row>
    <row r="489" spans="1:5" x14ac:dyDescent="0.2">
      <c r="A489" s="46">
        <v>41606</v>
      </c>
      <c r="D489">
        <v>1</v>
      </c>
      <c r="E489">
        <v>6</v>
      </c>
    </row>
    <row r="490" spans="1:5" x14ac:dyDescent="0.2">
      <c r="A490" s="46">
        <v>41613</v>
      </c>
      <c r="C490">
        <v>1</v>
      </c>
    </row>
    <row r="491" spans="1:5" x14ac:dyDescent="0.2">
      <c r="A491" s="46">
        <v>41626</v>
      </c>
      <c r="C491">
        <v>2</v>
      </c>
      <c r="D491">
        <v>1</v>
      </c>
    </row>
    <row r="492" spans="1:5" x14ac:dyDescent="0.2">
      <c r="A492" s="46">
        <v>41648</v>
      </c>
      <c r="C492">
        <v>1</v>
      </c>
    </row>
    <row r="493" spans="1:5" x14ac:dyDescent="0.2">
      <c r="A493" s="46">
        <v>41654</v>
      </c>
      <c r="E493">
        <v>6</v>
      </c>
    </row>
    <row r="494" spans="1:5" x14ac:dyDescent="0.2">
      <c r="A494" s="46">
        <v>41661</v>
      </c>
      <c r="C494">
        <v>2</v>
      </c>
    </row>
    <row r="495" spans="1:5" x14ac:dyDescent="0.2">
      <c r="A495" s="46">
        <v>41676</v>
      </c>
      <c r="C495">
        <v>1</v>
      </c>
    </row>
    <row r="496" spans="1:5" x14ac:dyDescent="0.2">
      <c r="A496" s="46">
        <v>41689</v>
      </c>
      <c r="C496">
        <v>2</v>
      </c>
    </row>
    <row r="497" spans="1:5" x14ac:dyDescent="0.2">
      <c r="A497" s="46">
        <v>41704</v>
      </c>
      <c r="C497">
        <v>1</v>
      </c>
    </row>
    <row r="498" spans="1:5" x14ac:dyDescent="0.2">
      <c r="A498" s="46">
        <v>41717</v>
      </c>
      <c r="C498">
        <v>2</v>
      </c>
    </row>
    <row r="499" spans="1:5" x14ac:dyDescent="0.2">
      <c r="A499" s="46">
        <v>41739</v>
      </c>
      <c r="C499">
        <v>1</v>
      </c>
    </row>
    <row r="500" spans="1:5" x14ac:dyDescent="0.2">
      <c r="A500" s="46">
        <v>41752</v>
      </c>
      <c r="C500">
        <v>2</v>
      </c>
    </row>
    <row r="501" spans="1:5" x14ac:dyDescent="0.2">
      <c r="A501" s="46">
        <v>41767</v>
      </c>
      <c r="C501">
        <v>1</v>
      </c>
    </row>
    <row r="502" spans="1:5" x14ac:dyDescent="0.2">
      <c r="A502" s="46">
        <v>41778</v>
      </c>
      <c r="D502">
        <v>2</v>
      </c>
    </row>
    <row r="503" spans="1:5" x14ac:dyDescent="0.2">
      <c r="A503" s="46">
        <v>41780</v>
      </c>
      <c r="C503">
        <v>2</v>
      </c>
    </row>
    <row r="504" spans="1:5" x14ac:dyDescent="0.2">
      <c r="A504" s="46">
        <v>41795</v>
      </c>
      <c r="C504">
        <v>1</v>
      </c>
    </row>
    <row r="505" spans="1:5" x14ac:dyDescent="0.2">
      <c r="A505" s="46">
        <v>41802</v>
      </c>
      <c r="E505">
        <v>11</v>
      </c>
    </row>
    <row r="506" spans="1:5" x14ac:dyDescent="0.2">
      <c r="A506" s="46">
        <v>41808</v>
      </c>
      <c r="C506">
        <v>2</v>
      </c>
    </row>
    <row r="507" spans="1:5" x14ac:dyDescent="0.2">
      <c r="A507" s="46">
        <v>41816</v>
      </c>
      <c r="E507">
        <v>6</v>
      </c>
    </row>
    <row r="508" spans="1:5" x14ac:dyDescent="0.2">
      <c r="A508" s="46">
        <v>41821</v>
      </c>
      <c r="C508">
        <v>2</v>
      </c>
    </row>
    <row r="509" spans="1:5" x14ac:dyDescent="0.2">
      <c r="A509" s="46">
        <v>41830</v>
      </c>
      <c r="C509">
        <v>1</v>
      </c>
    </row>
    <row r="510" spans="1:5" x14ac:dyDescent="0.2">
      <c r="A510" s="46">
        <v>41843</v>
      </c>
      <c r="C510">
        <v>2</v>
      </c>
    </row>
    <row r="511" spans="1:5" x14ac:dyDescent="0.2">
      <c r="A511" s="46">
        <v>41858</v>
      </c>
      <c r="C511">
        <v>1</v>
      </c>
    </row>
    <row r="512" spans="1:5" x14ac:dyDescent="0.2">
      <c r="A512" s="46">
        <v>41871</v>
      </c>
      <c r="C512">
        <v>2</v>
      </c>
    </row>
    <row r="513" spans="1:5" x14ac:dyDescent="0.2">
      <c r="A513" s="46">
        <v>41886</v>
      </c>
      <c r="C513">
        <v>1</v>
      </c>
    </row>
    <row r="514" spans="1:5" x14ac:dyDescent="0.2">
      <c r="A514" s="46">
        <v>41899</v>
      </c>
      <c r="C514">
        <v>2</v>
      </c>
    </row>
    <row r="515" spans="1:5" x14ac:dyDescent="0.2">
      <c r="A515" s="46">
        <v>41918</v>
      </c>
      <c r="D515">
        <v>1</v>
      </c>
    </row>
    <row r="516" spans="1:5" x14ac:dyDescent="0.2">
      <c r="A516" s="46">
        <v>41919</v>
      </c>
      <c r="D516">
        <v>1</v>
      </c>
    </row>
    <row r="517" spans="1:5" x14ac:dyDescent="0.2">
      <c r="A517" s="46">
        <v>41921</v>
      </c>
      <c r="C517">
        <v>1</v>
      </c>
    </row>
    <row r="518" spans="1:5" x14ac:dyDescent="0.2">
      <c r="A518" s="46">
        <v>41934</v>
      </c>
      <c r="C518">
        <v>2</v>
      </c>
    </row>
    <row r="519" spans="1:5" x14ac:dyDescent="0.2">
      <c r="A519" s="46">
        <v>41949</v>
      </c>
      <c r="C519">
        <v>1</v>
      </c>
    </row>
    <row r="520" spans="1:5" x14ac:dyDescent="0.2">
      <c r="A520" s="46">
        <v>41962</v>
      </c>
      <c r="C520">
        <v>2</v>
      </c>
    </row>
    <row r="521" spans="1:5" x14ac:dyDescent="0.2">
      <c r="A521" s="46">
        <v>41977</v>
      </c>
      <c r="C521">
        <v>1</v>
      </c>
    </row>
    <row r="522" spans="1:5" x14ac:dyDescent="0.2">
      <c r="A522" s="46">
        <v>41989</v>
      </c>
      <c r="E522">
        <v>6</v>
      </c>
    </row>
    <row r="523" spans="1:5" x14ac:dyDescent="0.2">
      <c r="A523" s="46">
        <v>41990</v>
      </c>
      <c r="C523">
        <v>2</v>
      </c>
    </row>
    <row r="524" spans="1:5" x14ac:dyDescent="0.2">
      <c r="A524" s="46">
        <v>42012</v>
      </c>
      <c r="C524">
        <v>1</v>
      </c>
    </row>
    <row r="525" spans="1:5" x14ac:dyDescent="0.2">
      <c r="A525" s="46">
        <v>42018</v>
      </c>
      <c r="E525">
        <v>6</v>
      </c>
    </row>
    <row r="526" spans="1:5" x14ac:dyDescent="0.2">
      <c r="A526" s="46">
        <v>42025</v>
      </c>
      <c r="C526">
        <v>2</v>
      </c>
    </row>
    <row r="527" spans="1:5" x14ac:dyDescent="0.2">
      <c r="A527" s="46">
        <v>42040</v>
      </c>
      <c r="C527">
        <v>1</v>
      </c>
    </row>
    <row r="528" spans="1:5" x14ac:dyDescent="0.2">
      <c r="A528" s="46">
        <v>42053</v>
      </c>
      <c r="C528">
        <v>2</v>
      </c>
    </row>
    <row r="529" spans="1:5" x14ac:dyDescent="0.2">
      <c r="A529" s="46">
        <v>42068</v>
      </c>
      <c r="C529">
        <v>1</v>
      </c>
    </row>
    <row r="530" spans="1:5" x14ac:dyDescent="0.2">
      <c r="A530" s="46">
        <v>42074</v>
      </c>
      <c r="E530">
        <v>1</v>
      </c>
    </row>
    <row r="531" spans="1:5" x14ac:dyDescent="0.2">
      <c r="A531" s="46">
        <v>42081</v>
      </c>
      <c r="C531">
        <v>2</v>
      </c>
    </row>
    <row r="532" spans="1:5" x14ac:dyDescent="0.2">
      <c r="A532" s="46">
        <v>42093</v>
      </c>
      <c r="D532">
        <v>2</v>
      </c>
    </row>
    <row r="533" spans="1:5" x14ac:dyDescent="0.2">
      <c r="A533" s="46">
        <v>42103</v>
      </c>
      <c r="C533">
        <v>1</v>
      </c>
    </row>
    <row r="534" spans="1:5" x14ac:dyDescent="0.2">
      <c r="A534" s="46">
        <v>42116</v>
      </c>
      <c r="C534">
        <v>2</v>
      </c>
    </row>
    <row r="535" spans="1:5" x14ac:dyDescent="0.2">
      <c r="A535" s="46">
        <v>42135</v>
      </c>
      <c r="C535">
        <v>1</v>
      </c>
    </row>
    <row r="536" spans="1:5" x14ac:dyDescent="0.2">
      <c r="A536" s="46">
        <v>42144</v>
      </c>
      <c r="C536">
        <v>2</v>
      </c>
    </row>
    <row r="537" spans="1:5" x14ac:dyDescent="0.2">
      <c r="A537" s="46">
        <v>42159</v>
      </c>
      <c r="C537">
        <v>1</v>
      </c>
    </row>
    <row r="538" spans="1:5" x14ac:dyDescent="0.2">
      <c r="A538" s="46">
        <v>42172</v>
      </c>
      <c r="C538">
        <v>2</v>
      </c>
    </row>
    <row r="539" spans="1:5" x14ac:dyDescent="0.2">
      <c r="A539" s="46">
        <v>42186</v>
      </c>
      <c r="E539">
        <v>6</v>
      </c>
    </row>
    <row r="540" spans="1:5" x14ac:dyDescent="0.2">
      <c r="A540" s="46">
        <v>42194</v>
      </c>
      <c r="C540">
        <v>1</v>
      </c>
    </row>
    <row r="541" spans="1:5" x14ac:dyDescent="0.2">
      <c r="A541" s="46">
        <v>42207</v>
      </c>
      <c r="C541">
        <v>2</v>
      </c>
    </row>
    <row r="542" spans="1:5" x14ac:dyDescent="0.2">
      <c r="A542" s="46">
        <v>42222</v>
      </c>
      <c r="C542">
        <v>1</v>
      </c>
    </row>
    <row r="543" spans="1:5" x14ac:dyDescent="0.2">
      <c r="A543" s="46">
        <v>42257</v>
      </c>
      <c r="C543">
        <v>1</v>
      </c>
    </row>
    <row r="544" spans="1:5" x14ac:dyDescent="0.2">
      <c r="A544" s="46">
        <v>42285</v>
      </c>
      <c r="C544">
        <v>1</v>
      </c>
    </row>
    <row r="545" spans="1:5" x14ac:dyDescent="0.2">
      <c r="A545" s="46">
        <v>42313</v>
      </c>
      <c r="C545">
        <v>1</v>
      </c>
    </row>
    <row r="546" spans="1:5" x14ac:dyDescent="0.2">
      <c r="A546" s="46">
        <v>42339</v>
      </c>
      <c r="D546">
        <v>2</v>
      </c>
    </row>
    <row r="547" spans="1:5" x14ac:dyDescent="0.2">
      <c r="A547" s="46">
        <v>42348</v>
      </c>
      <c r="C547">
        <v>1</v>
      </c>
    </row>
    <row r="548" spans="1:5" x14ac:dyDescent="0.2">
      <c r="A548" s="46">
        <v>42383</v>
      </c>
      <c r="C548">
        <v>1</v>
      </c>
      <c r="E548">
        <v>11</v>
      </c>
    </row>
    <row r="549" spans="1:5" x14ac:dyDescent="0.2">
      <c r="A549" s="46">
        <v>42404</v>
      </c>
      <c r="C549">
        <v>1</v>
      </c>
    </row>
    <row r="550" spans="1:5" x14ac:dyDescent="0.2">
      <c r="A550" s="46">
        <v>42446</v>
      </c>
      <c r="C550">
        <v>1</v>
      </c>
    </row>
    <row r="551" spans="1:5" x14ac:dyDescent="0.2">
      <c r="A551" s="46">
        <v>42474</v>
      </c>
      <c r="C551">
        <v>1</v>
      </c>
    </row>
    <row r="552" spans="1:5" x14ac:dyDescent="0.2">
      <c r="A552" s="46">
        <v>42502</v>
      </c>
      <c r="C552">
        <v>1</v>
      </c>
    </row>
    <row r="553" spans="1:5" x14ac:dyDescent="0.2">
      <c r="A553" s="46">
        <v>42535</v>
      </c>
      <c r="C553">
        <v>4</v>
      </c>
    </row>
    <row r="554" spans="1:5" x14ac:dyDescent="0.2">
      <c r="A554" s="46">
        <v>42537</v>
      </c>
      <c r="C554">
        <v>1</v>
      </c>
      <c r="E554">
        <v>11</v>
      </c>
    </row>
    <row r="555" spans="1:5" x14ac:dyDescent="0.2">
      <c r="A555" s="46">
        <v>42542</v>
      </c>
      <c r="C555">
        <v>4</v>
      </c>
    </row>
    <row r="556" spans="1:5" x14ac:dyDescent="0.2">
      <c r="A556" s="46">
        <v>42549</v>
      </c>
      <c r="C556">
        <v>4</v>
      </c>
    </row>
    <row r="557" spans="1:5" x14ac:dyDescent="0.2">
      <c r="A557" s="46">
        <v>42556</v>
      </c>
      <c r="D557">
        <v>1</v>
      </c>
    </row>
    <row r="558" spans="1:5" x14ac:dyDescent="0.2">
      <c r="A558" s="46">
        <v>42565</v>
      </c>
      <c r="C558">
        <v>1</v>
      </c>
    </row>
    <row r="559" spans="1:5" x14ac:dyDescent="0.2">
      <c r="A559" s="46">
        <v>42586</v>
      </c>
      <c r="B559">
        <v>1</v>
      </c>
      <c r="C559">
        <v>3</v>
      </c>
    </row>
    <row r="560" spans="1:5" x14ac:dyDescent="0.2">
      <c r="A560" s="46">
        <v>42628</v>
      </c>
      <c r="C560">
        <v>1</v>
      </c>
    </row>
    <row r="561" spans="1:5" x14ac:dyDescent="0.2">
      <c r="A561" s="46">
        <v>42677</v>
      </c>
      <c r="C561">
        <v>1</v>
      </c>
    </row>
    <row r="562" spans="1:5" x14ac:dyDescent="0.2">
      <c r="A562" s="46">
        <v>42704</v>
      </c>
      <c r="D562">
        <v>1</v>
      </c>
    </row>
    <row r="563" spans="1:5" x14ac:dyDescent="0.2">
      <c r="A563" s="46">
        <v>42719</v>
      </c>
      <c r="C563">
        <v>1</v>
      </c>
    </row>
    <row r="564" spans="1:5" x14ac:dyDescent="0.2">
      <c r="A564" s="46">
        <v>42768</v>
      </c>
      <c r="C564">
        <v>1</v>
      </c>
    </row>
    <row r="565" spans="1:5" x14ac:dyDescent="0.2">
      <c r="A565" s="46">
        <v>42810</v>
      </c>
      <c r="C565">
        <v>1</v>
      </c>
    </row>
    <row r="566" spans="1:5" x14ac:dyDescent="0.2">
      <c r="A566" s="46">
        <v>42866</v>
      </c>
      <c r="C566">
        <v>1</v>
      </c>
    </row>
    <row r="567" spans="1:5" x14ac:dyDescent="0.2">
      <c r="A567" s="46">
        <v>42901</v>
      </c>
      <c r="C567">
        <v>1</v>
      </c>
    </row>
    <row r="568" spans="1:5" x14ac:dyDescent="0.2">
      <c r="A568" s="46">
        <v>42906</v>
      </c>
      <c r="E568">
        <v>11</v>
      </c>
    </row>
    <row r="569" spans="1:5" x14ac:dyDescent="0.2">
      <c r="A569" s="46">
        <v>42913</v>
      </c>
      <c r="E569">
        <v>6</v>
      </c>
    </row>
    <row r="570" spans="1:5" x14ac:dyDescent="0.2">
      <c r="A570" s="46">
        <v>42950</v>
      </c>
      <c r="C570">
        <v>1</v>
      </c>
    </row>
    <row r="571" spans="1:5" x14ac:dyDescent="0.2">
      <c r="A571" s="46">
        <v>42992</v>
      </c>
      <c r="C571">
        <v>1</v>
      </c>
    </row>
    <row r="572" spans="1:5" x14ac:dyDescent="0.2">
      <c r="A572" s="46">
        <v>43041</v>
      </c>
      <c r="B572">
        <v>3</v>
      </c>
      <c r="C572">
        <v>1</v>
      </c>
    </row>
    <row r="573" spans="1:5" x14ac:dyDescent="0.2">
      <c r="A573" s="46">
        <v>43067</v>
      </c>
      <c r="E573">
        <v>6</v>
      </c>
    </row>
    <row r="574" spans="1:5" x14ac:dyDescent="0.2">
      <c r="A574" s="46">
        <v>43083</v>
      </c>
      <c r="C574">
        <v>1</v>
      </c>
    </row>
    <row r="575" spans="1:5" x14ac:dyDescent="0.2">
      <c r="A575" s="46">
        <v>43139</v>
      </c>
      <c r="C575">
        <v>1</v>
      </c>
    </row>
    <row r="576" spans="1:5" x14ac:dyDescent="0.2">
      <c r="A576" s="46">
        <v>43181</v>
      </c>
      <c r="C576">
        <v>1</v>
      </c>
    </row>
    <row r="577" spans="1:5" x14ac:dyDescent="0.2">
      <c r="A577" s="46">
        <v>43230</v>
      </c>
      <c r="C577">
        <v>1</v>
      </c>
    </row>
    <row r="578" spans="1:5" x14ac:dyDescent="0.2">
      <c r="A578" s="46">
        <v>43272</v>
      </c>
      <c r="C578">
        <v>1</v>
      </c>
      <c r="E578">
        <v>11</v>
      </c>
    </row>
    <row r="579" spans="1:5" x14ac:dyDescent="0.2">
      <c r="A579" s="46">
        <v>43278</v>
      </c>
      <c r="E579">
        <v>6</v>
      </c>
    </row>
    <row r="580" spans="1:5" x14ac:dyDescent="0.2">
      <c r="A580" s="46">
        <v>43298</v>
      </c>
      <c r="E580">
        <v>6</v>
      </c>
    </row>
    <row r="581" spans="1:5" x14ac:dyDescent="0.2">
      <c r="A581" s="46">
        <v>43314</v>
      </c>
      <c r="B581">
        <v>3</v>
      </c>
      <c r="C581">
        <v>1</v>
      </c>
    </row>
    <row r="582" spans="1:5" x14ac:dyDescent="0.2">
      <c r="A582" s="46">
        <v>43356</v>
      </c>
      <c r="C582">
        <v>1</v>
      </c>
    </row>
    <row r="583" spans="1:5" x14ac:dyDescent="0.2">
      <c r="A583" s="46">
        <v>43405</v>
      </c>
      <c r="C583">
        <v>1</v>
      </c>
    </row>
    <row r="584" spans="1:5" x14ac:dyDescent="0.2">
      <c r="A584" s="46">
        <v>43432</v>
      </c>
      <c r="D584">
        <v>1</v>
      </c>
    </row>
    <row r="585" spans="1:5" x14ac:dyDescent="0.2">
      <c r="A585" s="46">
        <v>43454</v>
      </c>
      <c r="C585">
        <v>1</v>
      </c>
    </row>
    <row r="586" spans="1:5" x14ac:dyDescent="0.2">
      <c r="A586" s="46">
        <v>43481</v>
      </c>
      <c r="E586">
        <v>6</v>
      </c>
    </row>
    <row r="587" spans="1:5" x14ac:dyDescent="0.2">
      <c r="A587" s="46">
        <v>43503</v>
      </c>
      <c r="C587">
        <v>1</v>
      </c>
    </row>
    <row r="588" spans="1:5" x14ac:dyDescent="0.2">
      <c r="A588" s="46">
        <v>43529</v>
      </c>
      <c r="C588">
        <v>2</v>
      </c>
    </row>
    <row r="589" spans="1:5" x14ac:dyDescent="0.2">
      <c r="A589" s="46">
        <v>43545</v>
      </c>
      <c r="C589">
        <v>1</v>
      </c>
    </row>
    <row r="590" spans="1:5" x14ac:dyDescent="0.2">
      <c r="A590" s="46">
        <v>43587</v>
      </c>
      <c r="C590">
        <v>1</v>
      </c>
    </row>
    <row r="591" spans="1:5" x14ac:dyDescent="0.2">
      <c r="A591" s="46">
        <v>43636</v>
      </c>
      <c r="C591">
        <v>1</v>
      </c>
      <c r="E591">
        <v>11</v>
      </c>
    </row>
    <row r="592" spans="1:5" x14ac:dyDescent="0.2">
      <c r="A592" s="46">
        <v>43657</v>
      </c>
      <c r="D592">
        <v>1</v>
      </c>
    </row>
    <row r="593" spans="1:5" x14ac:dyDescent="0.2">
      <c r="A593" s="46">
        <v>43678</v>
      </c>
      <c r="C593">
        <v>1</v>
      </c>
    </row>
    <row r="594" spans="1:5" x14ac:dyDescent="0.2">
      <c r="A594" s="46">
        <v>43727</v>
      </c>
      <c r="C594">
        <v>1</v>
      </c>
    </row>
    <row r="595" spans="1:5" x14ac:dyDescent="0.2">
      <c r="A595" s="46">
        <v>43776</v>
      </c>
      <c r="C595">
        <v>1</v>
      </c>
    </row>
    <row r="596" spans="1:5" x14ac:dyDescent="0.2">
      <c r="A596" s="46">
        <v>43815</v>
      </c>
      <c r="D596">
        <v>2</v>
      </c>
    </row>
    <row r="597" spans="1:5" x14ac:dyDescent="0.2">
      <c r="A597" s="46">
        <v>43818</v>
      </c>
      <c r="C597">
        <v>1</v>
      </c>
    </row>
    <row r="598" spans="1:5" x14ac:dyDescent="0.2">
      <c r="A598" s="46">
        <v>43860</v>
      </c>
      <c r="C598">
        <v>1</v>
      </c>
    </row>
    <row r="599" spans="1:5" x14ac:dyDescent="0.2">
      <c r="A599" s="46">
        <v>43901</v>
      </c>
      <c r="B599">
        <v>1</v>
      </c>
      <c r="C599">
        <v>3</v>
      </c>
    </row>
    <row r="600" spans="1:5" x14ac:dyDescent="0.2">
      <c r="A600" s="46">
        <v>43909</v>
      </c>
      <c r="B600">
        <v>1</v>
      </c>
      <c r="C600">
        <v>3</v>
      </c>
    </row>
    <row r="601" spans="1:5" x14ac:dyDescent="0.2">
      <c r="A601" s="46">
        <v>43916</v>
      </c>
      <c r="C601">
        <v>1</v>
      </c>
    </row>
    <row r="602" spans="1:5" x14ac:dyDescent="0.2">
      <c r="A602" s="46">
        <v>43937</v>
      </c>
      <c r="E602">
        <v>4</v>
      </c>
    </row>
    <row r="603" spans="1:5" x14ac:dyDescent="0.2">
      <c r="A603" s="46">
        <v>43944</v>
      </c>
      <c r="E603">
        <v>5</v>
      </c>
    </row>
    <row r="604" spans="1:5" x14ac:dyDescent="0.2">
      <c r="A604" s="46">
        <v>43958</v>
      </c>
      <c r="C604">
        <v>1</v>
      </c>
    </row>
    <row r="605" spans="1:5" x14ac:dyDescent="0.2">
      <c r="A605" s="46">
        <v>43969</v>
      </c>
      <c r="E605">
        <v>4</v>
      </c>
    </row>
    <row r="606" spans="1:5" x14ac:dyDescent="0.2">
      <c r="A606" s="46">
        <v>44000</v>
      </c>
      <c r="C606">
        <v>1</v>
      </c>
    </row>
    <row r="607" spans="1:5" x14ac:dyDescent="0.2">
      <c r="A607" s="46">
        <v>44027</v>
      </c>
      <c r="E607">
        <v>4</v>
      </c>
    </row>
    <row r="608" spans="1:5" x14ac:dyDescent="0.2">
      <c r="A608" s="46">
        <v>44035</v>
      </c>
      <c r="E608">
        <v>4</v>
      </c>
    </row>
    <row r="609" spans="1:5" x14ac:dyDescent="0.2">
      <c r="A609" s="46">
        <v>44049</v>
      </c>
      <c r="C609">
        <v>1</v>
      </c>
    </row>
    <row r="610" spans="1:5" x14ac:dyDescent="0.2">
      <c r="A610" s="46">
        <v>44091</v>
      </c>
      <c r="C610">
        <v>1</v>
      </c>
    </row>
    <row r="611" spans="1:5" x14ac:dyDescent="0.2">
      <c r="A611" s="46">
        <v>44127</v>
      </c>
      <c r="E611">
        <v>1</v>
      </c>
    </row>
    <row r="612" spans="1:5" x14ac:dyDescent="0.2">
      <c r="A612" s="46">
        <v>44140</v>
      </c>
      <c r="C612">
        <v>1</v>
      </c>
    </row>
    <row r="613" spans="1:5" x14ac:dyDescent="0.2">
      <c r="A613" s="46">
        <v>44176</v>
      </c>
      <c r="D613">
        <v>1</v>
      </c>
    </row>
    <row r="614" spans="1:5" x14ac:dyDescent="0.2">
      <c r="A614" s="46">
        <v>44182</v>
      </c>
      <c r="C614">
        <v>1</v>
      </c>
    </row>
    <row r="615" spans="1:5" x14ac:dyDescent="0.2">
      <c r="A615" s="46">
        <v>44546</v>
      </c>
      <c r="B6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Disclaimer</vt:lpstr>
      <vt:lpstr>data</vt:lpstr>
      <vt:lpstr>balance_sheet</vt:lpstr>
      <vt:lpstr>rates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Quentin Bro de Comères</cp:lastModifiedBy>
  <dcterms:created xsi:type="dcterms:W3CDTF">2022-01-04T19:47:15Z</dcterms:created>
  <dcterms:modified xsi:type="dcterms:W3CDTF">2026-07-06T21:16:48Z</dcterms:modified>
</cp:coreProperties>
</file>